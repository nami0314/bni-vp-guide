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📊ダッシュボード" sheetId="2" state="visible" r:id="rId2"/>
    <sheet xmlns:r="http://schemas.openxmlformats.org/officeDocument/2006/relationships" name="全体管理" sheetId="3" state="visible" r:id="rId3"/>
    <sheet xmlns:r="http://schemas.openxmlformats.org/officeDocument/2006/relationships" name="週次推移" sheetId="4" state="visible" r:id="rId4"/>
    <sheet xmlns:r="http://schemas.openxmlformats.org/officeDocument/2006/relationships" name="CCS追っかけ" sheetId="5" state="visible" r:id="rId5"/>
    <sheet xmlns:r="http://schemas.openxmlformats.org/officeDocument/2006/relationships" name="担当別CCS" sheetId="6" state="visible" r:id="rId6"/>
    <sheet xmlns:r="http://schemas.openxmlformats.org/officeDocument/2006/relationships" name="入会後行動リスト" sheetId="7" state="visible" r:id="rId7"/>
    <sheet xmlns:r="http://schemas.openxmlformats.org/officeDocument/2006/relationships" name="入会後進捗" sheetId="8" state="visible" r:id="rId8"/>
    <sheet xmlns:r="http://schemas.openxmlformats.org/officeDocument/2006/relationships" name="日次ログ" sheetId="9" state="visible" r:id="rId9"/>
    <sheet xmlns:r="http://schemas.openxmlformats.org/officeDocument/2006/relationships" name="竹尾純子" sheetId="10" state="visible" r:id="rId10"/>
    <sheet xmlns:r="http://schemas.openxmlformats.org/officeDocument/2006/relationships" name="福重孝一" sheetId="11" state="visible" r:id="rId11"/>
    <sheet xmlns:r="http://schemas.openxmlformats.org/officeDocument/2006/relationships" name="矢野貴之" sheetId="12" state="visible" r:id="rId12"/>
    <sheet xmlns:r="http://schemas.openxmlformats.org/officeDocument/2006/relationships" name="榎田秀一" sheetId="13" state="visible" r:id="rId13"/>
    <sheet xmlns:r="http://schemas.openxmlformats.org/officeDocument/2006/relationships" name="世良真貴男" sheetId="14" state="visible" r:id="rId14"/>
    <sheet xmlns:r="http://schemas.openxmlformats.org/officeDocument/2006/relationships" name="松永健志" sheetId="15" state="visible" r:id="rId15"/>
    <sheet xmlns:r="http://schemas.openxmlformats.org/officeDocument/2006/relationships" name="中村剛" sheetId="16" state="visible" r:id="rId16"/>
    <sheet xmlns:r="http://schemas.openxmlformats.org/officeDocument/2006/relationships" name="行動マスタ" sheetId="17" state="visible" r:id="rId17"/>
    <sheet xmlns:r="http://schemas.openxmlformats.org/officeDocument/2006/relationships" name="通知先" sheetId="18" state="visible" r:id="rId18"/>
    <sheet xmlns:r="http://schemas.openxmlformats.org/officeDocument/2006/relationships" name="設定" sheetId="19" state="visible" r:id="rId19"/>
    <sheet xmlns:r="http://schemas.openxmlformats.org/officeDocument/2006/relationships" name="アラートログ" sheetId="20" state="visible" r:id="rId20"/>
  </sheets>
  <definedNames>
    <definedName name="_xlnm._FilterDatabase" localSheetId="4" hidden="1">'CCS追っかけ'!$A$4:$Y$504</definedName>
    <definedName name="_xlnm._FilterDatabase" localSheetId="6" hidden="1">'入会後行動リスト'!$A$4:$L$2004</definedName>
    <definedName name="_xlnm._FilterDatabase" localSheetId="8" hidden="1">'日次ログ'!$A$4:$K$1504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m/d〜"/>
  </numFmts>
  <fonts count="12">
    <font>
      <name val="Calibri"/>
      <family val="2"/>
      <color theme="1"/>
      <sz val="11"/>
      <scheme val="minor"/>
    </font>
    <font>
      <name val="Meiryo"/>
      <b val="1"/>
      <color rgb="001F3A5F"/>
      <sz val="14"/>
    </font>
    <font>
      <name val="Meiryo"/>
      <color rgb="00595959"/>
      <sz val="9"/>
    </font>
    <font>
      <name val="Meiryo"/>
      <b val="1"/>
      <color rgb="001F3A5F"/>
      <sz val="10"/>
    </font>
    <font>
      <name val="Meiryo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3"/>
    </font>
    <font>
      <name val="Meiryo"/>
      <b val="1"/>
      <sz val="10"/>
    </font>
    <font>
      <name val="Meiryo"/>
      <b val="1"/>
      <color rgb="001F3A5F"/>
    </font>
    <font>
      <name val="Meiryo"/>
      <color rgb="00A6A6A6"/>
      <sz val="8"/>
    </font>
    <font>
      <name val="Meiryo"/>
      <b val="1"/>
      <color rgb="001F3A5F"/>
      <sz val="16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5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 wrapText="1"/>
    </xf>
    <xf numFmtId="0" fontId="9" fillId="0" borderId="0" pivotButton="0" quotePrefix="0" xfId="0"/>
    <xf numFmtId="166" fontId="6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165" fontId="4" fillId="3" borderId="1" applyAlignment="1" pivotButton="0" quotePrefix="0" xfId="0">
      <alignment horizontal="center" vertical="center"/>
    </xf>
    <xf numFmtId="1" fontId="4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165" fontId="4" fillId="3" borderId="1" applyAlignment="1" pivotButton="0" quotePrefix="0" xfId="0">
      <alignment vertical="center" wrapText="1"/>
    </xf>
    <xf numFmtId="1" fontId="4" fillId="3" borderId="1" applyAlignment="1" pivotButton="0" quotePrefix="0" xfId="0">
      <alignment vertical="center" wrapText="1"/>
    </xf>
    <xf numFmtId="9" fontId="4" fillId="3" borderId="1" applyAlignment="1" pivotButton="0" quotePrefix="0" xfId="0">
      <alignment vertical="center"/>
    </xf>
  </cellXfs>
  <cellStyles count="1">
    <cellStyle name="Normal" xfId="0" builtinId="0" hidden="0"/>
  </cellStyles>
  <dxfs count="14">
    <dxf>
      <fill>
        <patternFill patternType="solid">
          <fgColor rgb="00F8CBA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ont>
        <b val="1"/>
        <color rgb="00C00000"/>
      </font>
    </dxf>
    <dxf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8102E"/>
        </patternFill>
      </fill>
    </dxf>
    <dxf>
      <font>
        <b val="1"/>
        <color rgb="001F3A5F"/>
      </font>
      <fill>
        <patternFill patternType="solid">
          <fgColor rgb="00DDEBF7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color rgb="00A6A6A6"/>
      </font>
    </dxf>
    <dxf>
      <font>
        <b val="1"/>
        <color rgb="007F6000"/>
      </font>
      <fill>
        <patternFill patternType="solid">
          <fgColor rgb="00FFEB9C"/>
        </patternFill>
      </fill>
    </dxf>
    <dxf>
      <font>
        <b val="1"/>
        <color rgb="00808080"/>
      </font>
      <fill>
        <patternFill patternType="solid">
          <fgColor rgb="00E7E6E6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ローンチチーム管理表｜使い方と運用ルール</t>
        </is>
      </c>
    </row>
    <row r="2">
      <c r="A2" s="2" t="inlineStr">
        <is>
          <t>黄色セル＝入力欄／白セル＝自動計算（触らない）　※メニュー「🚀ローンチ管理」はGAS（Code.gs）を入れると表示されます</t>
        </is>
      </c>
    </row>
    <row r="4">
      <c r="A4" s="3" t="inlineStr">
        <is>
          <t>■ 全体の流れ</t>
        </is>
      </c>
      <c r="B4" s="4" t="inlineStr"/>
    </row>
    <row r="5">
      <c r="A5" s="5" t="inlineStr"/>
      <c r="B5" s="4" t="inlineStr">
        <is>
          <t>声かけ → 【CCS追っかけ】で入会まで追う → 申込書・入金・同意書の3つに✓ → 自動で【入会後行動リスト】に本人とDNAのタスクが作られる → 毎日決まった時刻に、遅れている人・LINE未参加の人をメールでアラート</t>
        </is>
      </c>
    </row>
    <row r="6">
      <c r="A6" s="3" t="inlineStr">
        <is>
          <t>■ シート構成</t>
        </is>
      </c>
      <c r="B6" s="4" t="inlineStr"/>
    </row>
    <row r="7">
      <c r="A7" s="5" t="inlineStr">
        <is>
          <t>📊ダッシュボード</t>
        </is>
      </c>
      <c r="B7" s="4" t="inlineStr">
        <is>
          <t>全ローンチの進捗・信号・体制・入会後タスクの遅れを一覧（自動計算）。週次ローンチMTGはこの画面で進行。</t>
        </is>
      </c>
    </row>
    <row r="8">
      <c r="A8" s="5" t="inlineStr">
        <is>
          <t>全体管理</t>
        </is>
      </c>
      <c r="B8" s="4" t="inlineStr">
        <is>
          <t>従来の全体管理表と同じ並び。各LDシートから自動集約（入力不要）。</t>
        </is>
      </c>
    </row>
    <row r="9">
      <c r="A9" s="5" t="inlineStr">
        <is>
          <t>週次推移</t>
        </is>
      </c>
      <c r="B9" s="4" t="inlineStr">
        <is>
          <t>10/5スタートの13週（年末まで）。声かけ・面談・CCS実施・正式化の週ごとの推移。開始日は設定シートで変更可。</t>
        </is>
      </c>
    </row>
    <row r="10">
      <c r="A10" s="5" t="inlineStr">
        <is>
          <t>CCS追っかけ</t>
        </is>
      </c>
      <c r="B10" s="4" t="inlineStr">
        <is>
          <t>リストアップ〜入会までの台帳。1人1行。担当（リストアップしたメンバー）がCCSまで追いかける。現状・次のアクション・期日を入れ、申込書・振込控え・プリコア同意書の3点✓で『✅正式』。</t>
        </is>
      </c>
    </row>
    <row r="11">
      <c r="A11" s="5" t="inlineStr">
        <is>
          <t>担当別CCS</t>
        </is>
      </c>
      <c r="B11" s="4" t="inlineStr">
        <is>
          <t>ローンチ×担当メンバーごとの、リストアップ数・お誘い中・CCS済・入会数（GASが毎日更新）。</t>
        </is>
      </c>
    </row>
    <row r="12">
      <c r="A12" s="5" t="inlineStr">
        <is>
          <t>入会後行動リスト</t>
        </is>
      </c>
      <c r="B12" s="4" t="inlineStr">
        <is>
          <t>入会者ごとの行動（本人のタスク＋DNAのタスク）。GASが自動で作成。完了したら✓。LINEグループに入ったのを確認したら『LINEグループに参加』に✓。</t>
        </is>
      </c>
    </row>
    <row r="13">
      <c r="A13" s="5" t="inlineStr">
        <is>
          <t>入会後進捗</t>
        </is>
      </c>
      <c r="B13" s="4" t="inlineStr">
        <is>
          <t>入会者×行動のマトリクス（GASが毎日自動更新）。誰が何で止まっているかを一目で確認。</t>
        </is>
      </c>
    </row>
    <row r="14">
      <c r="A14" s="5" t="inlineStr">
        <is>
          <t>日次ログ</t>
        </is>
      </c>
      <c r="B14" s="4" t="inlineStr">
        <is>
          <t>毎日の活動を1ローンチ1行で記録。</t>
        </is>
      </c>
    </row>
    <row r="15">
      <c r="A15" s="5" t="inlineStr">
        <is>
          <t>各LDシート</t>
        </is>
      </c>
      <c r="B15" s="4" t="inlineStr">
        <is>
          <t>LDが自分のチーム形成・フェーズ情報を入力。</t>
        </is>
      </c>
    </row>
    <row r="16">
      <c r="A16" s="5" t="inlineStr">
        <is>
          <t>行動マスタ</t>
        </is>
      </c>
      <c r="B16" s="4" t="inlineStr">
        <is>
          <t>入会後の流れ（ハルモニアのメンバー表の項目）。本人/DNA・担当ロール・期限=正式化日+何日・本人リマインド要否。ここを変えると次の入会者から反映。</t>
        </is>
      </c>
    </row>
    <row r="17">
      <c r="A17" s="5" t="inlineStr">
        <is>
          <t>通知先</t>
        </is>
      </c>
      <c r="B17" s="4" t="inlineStr">
        <is>
          <t>ローンチごとのLDメール・CC・メンバー用LINEグループ招待URLと、DNAのメールアドレス。</t>
        </is>
      </c>
    </row>
    <row r="18">
      <c r="A18" s="5" t="inlineStr">
        <is>
          <t>設定</t>
        </is>
      </c>
      <c r="B18" s="4" t="inlineStr">
        <is>
          <t>期限日数・アラートの判定日数・プルダウン項目。</t>
        </is>
      </c>
    </row>
    <row r="19">
      <c r="A19" s="5" t="inlineStr">
        <is>
          <t>アラートログ</t>
        </is>
      </c>
      <c r="B19" s="4" t="inlineStr">
        <is>
          <t>メール送信履歴（自動）。</t>
        </is>
      </c>
    </row>
    <row r="20">
      <c r="A20" s="3" t="inlineStr">
        <is>
          <t>■ 毎日（担当メンバー・LD・5分）</t>
        </is>
      </c>
      <c r="B20" s="4" t="inlineStr"/>
    </row>
    <row r="21">
      <c r="A21" s="5" t="inlineStr"/>
      <c r="B21" s="4" t="inlineStr">
        <is>
          <t>① 担当メンバー：届いたメールを見て見込み客に連絡 → CCS追っかけの現状・次のアクション・期日を更新（編集すると最終接触日が自動で今日になります）</t>
        </is>
      </c>
    </row>
    <row r="22">
      <c r="A22" s="5" t="inlineStr"/>
      <c r="B22" s="4" t="inlineStr">
        <is>
          <t>② 入会後行動リストで終わったタスクに✓（完了日は自動）　③ 日次ログに1行（0の日も0で入力）</t>
        </is>
      </c>
    </row>
    <row r="23">
      <c r="A23" s="3" t="inlineStr">
        <is>
          <t>■ 毎週（月曜 9:00 ローンチMTG前まで）</t>
        </is>
      </c>
      <c r="B23" s="4" t="inlineStr"/>
    </row>
    <row r="24">
      <c r="A24" s="5" t="inlineStr"/>
      <c r="B24" s="4" t="inlineStr">
        <is>
          <t>各LDシートの『ローンチ進捗』を更新 → MTGはダッシュボードの🔴→🟡→🟢の順に確認</t>
        </is>
      </c>
    </row>
    <row r="25">
      <c r="A25" s="3" t="inlineStr">
        <is>
          <t>■ 自動アラート（メール）</t>
        </is>
      </c>
      <c r="B25" s="4" t="inlineStr"/>
    </row>
    <row r="26">
      <c r="A26" s="5" t="inlineStr"/>
      <c r="B26" s="4" t="inlineStr">
        <is>
          <t>毎日決まった時刻にメールが届きます：①ローンチまとめ（LD＋CC宛て）②自分の担当分だけ（担当メンバー・DNA宛て）③全ローンチのまとめ（OM宛て）</t>
        </is>
      </c>
    </row>
    <row r="27">
      <c r="A27" s="5" t="inlineStr"/>
      <c r="B27" s="4" t="inlineStr">
        <is>
          <t>アラート対象：期日超過／最終接触からN日放置／CCS後の申込待ち・振込待ち・同意書待ち／次アクション未設定／入会後タスクの期限切れ（LINEグループ未参加は初回定例会が近いと⚠付きで先頭に）</t>
        </is>
      </c>
    </row>
    <row r="28">
      <c r="A28" s="5" t="inlineStr"/>
      <c r="B28" s="4" t="inlineStr">
        <is>
          <t>本人へのリマインドメール（LINE招待URL付き）は、行動マスタで『要』のタスクだけ。GASのCONFIGでONにします。</t>
        </is>
      </c>
    </row>
    <row r="29">
      <c r="A29" s="5" t="inlineStr"/>
      <c r="B29" s="4" t="inlineStr">
        <is>
          <t>メールの『シートを開く』ボタンから、そのまま管理表に飛べます。アラートが0件の人にはメールは届きません。</t>
        </is>
      </c>
    </row>
    <row r="30">
      <c r="A30" s="3" t="inlineStr">
        <is>
          <t>■ メールを見落とさないために（DNAにお願いすること）</t>
        </is>
      </c>
      <c r="B30" s="4" t="inlineStr"/>
    </row>
    <row r="31">
      <c r="A31" s="5" t="inlineStr"/>
      <c r="B31" s="4" t="inlineStr">
        <is>
          <t>① スマホのGmailアプリで、送信元アドレスを連絡先に登録し、通知をONにする</t>
        </is>
      </c>
    </row>
    <row r="32">
      <c r="A32" s="5" t="inlineStr"/>
      <c r="B32" s="4" t="inlineStr">
        <is>
          <t>② 件名が【要対応】【ローンチアラート】で始まるメールにスターを付けるフィルタを作る（Gmail → 設定 → フィルタ）</t>
        </is>
      </c>
    </row>
    <row r="33">
      <c r="A33" s="3" t="inlineStr">
        <is>
          <t>■ ルール（RCS ローンチ方針より）</t>
        </is>
      </c>
      <c r="B33" s="4" t="inlineStr"/>
    </row>
    <row r="34">
      <c r="A34" s="5" t="inlineStr"/>
      <c r="B34" s="4" t="inlineStr">
        <is>
          <t>・プリコア人数は『申込書提出・入金・プリコア同意書』の3つが揃った人のみカウント</t>
        </is>
      </c>
    </row>
    <row r="35">
      <c r="A35" s="5" t="inlineStr"/>
      <c r="B35" s="4" t="inlineStr">
        <is>
          <t>・フェーズ1は6週間、フェーズ2は4週間が期限。期限内未達の場合は全員と面談し、①継続 ②他チャプター紹介 ③返金 の3択を提示</t>
        </is>
      </c>
    </row>
    <row r="36">
      <c r="A36" s="5" t="inlineStr"/>
      <c r="B36" s="4" t="inlineStr">
        <is>
          <t>・フェーズ3以降はメンバー都合の返金不可。フェーズ3 Week1で必ず説明しコミットメントを取り付ける</t>
        </is>
      </c>
    </row>
    <row r="37">
      <c r="A37" s="5" t="inlineStr"/>
      <c r="B37" s="4" t="inlineStr">
        <is>
          <t>・新メンバーには必ずウェルカムコール／1年目メンバーにはベーシック受講を確認（行動マスタに組み込み済み）</t>
        </is>
      </c>
    </row>
    <row r="38">
      <c r="A38" s="3" t="inlineStr">
        <is>
          <t>■ GASの入れ方</t>
        </is>
      </c>
      <c r="B38" s="4" t="inlineStr"/>
    </row>
    <row r="39">
      <c r="A39" s="5" t="inlineStr"/>
      <c r="B39" s="4" t="inlineStr">
        <is>
          <t>① Googleスプレッドシートで開く → 拡張機能 → Apps Script → Code.gs に貼り付けて保存</t>
        </is>
      </c>
    </row>
    <row r="40">
      <c r="A40" s="5" t="inlineStr"/>
      <c r="B40" s="4" t="inlineStr">
        <is>
          <t>② シートを再読み込み → メニュー「🚀ローンチ管理」→「初期チェック」→ 権限を許可</t>
        </is>
      </c>
    </row>
    <row r="41">
      <c r="A41" s="5" t="inlineStr"/>
      <c r="B41" s="4" t="inlineStr">
        <is>
          <t>③ 通知先シートにLDメールと、担当メンバー・DNAのメールを入力 →「アラートをプレビュー」で内容確認 →「今すぐ送信」（最初はTEST_MODEでOMにだけ届く）</t>
        </is>
      </c>
    </row>
    <row r="42">
      <c r="A42" s="5" t="inlineStr"/>
      <c r="B42" s="4" t="inlineStr">
        <is>
          <t>④ 問題なければ Code.gs の TEST_MODE を false にして保存 →「自動実行をON」</t>
        </is>
      </c>
    </row>
    <row r="43">
      <c r="A43" s="3" t="inlineStr">
        <is>
          <t>■ 新しいLD・ローンチを追加するとき</t>
        </is>
      </c>
      <c r="B43" s="4" t="inlineStr"/>
    </row>
    <row r="44">
      <c r="A44" s="5" t="inlineStr"/>
      <c r="B44" s="4" t="inlineStr">
        <is>
          <t>① 既存のLDシートを複製してシート名をLD名に → ② ダッシュボードA列の空き行にLD名 → ③ 設定のLD一覧・通知先シートに追加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6" customWidth="1" min="3" max="3"/>
    <col width="12" customWidth="1" min="4" max="4"/>
    <col width="10" customWidth="1" min="5" max="5"/>
    <col width="12" customWidth="1" min="6" max="6"/>
    <col width="12" customWidth="1" min="7" max="7"/>
    <col width="7" customWidth="1" min="8" max="8"/>
    <col width="7" customWidth="1" min="9" max="9"/>
    <col width="9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1" customWidth="1" min="16" max="16"/>
    <col width="10" customWidth="1" min="17" max="17"/>
    <col width="34" customWidth="1" min="18" max="18"/>
    <col width="14" customWidth="1" min="19" max="19"/>
    <col width="9" customWidth="1" min="20" max="20"/>
    <col width="9" customWidth="1" min="21" max="21"/>
  </cols>
  <sheetData>
    <row r="1">
      <c r="A1" s="1" t="inlineStr">
        <is>
          <t>📊 ローンチ ダッシュボード（全チーム）</t>
        </is>
      </c>
    </row>
    <row r="2">
      <c r="A2" s="2" t="inlineStr">
        <is>
          <t>A列にLD名（シート名と同じ）を入れるだけで自動集計。🔴→🟡→🟢の順に週次MTGで確認</t>
        </is>
      </c>
    </row>
    <row r="4" ht="30" customHeight="1">
      <c r="A4" s="6" t="inlineStr">
        <is>
          <t>稼働中ローンチ</t>
        </is>
      </c>
      <c r="B4" s="6" t="inlineStr">
        <is>
          <t>正式プリコア合計</t>
        </is>
      </c>
      <c r="C4" s="6" t="inlineStr">
        <is>
          <t>🔴 要対策</t>
        </is>
      </c>
      <c r="D4" s="6" t="inlineStr">
        <is>
          <t>🟡 要注意</t>
        </is>
      </c>
      <c r="E4" s="6" t="inlineStr">
        <is>
          <t>直近7日 面談合計</t>
        </is>
      </c>
      <c r="F4" s="6" t="inlineStr">
        <is>
          <t>本日ログ入力数</t>
        </is>
      </c>
      <c r="G4" s="6" t="inlineStr">
        <is>
          <t>ログ停滞ローンチ</t>
        </is>
      </c>
      <c r="H4" s="6" t="inlineStr">
        <is>
          <t>入会前アラート</t>
        </is>
      </c>
      <c r="I4" s="6" t="inlineStr">
        <is>
          <t>入会後タスク遅れ</t>
        </is>
      </c>
      <c r="J4" s="6" t="inlineStr">
        <is>
          <t>LINEグループ未招待</t>
        </is>
      </c>
    </row>
    <row r="5">
      <c r="A5" s="7">
        <f>COUNTIF(E8:E27,"フェーズ*")</f>
        <v/>
      </c>
      <c r="B5" s="7">
        <f>SUM(J8:J27)</f>
        <v/>
      </c>
      <c r="C5" s="7">
        <f>COUNTIF(M8:M27,"🔴*")</f>
        <v/>
      </c>
      <c r="D5" s="7">
        <f>COUNTIF(M8:M27,"🟡*")</f>
        <v/>
      </c>
      <c r="E5" s="7">
        <f>SUM(O8:O27)</f>
        <v/>
      </c>
      <c r="F5" s="7">
        <f>COUNTIF('日次ログ'!$A$5:$A$1504,TODAY())</f>
        <v/>
      </c>
      <c r="G5" s="7">
        <f>SUMPRODUCT((LEFT(E8:E27,4)="フェーズ")*(((P8:P27="")+(IFERROR(TODAY()-P8:P27,0)&gt;='設定'!$B$8))&gt;0))</f>
        <v/>
      </c>
      <c r="H5" s="7">
        <f>COUNTIF('CCS追っかけ'!$W$5:$W$504,"?*")</f>
        <v/>
      </c>
      <c r="I5" s="7">
        <f>COUNTIF('入会後行動リスト'!$J$5:$J$2004,"期限超過")</f>
        <v/>
      </c>
      <c r="J5" s="7">
        <f>COUNTIFS('入会後行動リスト'!$D$5:$D$2004,"*LINEグループ*",'入会後行動リスト'!$H$5:$H$2004,"&lt;&gt;✓")</f>
        <v/>
      </c>
    </row>
    <row r="7" ht="32" customHeight="1">
      <c r="A7" s="8" t="inlineStr">
        <is>
          <t>ローンチディレクター</t>
        </is>
      </c>
      <c r="B7" s="8" t="inlineStr">
        <is>
          <t>チーム</t>
        </is>
      </c>
      <c r="C7" s="8" t="inlineStr">
        <is>
          <t>チャプター名</t>
        </is>
      </c>
      <c r="D7" s="8" t="inlineStr">
        <is>
          <t>初回定例会目安</t>
        </is>
      </c>
      <c r="E7" s="8" t="inlineStr">
        <is>
          <t>現フェーズ</t>
        </is>
      </c>
      <c r="F7" s="8" t="inlineStr">
        <is>
          <t>フェーズ開始日</t>
        </is>
      </c>
      <c r="G7" s="8" t="inlineStr">
        <is>
          <t>フェーズ期限</t>
        </is>
      </c>
      <c r="H7" s="8" t="inlineStr">
        <is>
          <t>残日数</t>
        </is>
      </c>
      <c r="I7" s="8" t="inlineStr">
        <is>
          <t>目標人数</t>
        </is>
      </c>
      <c r="J7" s="8" t="inlineStr">
        <is>
          <t>正式プリコア</t>
        </is>
      </c>
      <c r="K7" s="8" t="inlineStr">
        <is>
          <t>手続き中・入会前</t>
        </is>
      </c>
      <c r="L7" s="8" t="inlineStr">
        <is>
          <t>達成率</t>
        </is>
      </c>
      <c r="M7" s="8" t="inlineStr">
        <is>
          <t>判定</t>
        </is>
      </c>
      <c r="N7" s="8" t="inlineStr">
        <is>
          <t>直近7日
声かけ</t>
        </is>
      </c>
      <c r="O7" s="8" t="inlineStr">
        <is>
          <t>直近7日
面談</t>
        </is>
      </c>
      <c r="P7" s="8" t="inlineStr">
        <is>
          <t>最終ログ日</t>
        </is>
      </c>
      <c r="Q7" s="8" t="inlineStr">
        <is>
          <t>体制
(承諾/記入)</t>
        </is>
      </c>
      <c r="R7" s="8" t="inlineStr">
        <is>
          <t>今週の課題・EDへの相談</t>
        </is>
      </c>
      <c r="S7" s="8" t="inlineStr">
        <is>
          <t>詳細シート</t>
        </is>
      </c>
      <c r="T7" s="8" t="inlineStr">
        <is>
          <t>入会後
タスク遅れ</t>
        </is>
      </c>
      <c r="U7" s="8" t="inlineStr">
        <is>
          <t>CCS済
（累計）</t>
        </is>
      </c>
    </row>
    <row r="8">
      <c r="A8" s="9" t="inlineStr">
        <is>
          <t>竹尾純子</t>
        </is>
      </c>
      <c r="B8" s="10">
        <f>IF($A8="","",IFERROR(IF(INDIRECT("'"&amp;$A8&amp;"'!B4")="","",INDIRECT("'"&amp;$A8&amp;"'!B4")),""))</f>
        <v/>
      </c>
      <c r="C8" s="11">
        <f>IF($A8="","",IFERROR(IF(INDIRECT("'"&amp;$A8&amp;"'!B6")="","",INDIRECT("'"&amp;$A8&amp;"'!B6")),""))</f>
        <v/>
      </c>
      <c r="D8" s="12">
        <f>IF($A8="","",IFERROR(IF(INDIRECT("'"&amp;$A8&amp;"'!B8")="","",INDIRECT("'"&amp;$A8&amp;"'!B8")),""))</f>
        <v/>
      </c>
      <c r="E8" s="10">
        <f>IF($A8="","",IFERROR(IF(INDIRECT("'"&amp;$A8&amp;"'!B24")="","",INDIRECT("'"&amp;$A8&amp;"'!B24")),""))</f>
        <v/>
      </c>
      <c r="F8" s="12">
        <f>IF($A8="","",IFERROR(IF(INDIRECT("'"&amp;$A8&amp;"'!B25")="","",INDIRECT("'"&amp;$A8&amp;"'!B25")),""))</f>
        <v/>
      </c>
      <c r="G8" s="12">
        <f>IF(OR($A8="",F8=""),"",IF(E8="フェーズ1",F8+'設定'!$B$4,IF(E8="フェーズ2",F8+'設定'!$B$5,"")))</f>
        <v/>
      </c>
      <c r="H8" s="10">
        <f>IF(G8="","",G8-TODAY())</f>
        <v/>
      </c>
      <c r="I8" s="10">
        <f>IF($A8="","",IFERROR(IF(INDIRECT("'"&amp;$A8&amp;"'!B26")="","",INDIRECT("'"&amp;$A8&amp;"'!B26")),""))</f>
        <v/>
      </c>
      <c r="J8" s="10">
        <f>IF($A8="","",COUNTIFS('CCS追っかけ'!$B$5:$B$504,$A8,'CCS追っかけ'!$P$5:$P$504,"✅正式"))</f>
        <v/>
      </c>
      <c r="K8" s="10">
        <f>IF($A8="","",COUNTIFS('CCS追っかけ'!$B$5:$B$504,$A8,'CCS追っかけ'!$D$5:$D$504,"&lt;&gt;",'CCS追っかけ'!$V$5:$V$504,"&lt;&gt;辞退")-J8)</f>
        <v/>
      </c>
      <c r="L8" s="13">
        <f>IF(OR($A8="",I8="",I8=0),"",J8/I8)</f>
        <v/>
      </c>
      <c r="M8" s="10">
        <f>IF(OR($A8="",I8="",F8=""),"",IF(J8&gt;=I8,"🟢達成",IF(G8="","🟡進行中",IF(H8&lt;0,"🔴期限超過",IF(AND(H8&lt;='設定'!$B$7,J8&lt;I8*0.8),"🔴期限間近",IF(J8&gt;=I8*MIN(1,(TODAY()-F8)/(G8-F8)),"🟢順調",IF(J8&gt;=I8*MIN(1,(TODAY()-F8)/(G8-F8))*'設定'!$B$6,"🟡要注意","🔴遅れ")))))))</f>
        <v/>
      </c>
      <c r="N8" s="10">
        <f>IF($A8="","",SUMIFS('日次ログ'!$D$5:$D$1504,'日次ログ'!$B$5:$B$1504,$A8,'日次ログ'!$A$5:$A$1504,"&gt;="&amp;(TODAY()-6)))</f>
        <v/>
      </c>
      <c r="O8" s="10">
        <f>IF($A8="","",SUMIFS('日次ログ'!$F$5:$F$1504,'日次ログ'!$B$5:$B$1504,$A8,'日次ログ'!$A$5:$A$1504,"&gt;="&amp;(TODAY()-6)))</f>
        <v/>
      </c>
      <c r="P8" s="12">
        <f>IF($A8="","",IF(COUNTIF('日次ログ'!$B$5:$B$1504,$A8)=0,"",_xlfn.MAXIFS('日次ログ'!$A$5:$A$1504,'日次ログ'!$B$5:$B$1504,$A8)))</f>
        <v/>
      </c>
      <c r="Q8" s="10">
        <f>IF($A8="","",IFERROR(COUNTIF(INDIRECT("'"&amp;$A8&amp;"'!E9:E21"),"承諾")&amp;" / "&amp;COUNTA(INDIRECT("'"&amp;$A8&amp;"'!B9:B21")),""))</f>
        <v/>
      </c>
      <c r="R8" s="14">
        <f>IF($A8="","",IFERROR(IF(INDIRECT("'"&amp;$A8&amp;"'!B27")="","",INDIRECT("'"&amp;$A8&amp;"'!B27")),""))</f>
        <v/>
      </c>
      <c r="S8" s="11">
        <f>IF($A8="","",IFERROR(IF(INDIRECT("'"&amp;$A8&amp;"'!B28")="","",INDIRECT("'"&amp;$A8&amp;"'!B28")),""))</f>
        <v/>
      </c>
      <c r="T8" s="10">
        <f>IF($A8="","",COUNTIFS('入会後行動リスト'!$B$5:$B$2004,$A8,'入会後行動リスト'!$J$5:$J$2004,"期限超過"))</f>
        <v/>
      </c>
      <c r="U8" s="10">
        <f>IF($A8="","",COUNTIFS('CCS追っかけ'!$B$5:$B$504,$A8,'CCS追っかけ'!$J$5:$J$504,"CCS済")+COUNTIFS('CCS追っかけ'!$B$5:$B$504,$A8,'CCS追っかけ'!$P$5:$P$504,"✅正式",'CCS追っかけ'!$J$5:$J$504,"&lt;&gt;CCS済"))</f>
        <v/>
      </c>
    </row>
    <row r="9">
      <c r="A9" s="9" t="inlineStr">
        <is>
          <t>福重孝一</t>
        </is>
      </c>
      <c r="B9" s="10">
        <f>IF($A9="","",IFERROR(IF(INDIRECT("'"&amp;$A9&amp;"'!B4")="","",INDIRECT("'"&amp;$A9&amp;"'!B4")),""))</f>
        <v/>
      </c>
      <c r="C9" s="11">
        <f>IF($A9="","",IFERROR(IF(INDIRECT("'"&amp;$A9&amp;"'!B6")="","",INDIRECT("'"&amp;$A9&amp;"'!B6")),""))</f>
        <v/>
      </c>
      <c r="D9" s="12">
        <f>IF($A9="","",IFERROR(IF(INDIRECT("'"&amp;$A9&amp;"'!B8")="","",INDIRECT("'"&amp;$A9&amp;"'!B8")),""))</f>
        <v/>
      </c>
      <c r="E9" s="10">
        <f>IF($A9="","",IFERROR(IF(INDIRECT("'"&amp;$A9&amp;"'!B24")="","",INDIRECT("'"&amp;$A9&amp;"'!B24")),""))</f>
        <v/>
      </c>
      <c r="F9" s="12">
        <f>IF($A9="","",IFERROR(IF(INDIRECT("'"&amp;$A9&amp;"'!B25")="","",INDIRECT("'"&amp;$A9&amp;"'!B25")),""))</f>
        <v/>
      </c>
      <c r="G9" s="12">
        <f>IF(OR($A9="",F9=""),"",IF(E9="フェーズ1",F9+'設定'!$B$4,IF(E9="フェーズ2",F9+'設定'!$B$5,"")))</f>
        <v/>
      </c>
      <c r="H9" s="10">
        <f>IF(G9="","",G9-TODAY())</f>
        <v/>
      </c>
      <c r="I9" s="10">
        <f>IF($A9="","",IFERROR(IF(INDIRECT("'"&amp;$A9&amp;"'!B26")="","",INDIRECT("'"&amp;$A9&amp;"'!B26")),""))</f>
        <v/>
      </c>
      <c r="J9" s="10">
        <f>IF($A9="","",COUNTIFS('CCS追っかけ'!$B$5:$B$504,$A9,'CCS追っかけ'!$P$5:$P$504,"✅正式"))</f>
        <v/>
      </c>
      <c r="K9" s="10">
        <f>IF($A9="","",COUNTIFS('CCS追っかけ'!$B$5:$B$504,$A9,'CCS追っかけ'!$D$5:$D$504,"&lt;&gt;",'CCS追っかけ'!$V$5:$V$504,"&lt;&gt;辞退")-J9)</f>
        <v/>
      </c>
      <c r="L9" s="13">
        <f>IF(OR($A9="",I9="",I9=0),"",J9/I9)</f>
        <v/>
      </c>
      <c r="M9" s="10">
        <f>IF(OR($A9="",I9="",F9=""),"",IF(J9&gt;=I9,"🟢達成",IF(G9="","🟡進行中",IF(H9&lt;0,"🔴期限超過",IF(AND(H9&lt;='設定'!$B$7,J9&lt;I9*0.8),"🔴期限間近",IF(J9&gt;=I9*MIN(1,(TODAY()-F9)/(G9-F9)),"🟢順調",IF(J9&gt;=I9*MIN(1,(TODAY()-F9)/(G9-F9))*'設定'!$B$6,"🟡要注意","🔴遅れ")))))))</f>
        <v/>
      </c>
      <c r="N9" s="10">
        <f>IF($A9="","",SUMIFS('日次ログ'!$D$5:$D$1504,'日次ログ'!$B$5:$B$1504,$A9,'日次ログ'!$A$5:$A$1504,"&gt;="&amp;(TODAY()-6)))</f>
        <v/>
      </c>
      <c r="O9" s="10">
        <f>IF($A9="","",SUMIFS('日次ログ'!$F$5:$F$1504,'日次ログ'!$B$5:$B$1504,$A9,'日次ログ'!$A$5:$A$1504,"&gt;="&amp;(TODAY()-6)))</f>
        <v/>
      </c>
      <c r="P9" s="12">
        <f>IF($A9="","",IF(COUNTIF('日次ログ'!$B$5:$B$1504,$A9)=0,"",_xlfn.MAXIFS('日次ログ'!$A$5:$A$1504,'日次ログ'!$B$5:$B$1504,$A9)))</f>
        <v/>
      </c>
      <c r="Q9" s="10">
        <f>IF($A9="","",IFERROR(COUNTIF(INDIRECT("'"&amp;$A9&amp;"'!E9:E21"),"承諾")&amp;" / "&amp;COUNTA(INDIRECT("'"&amp;$A9&amp;"'!B9:B21")),""))</f>
        <v/>
      </c>
      <c r="R9" s="14">
        <f>IF($A9="","",IFERROR(IF(INDIRECT("'"&amp;$A9&amp;"'!B27")="","",INDIRECT("'"&amp;$A9&amp;"'!B27")),""))</f>
        <v/>
      </c>
      <c r="S9" s="11">
        <f>IF($A9="","",IFERROR(IF(INDIRECT("'"&amp;$A9&amp;"'!B28")="","",INDIRECT("'"&amp;$A9&amp;"'!B28")),""))</f>
        <v/>
      </c>
      <c r="T9" s="10">
        <f>IF($A9="","",COUNTIFS('入会後行動リスト'!$B$5:$B$2004,$A9,'入会後行動リスト'!$J$5:$J$2004,"期限超過"))</f>
        <v/>
      </c>
      <c r="U9" s="10">
        <f>IF($A9="","",COUNTIFS('CCS追っかけ'!$B$5:$B$504,$A9,'CCS追っかけ'!$J$5:$J$504,"CCS済")+COUNTIFS('CCS追っかけ'!$B$5:$B$504,$A9,'CCS追っかけ'!$P$5:$P$504,"✅正式",'CCS追っかけ'!$J$5:$J$504,"&lt;&gt;CCS済"))</f>
        <v/>
      </c>
    </row>
    <row r="10">
      <c r="A10" s="9" t="inlineStr">
        <is>
          <t>矢野貴之</t>
        </is>
      </c>
      <c r="B10" s="10">
        <f>IF($A10="","",IFERROR(IF(INDIRECT("'"&amp;$A10&amp;"'!B4")="","",INDIRECT("'"&amp;$A10&amp;"'!B4")),""))</f>
        <v/>
      </c>
      <c r="C10" s="11">
        <f>IF($A10="","",IFERROR(IF(INDIRECT("'"&amp;$A10&amp;"'!B6")="","",INDIRECT("'"&amp;$A10&amp;"'!B6")),""))</f>
        <v/>
      </c>
      <c r="D10" s="12">
        <f>IF($A10="","",IFERROR(IF(INDIRECT("'"&amp;$A10&amp;"'!B8")="","",INDIRECT("'"&amp;$A10&amp;"'!B8")),""))</f>
        <v/>
      </c>
      <c r="E10" s="10">
        <f>IF($A10="","",IFERROR(IF(INDIRECT("'"&amp;$A10&amp;"'!B24")="","",INDIRECT("'"&amp;$A10&amp;"'!B24")),""))</f>
        <v/>
      </c>
      <c r="F10" s="12">
        <f>IF($A10="","",IFERROR(IF(INDIRECT("'"&amp;$A10&amp;"'!B25")="","",INDIRECT("'"&amp;$A10&amp;"'!B25")),""))</f>
        <v/>
      </c>
      <c r="G10" s="12">
        <f>IF(OR($A10="",F10=""),"",IF(E10="フェーズ1",F10+'設定'!$B$4,IF(E10="フェーズ2",F10+'設定'!$B$5,"")))</f>
        <v/>
      </c>
      <c r="H10" s="10">
        <f>IF(G10="","",G10-TODAY())</f>
        <v/>
      </c>
      <c r="I10" s="10">
        <f>IF($A10="","",IFERROR(IF(INDIRECT("'"&amp;$A10&amp;"'!B26")="","",INDIRECT("'"&amp;$A10&amp;"'!B26")),""))</f>
        <v/>
      </c>
      <c r="J10" s="10">
        <f>IF($A10="","",COUNTIFS('CCS追っかけ'!$B$5:$B$504,$A10,'CCS追っかけ'!$P$5:$P$504,"✅正式"))</f>
        <v/>
      </c>
      <c r="K10" s="10">
        <f>IF($A10="","",COUNTIFS('CCS追っかけ'!$B$5:$B$504,$A10,'CCS追っかけ'!$D$5:$D$504,"&lt;&gt;",'CCS追っかけ'!$V$5:$V$504,"&lt;&gt;辞退")-J10)</f>
        <v/>
      </c>
      <c r="L10" s="13">
        <f>IF(OR($A10="",I10="",I10=0),"",J10/I10)</f>
        <v/>
      </c>
      <c r="M10" s="10">
        <f>IF(OR($A10="",I10="",F10=""),"",IF(J10&gt;=I10,"🟢達成",IF(G10="","🟡進行中",IF(H10&lt;0,"🔴期限超過",IF(AND(H10&lt;='設定'!$B$7,J10&lt;I10*0.8),"🔴期限間近",IF(J10&gt;=I10*MIN(1,(TODAY()-F10)/(G10-F10)),"🟢順調",IF(J10&gt;=I10*MIN(1,(TODAY()-F10)/(G10-F10))*'設定'!$B$6,"🟡要注意","🔴遅れ")))))))</f>
        <v/>
      </c>
      <c r="N10" s="10">
        <f>IF($A10="","",SUMIFS('日次ログ'!$D$5:$D$1504,'日次ログ'!$B$5:$B$1504,$A10,'日次ログ'!$A$5:$A$1504,"&gt;="&amp;(TODAY()-6)))</f>
        <v/>
      </c>
      <c r="O10" s="10">
        <f>IF($A10="","",SUMIFS('日次ログ'!$F$5:$F$1504,'日次ログ'!$B$5:$B$1504,$A10,'日次ログ'!$A$5:$A$1504,"&gt;="&amp;(TODAY()-6)))</f>
        <v/>
      </c>
      <c r="P10" s="12">
        <f>IF($A10="","",IF(COUNTIF('日次ログ'!$B$5:$B$1504,$A10)=0,"",_xlfn.MAXIFS('日次ログ'!$A$5:$A$1504,'日次ログ'!$B$5:$B$1504,$A10)))</f>
        <v/>
      </c>
      <c r="Q10" s="10">
        <f>IF($A10="","",IFERROR(COUNTIF(INDIRECT("'"&amp;$A10&amp;"'!E9:E21"),"承諾")&amp;" / "&amp;COUNTA(INDIRECT("'"&amp;$A10&amp;"'!B9:B21")),""))</f>
        <v/>
      </c>
      <c r="R10" s="14">
        <f>IF($A10="","",IFERROR(IF(INDIRECT("'"&amp;$A10&amp;"'!B27")="","",INDIRECT("'"&amp;$A10&amp;"'!B27")),""))</f>
        <v/>
      </c>
      <c r="S10" s="11">
        <f>IF($A10="","",IFERROR(IF(INDIRECT("'"&amp;$A10&amp;"'!B28")="","",INDIRECT("'"&amp;$A10&amp;"'!B28")),""))</f>
        <v/>
      </c>
      <c r="T10" s="10">
        <f>IF($A10="","",COUNTIFS('入会後行動リスト'!$B$5:$B$2004,$A10,'入会後行動リスト'!$J$5:$J$2004,"期限超過"))</f>
        <v/>
      </c>
      <c r="U10" s="10">
        <f>IF($A10="","",COUNTIFS('CCS追っかけ'!$B$5:$B$504,$A10,'CCS追っかけ'!$J$5:$J$504,"CCS済")+COUNTIFS('CCS追っかけ'!$B$5:$B$504,$A10,'CCS追っかけ'!$P$5:$P$504,"✅正式",'CCS追っかけ'!$J$5:$J$504,"&lt;&gt;CCS済"))</f>
        <v/>
      </c>
    </row>
    <row r="11">
      <c r="A11" s="9" t="inlineStr">
        <is>
          <t>榎田秀一</t>
        </is>
      </c>
      <c r="B11" s="10">
        <f>IF($A11="","",IFERROR(IF(INDIRECT("'"&amp;$A11&amp;"'!B4")="","",INDIRECT("'"&amp;$A11&amp;"'!B4")),""))</f>
        <v/>
      </c>
      <c r="C11" s="11">
        <f>IF($A11="","",IFERROR(IF(INDIRECT("'"&amp;$A11&amp;"'!B6")="","",INDIRECT("'"&amp;$A11&amp;"'!B6")),""))</f>
        <v/>
      </c>
      <c r="D11" s="12">
        <f>IF($A11="","",IFERROR(IF(INDIRECT("'"&amp;$A11&amp;"'!B8")="","",INDIRECT("'"&amp;$A11&amp;"'!B8")),""))</f>
        <v/>
      </c>
      <c r="E11" s="10">
        <f>IF($A11="","",IFERROR(IF(INDIRECT("'"&amp;$A11&amp;"'!B24")="","",INDIRECT("'"&amp;$A11&amp;"'!B24")),""))</f>
        <v/>
      </c>
      <c r="F11" s="12">
        <f>IF($A11="","",IFERROR(IF(INDIRECT("'"&amp;$A11&amp;"'!B25")="","",INDIRECT("'"&amp;$A11&amp;"'!B25")),""))</f>
        <v/>
      </c>
      <c r="G11" s="12">
        <f>IF(OR($A11="",F11=""),"",IF(E11="フェーズ1",F11+'設定'!$B$4,IF(E11="フェーズ2",F11+'設定'!$B$5,"")))</f>
        <v/>
      </c>
      <c r="H11" s="10">
        <f>IF(G11="","",G11-TODAY())</f>
        <v/>
      </c>
      <c r="I11" s="10">
        <f>IF($A11="","",IFERROR(IF(INDIRECT("'"&amp;$A11&amp;"'!B26")="","",INDIRECT("'"&amp;$A11&amp;"'!B26")),""))</f>
        <v/>
      </c>
      <c r="J11" s="10">
        <f>IF($A11="","",COUNTIFS('CCS追っかけ'!$B$5:$B$504,$A11,'CCS追っかけ'!$P$5:$P$504,"✅正式"))</f>
        <v/>
      </c>
      <c r="K11" s="10">
        <f>IF($A11="","",COUNTIFS('CCS追っかけ'!$B$5:$B$504,$A11,'CCS追っかけ'!$D$5:$D$504,"&lt;&gt;",'CCS追っかけ'!$V$5:$V$504,"&lt;&gt;辞退")-J11)</f>
        <v/>
      </c>
      <c r="L11" s="13">
        <f>IF(OR($A11="",I11="",I11=0),"",J11/I11)</f>
        <v/>
      </c>
      <c r="M11" s="10">
        <f>IF(OR($A11="",I11="",F11=""),"",IF(J11&gt;=I11,"🟢達成",IF(G11="","🟡進行中",IF(H11&lt;0,"🔴期限超過",IF(AND(H11&lt;='設定'!$B$7,J11&lt;I11*0.8),"🔴期限間近",IF(J11&gt;=I11*MIN(1,(TODAY()-F11)/(G11-F11)),"🟢順調",IF(J11&gt;=I11*MIN(1,(TODAY()-F11)/(G11-F11))*'設定'!$B$6,"🟡要注意","🔴遅れ")))))))</f>
        <v/>
      </c>
      <c r="N11" s="10">
        <f>IF($A11="","",SUMIFS('日次ログ'!$D$5:$D$1504,'日次ログ'!$B$5:$B$1504,$A11,'日次ログ'!$A$5:$A$1504,"&gt;="&amp;(TODAY()-6)))</f>
        <v/>
      </c>
      <c r="O11" s="10">
        <f>IF($A11="","",SUMIFS('日次ログ'!$F$5:$F$1504,'日次ログ'!$B$5:$B$1504,$A11,'日次ログ'!$A$5:$A$1504,"&gt;="&amp;(TODAY()-6)))</f>
        <v/>
      </c>
      <c r="P11" s="12">
        <f>IF($A11="","",IF(COUNTIF('日次ログ'!$B$5:$B$1504,$A11)=0,"",_xlfn.MAXIFS('日次ログ'!$A$5:$A$1504,'日次ログ'!$B$5:$B$1504,$A11)))</f>
        <v/>
      </c>
      <c r="Q11" s="10">
        <f>IF($A11="","",IFERROR(COUNTIF(INDIRECT("'"&amp;$A11&amp;"'!E9:E21"),"承諾")&amp;" / "&amp;COUNTA(INDIRECT("'"&amp;$A11&amp;"'!B9:B21")),""))</f>
        <v/>
      </c>
      <c r="R11" s="14">
        <f>IF($A11="","",IFERROR(IF(INDIRECT("'"&amp;$A11&amp;"'!B27")="","",INDIRECT("'"&amp;$A11&amp;"'!B27")),""))</f>
        <v/>
      </c>
      <c r="S11" s="11">
        <f>IF($A11="","",IFERROR(IF(INDIRECT("'"&amp;$A11&amp;"'!B28")="","",INDIRECT("'"&amp;$A11&amp;"'!B28")),""))</f>
        <v/>
      </c>
      <c r="T11" s="10">
        <f>IF($A11="","",COUNTIFS('入会後行動リスト'!$B$5:$B$2004,$A11,'入会後行動リスト'!$J$5:$J$2004,"期限超過"))</f>
        <v/>
      </c>
      <c r="U11" s="10">
        <f>IF($A11="","",COUNTIFS('CCS追っかけ'!$B$5:$B$504,$A11,'CCS追っかけ'!$J$5:$J$504,"CCS済")+COUNTIFS('CCS追っかけ'!$B$5:$B$504,$A11,'CCS追っかけ'!$P$5:$P$504,"✅正式",'CCS追っかけ'!$J$5:$J$504,"&lt;&gt;CCS済"))</f>
        <v/>
      </c>
    </row>
    <row r="12">
      <c r="A12" s="9" t="inlineStr">
        <is>
          <t>世良真貴男</t>
        </is>
      </c>
      <c r="B12" s="10">
        <f>IF($A12="","",IFERROR(IF(INDIRECT("'"&amp;$A12&amp;"'!B4")="","",INDIRECT("'"&amp;$A12&amp;"'!B4")),""))</f>
        <v/>
      </c>
      <c r="C12" s="11">
        <f>IF($A12="","",IFERROR(IF(INDIRECT("'"&amp;$A12&amp;"'!B6")="","",INDIRECT("'"&amp;$A12&amp;"'!B6")),""))</f>
        <v/>
      </c>
      <c r="D12" s="12">
        <f>IF($A12="","",IFERROR(IF(INDIRECT("'"&amp;$A12&amp;"'!B8")="","",INDIRECT("'"&amp;$A12&amp;"'!B8")),""))</f>
        <v/>
      </c>
      <c r="E12" s="10">
        <f>IF($A12="","",IFERROR(IF(INDIRECT("'"&amp;$A12&amp;"'!B24")="","",INDIRECT("'"&amp;$A12&amp;"'!B24")),""))</f>
        <v/>
      </c>
      <c r="F12" s="12">
        <f>IF($A12="","",IFERROR(IF(INDIRECT("'"&amp;$A12&amp;"'!B25")="","",INDIRECT("'"&amp;$A12&amp;"'!B25")),""))</f>
        <v/>
      </c>
      <c r="G12" s="12">
        <f>IF(OR($A12="",F12=""),"",IF(E12="フェーズ1",F12+'設定'!$B$4,IF(E12="フェーズ2",F12+'設定'!$B$5,"")))</f>
        <v/>
      </c>
      <c r="H12" s="10">
        <f>IF(G12="","",G12-TODAY())</f>
        <v/>
      </c>
      <c r="I12" s="10">
        <f>IF($A12="","",IFERROR(IF(INDIRECT("'"&amp;$A12&amp;"'!B26")="","",INDIRECT("'"&amp;$A12&amp;"'!B26")),""))</f>
        <v/>
      </c>
      <c r="J12" s="10">
        <f>IF($A12="","",COUNTIFS('CCS追っかけ'!$B$5:$B$504,$A12,'CCS追っかけ'!$P$5:$P$504,"✅正式"))</f>
        <v/>
      </c>
      <c r="K12" s="10">
        <f>IF($A12="","",COUNTIFS('CCS追っかけ'!$B$5:$B$504,$A12,'CCS追っかけ'!$D$5:$D$504,"&lt;&gt;",'CCS追っかけ'!$V$5:$V$504,"&lt;&gt;辞退")-J12)</f>
        <v/>
      </c>
      <c r="L12" s="13">
        <f>IF(OR($A12="",I12="",I12=0),"",J12/I12)</f>
        <v/>
      </c>
      <c r="M12" s="10">
        <f>IF(OR($A12="",I12="",F12=""),"",IF(J12&gt;=I12,"🟢達成",IF(G12="","🟡進行中",IF(H12&lt;0,"🔴期限超過",IF(AND(H12&lt;='設定'!$B$7,J12&lt;I12*0.8),"🔴期限間近",IF(J12&gt;=I12*MIN(1,(TODAY()-F12)/(G12-F12)),"🟢順調",IF(J12&gt;=I12*MIN(1,(TODAY()-F12)/(G12-F12))*'設定'!$B$6,"🟡要注意","🔴遅れ")))))))</f>
        <v/>
      </c>
      <c r="N12" s="10">
        <f>IF($A12="","",SUMIFS('日次ログ'!$D$5:$D$1504,'日次ログ'!$B$5:$B$1504,$A12,'日次ログ'!$A$5:$A$1504,"&gt;="&amp;(TODAY()-6)))</f>
        <v/>
      </c>
      <c r="O12" s="10">
        <f>IF($A12="","",SUMIFS('日次ログ'!$F$5:$F$1504,'日次ログ'!$B$5:$B$1504,$A12,'日次ログ'!$A$5:$A$1504,"&gt;="&amp;(TODAY()-6)))</f>
        <v/>
      </c>
      <c r="P12" s="12">
        <f>IF($A12="","",IF(COUNTIF('日次ログ'!$B$5:$B$1504,$A12)=0,"",_xlfn.MAXIFS('日次ログ'!$A$5:$A$1504,'日次ログ'!$B$5:$B$1504,$A12)))</f>
        <v/>
      </c>
      <c r="Q12" s="10">
        <f>IF($A12="","",IFERROR(COUNTIF(INDIRECT("'"&amp;$A12&amp;"'!E9:E21"),"承諾")&amp;" / "&amp;COUNTA(INDIRECT("'"&amp;$A12&amp;"'!B9:B21")),""))</f>
        <v/>
      </c>
      <c r="R12" s="14">
        <f>IF($A12="","",IFERROR(IF(INDIRECT("'"&amp;$A12&amp;"'!B27")="","",INDIRECT("'"&amp;$A12&amp;"'!B27")),""))</f>
        <v/>
      </c>
      <c r="S12" s="11">
        <f>IF($A12="","",IFERROR(IF(INDIRECT("'"&amp;$A12&amp;"'!B28")="","",INDIRECT("'"&amp;$A12&amp;"'!B28")),""))</f>
        <v/>
      </c>
      <c r="T12" s="10">
        <f>IF($A12="","",COUNTIFS('入会後行動リスト'!$B$5:$B$2004,$A12,'入会後行動リスト'!$J$5:$J$2004,"期限超過"))</f>
        <v/>
      </c>
      <c r="U12" s="10">
        <f>IF($A12="","",COUNTIFS('CCS追っかけ'!$B$5:$B$504,$A12,'CCS追っかけ'!$J$5:$J$504,"CCS済")+COUNTIFS('CCS追っかけ'!$B$5:$B$504,$A12,'CCS追っかけ'!$P$5:$P$504,"✅正式",'CCS追っかけ'!$J$5:$J$504,"&lt;&gt;CCS済"))</f>
        <v/>
      </c>
    </row>
    <row r="13">
      <c r="A13" s="9" t="inlineStr">
        <is>
          <t>松永健志</t>
        </is>
      </c>
      <c r="B13" s="10">
        <f>IF($A13="","",IFERROR(IF(INDIRECT("'"&amp;$A13&amp;"'!B4")="","",INDIRECT("'"&amp;$A13&amp;"'!B4")),""))</f>
        <v/>
      </c>
      <c r="C13" s="11">
        <f>IF($A13="","",IFERROR(IF(INDIRECT("'"&amp;$A13&amp;"'!B6")="","",INDIRECT("'"&amp;$A13&amp;"'!B6")),""))</f>
        <v/>
      </c>
      <c r="D13" s="12">
        <f>IF($A13="","",IFERROR(IF(INDIRECT("'"&amp;$A13&amp;"'!B8")="","",INDIRECT("'"&amp;$A13&amp;"'!B8")),""))</f>
        <v/>
      </c>
      <c r="E13" s="10">
        <f>IF($A13="","",IFERROR(IF(INDIRECT("'"&amp;$A13&amp;"'!B24")="","",INDIRECT("'"&amp;$A13&amp;"'!B24")),""))</f>
        <v/>
      </c>
      <c r="F13" s="12">
        <f>IF($A13="","",IFERROR(IF(INDIRECT("'"&amp;$A13&amp;"'!B25")="","",INDIRECT("'"&amp;$A13&amp;"'!B25")),""))</f>
        <v/>
      </c>
      <c r="G13" s="12">
        <f>IF(OR($A13="",F13=""),"",IF(E13="フェーズ1",F13+'設定'!$B$4,IF(E13="フェーズ2",F13+'設定'!$B$5,"")))</f>
        <v/>
      </c>
      <c r="H13" s="10">
        <f>IF(G13="","",G13-TODAY())</f>
        <v/>
      </c>
      <c r="I13" s="10">
        <f>IF($A13="","",IFERROR(IF(INDIRECT("'"&amp;$A13&amp;"'!B26")="","",INDIRECT("'"&amp;$A13&amp;"'!B26")),""))</f>
        <v/>
      </c>
      <c r="J13" s="10">
        <f>IF($A13="","",COUNTIFS('CCS追っかけ'!$B$5:$B$504,$A13,'CCS追っかけ'!$P$5:$P$504,"✅正式"))</f>
        <v/>
      </c>
      <c r="K13" s="10">
        <f>IF($A13="","",COUNTIFS('CCS追っかけ'!$B$5:$B$504,$A13,'CCS追っかけ'!$D$5:$D$504,"&lt;&gt;",'CCS追っかけ'!$V$5:$V$504,"&lt;&gt;辞退")-J13)</f>
        <v/>
      </c>
      <c r="L13" s="13">
        <f>IF(OR($A13="",I13="",I13=0),"",J13/I13)</f>
        <v/>
      </c>
      <c r="M13" s="10">
        <f>IF(OR($A13="",I13="",F13=""),"",IF(J13&gt;=I13,"🟢達成",IF(G13="","🟡進行中",IF(H13&lt;0,"🔴期限超過",IF(AND(H13&lt;='設定'!$B$7,J13&lt;I13*0.8),"🔴期限間近",IF(J13&gt;=I13*MIN(1,(TODAY()-F13)/(G13-F13)),"🟢順調",IF(J13&gt;=I13*MIN(1,(TODAY()-F13)/(G13-F13))*'設定'!$B$6,"🟡要注意","🔴遅れ")))))))</f>
        <v/>
      </c>
      <c r="N13" s="10">
        <f>IF($A13="","",SUMIFS('日次ログ'!$D$5:$D$1504,'日次ログ'!$B$5:$B$1504,$A13,'日次ログ'!$A$5:$A$1504,"&gt;="&amp;(TODAY()-6)))</f>
        <v/>
      </c>
      <c r="O13" s="10">
        <f>IF($A13="","",SUMIFS('日次ログ'!$F$5:$F$1504,'日次ログ'!$B$5:$B$1504,$A13,'日次ログ'!$A$5:$A$1504,"&gt;="&amp;(TODAY()-6)))</f>
        <v/>
      </c>
      <c r="P13" s="12">
        <f>IF($A13="","",IF(COUNTIF('日次ログ'!$B$5:$B$1504,$A13)=0,"",_xlfn.MAXIFS('日次ログ'!$A$5:$A$1504,'日次ログ'!$B$5:$B$1504,$A13)))</f>
        <v/>
      </c>
      <c r="Q13" s="10">
        <f>IF($A13="","",IFERROR(COUNTIF(INDIRECT("'"&amp;$A13&amp;"'!E9:E21"),"承諾")&amp;" / "&amp;COUNTA(INDIRECT("'"&amp;$A13&amp;"'!B9:B21")),""))</f>
        <v/>
      </c>
      <c r="R13" s="14">
        <f>IF($A13="","",IFERROR(IF(INDIRECT("'"&amp;$A13&amp;"'!B27")="","",INDIRECT("'"&amp;$A13&amp;"'!B27")),""))</f>
        <v/>
      </c>
      <c r="S13" s="11">
        <f>IF($A13="","",IFERROR(IF(INDIRECT("'"&amp;$A13&amp;"'!B28")="","",INDIRECT("'"&amp;$A13&amp;"'!B28")),""))</f>
        <v/>
      </c>
      <c r="T13" s="10">
        <f>IF($A13="","",COUNTIFS('入会後行動リスト'!$B$5:$B$2004,$A13,'入会後行動リスト'!$J$5:$J$2004,"期限超過"))</f>
        <v/>
      </c>
      <c r="U13" s="10">
        <f>IF($A13="","",COUNTIFS('CCS追っかけ'!$B$5:$B$504,$A13,'CCS追っかけ'!$J$5:$J$504,"CCS済")+COUNTIFS('CCS追っかけ'!$B$5:$B$504,$A13,'CCS追っかけ'!$P$5:$P$504,"✅正式",'CCS追っかけ'!$J$5:$J$504,"&lt;&gt;CCS済"))</f>
        <v/>
      </c>
    </row>
    <row r="14">
      <c r="A14" s="9" t="inlineStr">
        <is>
          <t>中村剛</t>
        </is>
      </c>
      <c r="B14" s="10">
        <f>IF($A14="","",IFERROR(IF(INDIRECT("'"&amp;$A14&amp;"'!B4")="","",INDIRECT("'"&amp;$A14&amp;"'!B4")),""))</f>
        <v/>
      </c>
      <c r="C14" s="11">
        <f>IF($A14="","",IFERROR(IF(INDIRECT("'"&amp;$A14&amp;"'!B6")="","",INDIRECT("'"&amp;$A14&amp;"'!B6")),""))</f>
        <v/>
      </c>
      <c r="D14" s="12">
        <f>IF($A14="","",IFERROR(IF(INDIRECT("'"&amp;$A14&amp;"'!B8")="","",INDIRECT("'"&amp;$A14&amp;"'!B8")),""))</f>
        <v/>
      </c>
      <c r="E14" s="10">
        <f>IF($A14="","",IFERROR(IF(INDIRECT("'"&amp;$A14&amp;"'!B24")="","",INDIRECT("'"&amp;$A14&amp;"'!B24")),""))</f>
        <v/>
      </c>
      <c r="F14" s="12">
        <f>IF($A14="","",IFERROR(IF(INDIRECT("'"&amp;$A14&amp;"'!B25")="","",INDIRECT("'"&amp;$A14&amp;"'!B25")),""))</f>
        <v/>
      </c>
      <c r="G14" s="12">
        <f>IF(OR($A14="",F14=""),"",IF(E14="フェーズ1",F14+'設定'!$B$4,IF(E14="フェーズ2",F14+'設定'!$B$5,"")))</f>
        <v/>
      </c>
      <c r="H14" s="10">
        <f>IF(G14="","",G14-TODAY())</f>
        <v/>
      </c>
      <c r="I14" s="10">
        <f>IF($A14="","",IFERROR(IF(INDIRECT("'"&amp;$A14&amp;"'!B26")="","",INDIRECT("'"&amp;$A14&amp;"'!B26")),""))</f>
        <v/>
      </c>
      <c r="J14" s="10">
        <f>IF($A14="","",COUNTIFS('CCS追っかけ'!$B$5:$B$504,$A14,'CCS追っかけ'!$P$5:$P$504,"✅正式"))</f>
        <v/>
      </c>
      <c r="K14" s="10">
        <f>IF($A14="","",COUNTIFS('CCS追っかけ'!$B$5:$B$504,$A14,'CCS追っかけ'!$D$5:$D$504,"&lt;&gt;",'CCS追っかけ'!$V$5:$V$504,"&lt;&gt;辞退")-J14)</f>
        <v/>
      </c>
      <c r="L14" s="13">
        <f>IF(OR($A14="",I14="",I14=0),"",J14/I14)</f>
        <v/>
      </c>
      <c r="M14" s="10">
        <f>IF(OR($A14="",I14="",F14=""),"",IF(J14&gt;=I14,"🟢達成",IF(G14="","🟡進行中",IF(H14&lt;0,"🔴期限超過",IF(AND(H14&lt;='設定'!$B$7,J14&lt;I14*0.8),"🔴期限間近",IF(J14&gt;=I14*MIN(1,(TODAY()-F14)/(G14-F14)),"🟢順調",IF(J14&gt;=I14*MIN(1,(TODAY()-F14)/(G14-F14))*'設定'!$B$6,"🟡要注意","🔴遅れ")))))))</f>
        <v/>
      </c>
      <c r="N14" s="10">
        <f>IF($A14="","",SUMIFS('日次ログ'!$D$5:$D$1504,'日次ログ'!$B$5:$B$1504,$A14,'日次ログ'!$A$5:$A$1504,"&gt;="&amp;(TODAY()-6)))</f>
        <v/>
      </c>
      <c r="O14" s="10">
        <f>IF($A14="","",SUMIFS('日次ログ'!$F$5:$F$1504,'日次ログ'!$B$5:$B$1504,$A14,'日次ログ'!$A$5:$A$1504,"&gt;="&amp;(TODAY()-6)))</f>
        <v/>
      </c>
      <c r="P14" s="12">
        <f>IF($A14="","",IF(COUNTIF('日次ログ'!$B$5:$B$1504,$A14)=0,"",_xlfn.MAXIFS('日次ログ'!$A$5:$A$1504,'日次ログ'!$B$5:$B$1504,$A14)))</f>
        <v/>
      </c>
      <c r="Q14" s="10">
        <f>IF($A14="","",IFERROR(COUNTIF(INDIRECT("'"&amp;$A14&amp;"'!E9:E21"),"承諾")&amp;" / "&amp;COUNTA(INDIRECT("'"&amp;$A14&amp;"'!B9:B21")),""))</f>
        <v/>
      </c>
      <c r="R14" s="14">
        <f>IF($A14="","",IFERROR(IF(INDIRECT("'"&amp;$A14&amp;"'!B27")="","",INDIRECT("'"&amp;$A14&amp;"'!B27")),""))</f>
        <v/>
      </c>
      <c r="S14" s="11">
        <f>IF($A14="","",IFERROR(IF(INDIRECT("'"&amp;$A14&amp;"'!B28")="","",INDIRECT("'"&amp;$A14&amp;"'!B28")),""))</f>
        <v/>
      </c>
      <c r="T14" s="10">
        <f>IF($A14="","",COUNTIFS('入会後行動リスト'!$B$5:$B$2004,$A14,'入会後行動リスト'!$J$5:$J$2004,"期限超過"))</f>
        <v/>
      </c>
      <c r="U14" s="10">
        <f>IF($A14="","",COUNTIFS('CCS追っかけ'!$B$5:$B$504,$A14,'CCS追っかけ'!$J$5:$J$504,"CCS済")+COUNTIFS('CCS追っかけ'!$B$5:$B$504,$A14,'CCS追っかけ'!$P$5:$P$504,"✅正式",'CCS追っかけ'!$J$5:$J$504,"&lt;&gt;CCS済"))</f>
        <v/>
      </c>
    </row>
    <row r="15">
      <c r="A15" s="9" t="n"/>
      <c r="B15" s="10">
        <f>IF($A15="","",IFERROR(IF(INDIRECT("'"&amp;$A15&amp;"'!B4")="","",INDIRECT("'"&amp;$A15&amp;"'!B4")),""))</f>
        <v/>
      </c>
      <c r="C15" s="11">
        <f>IF($A15="","",IFERROR(IF(INDIRECT("'"&amp;$A15&amp;"'!B6")="","",INDIRECT("'"&amp;$A15&amp;"'!B6")),""))</f>
        <v/>
      </c>
      <c r="D15" s="12">
        <f>IF($A15="","",IFERROR(IF(INDIRECT("'"&amp;$A15&amp;"'!B8")="","",INDIRECT("'"&amp;$A15&amp;"'!B8")),""))</f>
        <v/>
      </c>
      <c r="E15" s="10">
        <f>IF($A15="","",IFERROR(IF(INDIRECT("'"&amp;$A15&amp;"'!B24")="","",INDIRECT("'"&amp;$A15&amp;"'!B24")),""))</f>
        <v/>
      </c>
      <c r="F15" s="12">
        <f>IF($A15="","",IFERROR(IF(INDIRECT("'"&amp;$A15&amp;"'!B25")="","",INDIRECT("'"&amp;$A15&amp;"'!B25")),""))</f>
        <v/>
      </c>
      <c r="G15" s="12">
        <f>IF(OR($A15="",F15=""),"",IF(E15="フェーズ1",F15+'設定'!$B$4,IF(E15="フェーズ2",F15+'設定'!$B$5,"")))</f>
        <v/>
      </c>
      <c r="H15" s="10">
        <f>IF(G15="","",G15-TODAY())</f>
        <v/>
      </c>
      <c r="I15" s="10">
        <f>IF($A15="","",IFERROR(IF(INDIRECT("'"&amp;$A15&amp;"'!B26")="","",INDIRECT("'"&amp;$A15&amp;"'!B26")),""))</f>
        <v/>
      </c>
      <c r="J15" s="10">
        <f>IF($A15="","",COUNTIFS('CCS追っかけ'!$B$5:$B$504,$A15,'CCS追っかけ'!$P$5:$P$504,"✅正式"))</f>
        <v/>
      </c>
      <c r="K15" s="10">
        <f>IF($A15="","",COUNTIFS('CCS追っかけ'!$B$5:$B$504,$A15,'CCS追っかけ'!$D$5:$D$504,"&lt;&gt;",'CCS追っかけ'!$V$5:$V$504,"&lt;&gt;辞退")-J15)</f>
        <v/>
      </c>
      <c r="L15" s="13">
        <f>IF(OR($A15="",I15="",I15=0),"",J15/I15)</f>
        <v/>
      </c>
      <c r="M15" s="10">
        <f>IF(OR($A15="",I15="",F15=""),"",IF(J15&gt;=I15,"🟢達成",IF(G15="","🟡進行中",IF(H15&lt;0,"🔴期限超過",IF(AND(H15&lt;='設定'!$B$7,J15&lt;I15*0.8),"🔴期限間近",IF(J15&gt;=I15*MIN(1,(TODAY()-F15)/(G15-F15)),"🟢順調",IF(J15&gt;=I15*MIN(1,(TODAY()-F15)/(G15-F15))*'設定'!$B$6,"🟡要注意","🔴遅れ")))))))</f>
        <v/>
      </c>
      <c r="N15" s="10">
        <f>IF($A15="","",SUMIFS('日次ログ'!$D$5:$D$1504,'日次ログ'!$B$5:$B$1504,$A15,'日次ログ'!$A$5:$A$1504,"&gt;="&amp;(TODAY()-6)))</f>
        <v/>
      </c>
      <c r="O15" s="10">
        <f>IF($A15="","",SUMIFS('日次ログ'!$F$5:$F$1504,'日次ログ'!$B$5:$B$1504,$A15,'日次ログ'!$A$5:$A$1504,"&gt;="&amp;(TODAY()-6)))</f>
        <v/>
      </c>
      <c r="P15" s="12">
        <f>IF($A15="","",IF(COUNTIF('日次ログ'!$B$5:$B$1504,$A15)=0,"",_xlfn.MAXIFS('日次ログ'!$A$5:$A$1504,'日次ログ'!$B$5:$B$1504,$A15)))</f>
        <v/>
      </c>
      <c r="Q15" s="10">
        <f>IF($A15="","",IFERROR(COUNTIF(INDIRECT("'"&amp;$A15&amp;"'!E9:E21"),"承諾")&amp;" / "&amp;COUNTA(INDIRECT("'"&amp;$A15&amp;"'!B9:B21")),""))</f>
        <v/>
      </c>
      <c r="R15" s="14">
        <f>IF($A15="","",IFERROR(IF(INDIRECT("'"&amp;$A15&amp;"'!B27")="","",INDIRECT("'"&amp;$A15&amp;"'!B27")),""))</f>
        <v/>
      </c>
      <c r="S15" s="11">
        <f>IF($A15="","",IFERROR(IF(INDIRECT("'"&amp;$A15&amp;"'!B28")="","",INDIRECT("'"&amp;$A15&amp;"'!B28")),""))</f>
        <v/>
      </c>
      <c r="T15" s="10">
        <f>IF($A15="","",COUNTIFS('入会後行動リスト'!$B$5:$B$2004,$A15,'入会後行動リスト'!$J$5:$J$2004,"期限超過"))</f>
        <v/>
      </c>
      <c r="U15" s="10">
        <f>IF($A15="","",COUNTIFS('CCS追っかけ'!$B$5:$B$504,$A15,'CCS追っかけ'!$J$5:$J$504,"CCS済")+COUNTIFS('CCS追っかけ'!$B$5:$B$504,$A15,'CCS追っかけ'!$P$5:$P$504,"✅正式",'CCS追っかけ'!$J$5:$J$504,"&lt;&gt;CCS済"))</f>
        <v/>
      </c>
    </row>
    <row r="16">
      <c r="A16" s="9" t="n"/>
      <c r="B16" s="10">
        <f>IF($A16="","",IFERROR(IF(INDIRECT("'"&amp;$A16&amp;"'!B4")="","",INDIRECT("'"&amp;$A16&amp;"'!B4")),""))</f>
        <v/>
      </c>
      <c r="C16" s="11">
        <f>IF($A16="","",IFERROR(IF(INDIRECT("'"&amp;$A16&amp;"'!B6")="","",INDIRECT("'"&amp;$A16&amp;"'!B6")),""))</f>
        <v/>
      </c>
      <c r="D16" s="12">
        <f>IF($A16="","",IFERROR(IF(INDIRECT("'"&amp;$A16&amp;"'!B8")="","",INDIRECT("'"&amp;$A16&amp;"'!B8")),""))</f>
        <v/>
      </c>
      <c r="E16" s="10">
        <f>IF($A16="","",IFERROR(IF(INDIRECT("'"&amp;$A16&amp;"'!B24")="","",INDIRECT("'"&amp;$A16&amp;"'!B24")),""))</f>
        <v/>
      </c>
      <c r="F16" s="12">
        <f>IF($A16="","",IFERROR(IF(INDIRECT("'"&amp;$A16&amp;"'!B25")="","",INDIRECT("'"&amp;$A16&amp;"'!B25")),""))</f>
        <v/>
      </c>
      <c r="G16" s="12">
        <f>IF(OR($A16="",F16=""),"",IF(E16="フェーズ1",F16+'設定'!$B$4,IF(E16="フェーズ2",F16+'設定'!$B$5,"")))</f>
        <v/>
      </c>
      <c r="H16" s="10">
        <f>IF(G16="","",G16-TODAY())</f>
        <v/>
      </c>
      <c r="I16" s="10">
        <f>IF($A16="","",IFERROR(IF(INDIRECT("'"&amp;$A16&amp;"'!B26")="","",INDIRECT("'"&amp;$A16&amp;"'!B26")),""))</f>
        <v/>
      </c>
      <c r="J16" s="10">
        <f>IF($A16="","",COUNTIFS('CCS追っかけ'!$B$5:$B$504,$A16,'CCS追っかけ'!$P$5:$P$504,"✅正式"))</f>
        <v/>
      </c>
      <c r="K16" s="10">
        <f>IF($A16="","",COUNTIFS('CCS追っかけ'!$B$5:$B$504,$A16,'CCS追っかけ'!$D$5:$D$504,"&lt;&gt;",'CCS追っかけ'!$V$5:$V$504,"&lt;&gt;辞退")-J16)</f>
        <v/>
      </c>
      <c r="L16" s="13">
        <f>IF(OR($A16="",I16="",I16=0),"",J16/I16)</f>
        <v/>
      </c>
      <c r="M16" s="10">
        <f>IF(OR($A16="",I16="",F16=""),"",IF(J16&gt;=I16,"🟢達成",IF(G16="","🟡進行中",IF(H16&lt;0,"🔴期限超過",IF(AND(H16&lt;='設定'!$B$7,J16&lt;I16*0.8),"🔴期限間近",IF(J16&gt;=I16*MIN(1,(TODAY()-F16)/(G16-F16)),"🟢順調",IF(J16&gt;=I16*MIN(1,(TODAY()-F16)/(G16-F16))*'設定'!$B$6,"🟡要注意","🔴遅れ")))))))</f>
        <v/>
      </c>
      <c r="N16" s="10">
        <f>IF($A16="","",SUMIFS('日次ログ'!$D$5:$D$1504,'日次ログ'!$B$5:$B$1504,$A16,'日次ログ'!$A$5:$A$1504,"&gt;="&amp;(TODAY()-6)))</f>
        <v/>
      </c>
      <c r="O16" s="10">
        <f>IF($A16="","",SUMIFS('日次ログ'!$F$5:$F$1504,'日次ログ'!$B$5:$B$1504,$A16,'日次ログ'!$A$5:$A$1504,"&gt;="&amp;(TODAY()-6)))</f>
        <v/>
      </c>
      <c r="P16" s="12">
        <f>IF($A16="","",IF(COUNTIF('日次ログ'!$B$5:$B$1504,$A16)=0,"",_xlfn.MAXIFS('日次ログ'!$A$5:$A$1504,'日次ログ'!$B$5:$B$1504,$A16)))</f>
        <v/>
      </c>
      <c r="Q16" s="10">
        <f>IF($A16="","",IFERROR(COUNTIF(INDIRECT("'"&amp;$A16&amp;"'!E9:E21"),"承諾")&amp;" / "&amp;COUNTA(INDIRECT("'"&amp;$A16&amp;"'!B9:B21")),""))</f>
        <v/>
      </c>
      <c r="R16" s="14">
        <f>IF($A16="","",IFERROR(IF(INDIRECT("'"&amp;$A16&amp;"'!B27")="","",INDIRECT("'"&amp;$A16&amp;"'!B27")),""))</f>
        <v/>
      </c>
      <c r="S16" s="11">
        <f>IF($A16="","",IFERROR(IF(INDIRECT("'"&amp;$A16&amp;"'!B28")="","",INDIRECT("'"&amp;$A16&amp;"'!B28")),""))</f>
        <v/>
      </c>
      <c r="T16" s="10">
        <f>IF($A16="","",COUNTIFS('入会後行動リスト'!$B$5:$B$2004,$A16,'入会後行動リスト'!$J$5:$J$2004,"期限超過"))</f>
        <v/>
      </c>
      <c r="U16" s="10">
        <f>IF($A16="","",COUNTIFS('CCS追っかけ'!$B$5:$B$504,$A16,'CCS追っかけ'!$J$5:$J$504,"CCS済")+COUNTIFS('CCS追っかけ'!$B$5:$B$504,$A16,'CCS追っかけ'!$P$5:$P$504,"✅正式",'CCS追っかけ'!$J$5:$J$504,"&lt;&gt;CCS済"))</f>
        <v/>
      </c>
    </row>
    <row r="17">
      <c r="A17" s="9" t="n"/>
      <c r="B17" s="10">
        <f>IF($A17="","",IFERROR(IF(INDIRECT("'"&amp;$A17&amp;"'!B4")="","",INDIRECT("'"&amp;$A17&amp;"'!B4")),""))</f>
        <v/>
      </c>
      <c r="C17" s="11">
        <f>IF($A17="","",IFERROR(IF(INDIRECT("'"&amp;$A17&amp;"'!B6")="","",INDIRECT("'"&amp;$A17&amp;"'!B6")),""))</f>
        <v/>
      </c>
      <c r="D17" s="12">
        <f>IF($A17="","",IFERROR(IF(INDIRECT("'"&amp;$A17&amp;"'!B8")="","",INDIRECT("'"&amp;$A17&amp;"'!B8")),""))</f>
        <v/>
      </c>
      <c r="E17" s="10">
        <f>IF($A17="","",IFERROR(IF(INDIRECT("'"&amp;$A17&amp;"'!B24")="","",INDIRECT("'"&amp;$A17&amp;"'!B24")),""))</f>
        <v/>
      </c>
      <c r="F17" s="12">
        <f>IF($A17="","",IFERROR(IF(INDIRECT("'"&amp;$A17&amp;"'!B25")="","",INDIRECT("'"&amp;$A17&amp;"'!B25")),""))</f>
        <v/>
      </c>
      <c r="G17" s="12">
        <f>IF(OR($A17="",F17=""),"",IF(E17="フェーズ1",F17+'設定'!$B$4,IF(E17="フェーズ2",F17+'設定'!$B$5,"")))</f>
        <v/>
      </c>
      <c r="H17" s="10">
        <f>IF(G17="","",G17-TODAY())</f>
        <v/>
      </c>
      <c r="I17" s="10">
        <f>IF($A17="","",IFERROR(IF(INDIRECT("'"&amp;$A17&amp;"'!B26")="","",INDIRECT("'"&amp;$A17&amp;"'!B26")),""))</f>
        <v/>
      </c>
      <c r="J17" s="10">
        <f>IF($A17="","",COUNTIFS('CCS追っかけ'!$B$5:$B$504,$A17,'CCS追っかけ'!$P$5:$P$504,"✅正式"))</f>
        <v/>
      </c>
      <c r="K17" s="10">
        <f>IF($A17="","",COUNTIFS('CCS追っかけ'!$B$5:$B$504,$A17,'CCS追っかけ'!$D$5:$D$504,"&lt;&gt;",'CCS追っかけ'!$V$5:$V$504,"&lt;&gt;辞退")-J17)</f>
        <v/>
      </c>
      <c r="L17" s="13">
        <f>IF(OR($A17="",I17="",I17=0),"",J17/I17)</f>
        <v/>
      </c>
      <c r="M17" s="10">
        <f>IF(OR($A17="",I17="",F17=""),"",IF(J17&gt;=I17,"🟢達成",IF(G17="","🟡進行中",IF(H17&lt;0,"🔴期限超過",IF(AND(H17&lt;='設定'!$B$7,J17&lt;I17*0.8),"🔴期限間近",IF(J17&gt;=I17*MIN(1,(TODAY()-F17)/(G17-F17)),"🟢順調",IF(J17&gt;=I17*MIN(1,(TODAY()-F17)/(G17-F17))*'設定'!$B$6,"🟡要注意","🔴遅れ")))))))</f>
        <v/>
      </c>
      <c r="N17" s="10">
        <f>IF($A17="","",SUMIFS('日次ログ'!$D$5:$D$1504,'日次ログ'!$B$5:$B$1504,$A17,'日次ログ'!$A$5:$A$1504,"&gt;="&amp;(TODAY()-6)))</f>
        <v/>
      </c>
      <c r="O17" s="10">
        <f>IF($A17="","",SUMIFS('日次ログ'!$F$5:$F$1504,'日次ログ'!$B$5:$B$1504,$A17,'日次ログ'!$A$5:$A$1504,"&gt;="&amp;(TODAY()-6)))</f>
        <v/>
      </c>
      <c r="P17" s="12">
        <f>IF($A17="","",IF(COUNTIF('日次ログ'!$B$5:$B$1504,$A17)=0,"",_xlfn.MAXIFS('日次ログ'!$A$5:$A$1504,'日次ログ'!$B$5:$B$1504,$A17)))</f>
        <v/>
      </c>
      <c r="Q17" s="10">
        <f>IF($A17="","",IFERROR(COUNTIF(INDIRECT("'"&amp;$A17&amp;"'!E9:E21"),"承諾")&amp;" / "&amp;COUNTA(INDIRECT("'"&amp;$A17&amp;"'!B9:B21")),""))</f>
        <v/>
      </c>
      <c r="R17" s="14">
        <f>IF($A17="","",IFERROR(IF(INDIRECT("'"&amp;$A17&amp;"'!B27")="","",INDIRECT("'"&amp;$A17&amp;"'!B27")),""))</f>
        <v/>
      </c>
      <c r="S17" s="11">
        <f>IF($A17="","",IFERROR(IF(INDIRECT("'"&amp;$A17&amp;"'!B28")="","",INDIRECT("'"&amp;$A17&amp;"'!B28")),""))</f>
        <v/>
      </c>
      <c r="T17" s="10">
        <f>IF($A17="","",COUNTIFS('入会後行動リスト'!$B$5:$B$2004,$A17,'入会後行動リスト'!$J$5:$J$2004,"期限超過"))</f>
        <v/>
      </c>
      <c r="U17" s="10">
        <f>IF($A17="","",COUNTIFS('CCS追っかけ'!$B$5:$B$504,$A17,'CCS追っかけ'!$J$5:$J$504,"CCS済")+COUNTIFS('CCS追っかけ'!$B$5:$B$504,$A17,'CCS追っかけ'!$P$5:$P$504,"✅正式",'CCS追っかけ'!$J$5:$J$504,"&lt;&gt;CCS済"))</f>
        <v/>
      </c>
    </row>
    <row r="18">
      <c r="A18" s="9" t="n"/>
      <c r="B18" s="10">
        <f>IF($A18="","",IFERROR(IF(INDIRECT("'"&amp;$A18&amp;"'!B4")="","",INDIRECT("'"&amp;$A18&amp;"'!B4")),""))</f>
        <v/>
      </c>
      <c r="C18" s="11">
        <f>IF($A18="","",IFERROR(IF(INDIRECT("'"&amp;$A18&amp;"'!B6")="","",INDIRECT("'"&amp;$A18&amp;"'!B6")),""))</f>
        <v/>
      </c>
      <c r="D18" s="12">
        <f>IF($A18="","",IFERROR(IF(INDIRECT("'"&amp;$A18&amp;"'!B8")="","",INDIRECT("'"&amp;$A18&amp;"'!B8")),""))</f>
        <v/>
      </c>
      <c r="E18" s="10">
        <f>IF($A18="","",IFERROR(IF(INDIRECT("'"&amp;$A18&amp;"'!B24")="","",INDIRECT("'"&amp;$A18&amp;"'!B24")),""))</f>
        <v/>
      </c>
      <c r="F18" s="12">
        <f>IF($A18="","",IFERROR(IF(INDIRECT("'"&amp;$A18&amp;"'!B25")="","",INDIRECT("'"&amp;$A18&amp;"'!B25")),""))</f>
        <v/>
      </c>
      <c r="G18" s="12">
        <f>IF(OR($A18="",F18=""),"",IF(E18="フェーズ1",F18+'設定'!$B$4,IF(E18="フェーズ2",F18+'設定'!$B$5,"")))</f>
        <v/>
      </c>
      <c r="H18" s="10">
        <f>IF(G18="","",G18-TODAY())</f>
        <v/>
      </c>
      <c r="I18" s="10">
        <f>IF($A18="","",IFERROR(IF(INDIRECT("'"&amp;$A18&amp;"'!B26")="","",INDIRECT("'"&amp;$A18&amp;"'!B26")),""))</f>
        <v/>
      </c>
      <c r="J18" s="10">
        <f>IF($A18="","",COUNTIFS('CCS追っかけ'!$B$5:$B$504,$A18,'CCS追っかけ'!$P$5:$P$504,"✅正式"))</f>
        <v/>
      </c>
      <c r="K18" s="10">
        <f>IF($A18="","",COUNTIFS('CCS追っかけ'!$B$5:$B$504,$A18,'CCS追っかけ'!$D$5:$D$504,"&lt;&gt;",'CCS追っかけ'!$V$5:$V$504,"&lt;&gt;辞退")-J18)</f>
        <v/>
      </c>
      <c r="L18" s="13">
        <f>IF(OR($A18="",I18="",I18=0),"",J18/I18)</f>
        <v/>
      </c>
      <c r="M18" s="10">
        <f>IF(OR($A18="",I18="",F18=""),"",IF(J18&gt;=I18,"🟢達成",IF(G18="","🟡進行中",IF(H18&lt;0,"🔴期限超過",IF(AND(H18&lt;='設定'!$B$7,J18&lt;I18*0.8),"🔴期限間近",IF(J18&gt;=I18*MIN(1,(TODAY()-F18)/(G18-F18)),"🟢順調",IF(J18&gt;=I18*MIN(1,(TODAY()-F18)/(G18-F18))*'設定'!$B$6,"🟡要注意","🔴遅れ")))))))</f>
        <v/>
      </c>
      <c r="N18" s="10">
        <f>IF($A18="","",SUMIFS('日次ログ'!$D$5:$D$1504,'日次ログ'!$B$5:$B$1504,$A18,'日次ログ'!$A$5:$A$1504,"&gt;="&amp;(TODAY()-6)))</f>
        <v/>
      </c>
      <c r="O18" s="10">
        <f>IF($A18="","",SUMIFS('日次ログ'!$F$5:$F$1504,'日次ログ'!$B$5:$B$1504,$A18,'日次ログ'!$A$5:$A$1504,"&gt;="&amp;(TODAY()-6)))</f>
        <v/>
      </c>
      <c r="P18" s="12">
        <f>IF($A18="","",IF(COUNTIF('日次ログ'!$B$5:$B$1504,$A18)=0,"",_xlfn.MAXIFS('日次ログ'!$A$5:$A$1504,'日次ログ'!$B$5:$B$1504,$A18)))</f>
        <v/>
      </c>
      <c r="Q18" s="10">
        <f>IF($A18="","",IFERROR(COUNTIF(INDIRECT("'"&amp;$A18&amp;"'!E9:E21"),"承諾")&amp;" / "&amp;COUNTA(INDIRECT("'"&amp;$A18&amp;"'!B9:B21")),""))</f>
        <v/>
      </c>
      <c r="R18" s="14">
        <f>IF($A18="","",IFERROR(IF(INDIRECT("'"&amp;$A18&amp;"'!B27")="","",INDIRECT("'"&amp;$A18&amp;"'!B27")),""))</f>
        <v/>
      </c>
      <c r="S18" s="11">
        <f>IF($A18="","",IFERROR(IF(INDIRECT("'"&amp;$A18&amp;"'!B28")="","",INDIRECT("'"&amp;$A18&amp;"'!B28")),""))</f>
        <v/>
      </c>
      <c r="T18" s="10">
        <f>IF($A18="","",COUNTIFS('入会後行動リスト'!$B$5:$B$2004,$A18,'入会後行動リスト'!$J$5:$J$2004,"期限超過"))</f>
        <v/>
      </c>
      <c r="U18" s="10">
        <f>IF($A18="","",COUNTIFS('CCS追っかけ'!$B$5:$B$504,$A18,'CCS追っかけ'!$J$5:$J$504,"CCS済")+COUNTIFS('CCS追っかけ'!$B$5:$B$504,$A18,'CCS追っかけ'!$P$5:$P$504,"✅正式",'CCS追っかけ'!$J$5:$J$504,"&lt;&gt;CCS済"))</f>
        <v/>
      </c>
    </row>
    <row r="19">
      <c r="A19" s="9" t="n"/>
      <c r="B19" s="10">
        <f>IF($A19="","",IFERROR(IF(INDIRECT("'"&amp;$A19&amp;"'!B4")="","",INDIRECT("'"&amp;$A19&amp;"'!B4")),""))</f>
        <v/>
      </c>
      <c r="C19" s="11">
        <f>IF($A19="","",IFERROR(IF(INDIRECT("'"&amp;$A19&amp;"'!B6")="","",INDIRECT("'"&amp;$A19&amp;"'!B6")),""))</f>
        <v/>
      </c>
      <c r="D19" s="12">
        <f>IF($A19="","",IFERROR(IF(INDIRECT("'"&amp;$A19&amp;"'!B8")="","",INDIRECT("'"&amp;$A19&amp;"'!B8")),""))</f>
        <v/>
      </c>
      <c r="E19" s="10">
        <f>IF($A19="","",IFERROR(IF(INDIRECT("'"&amp;$A19&amp;"'!B24")="","",INDIRECT("'"&amp;$A19&amp;"'!B24")),""))</f>
        <v/>
      </c>
      <c r="F19" s="12">
        <f>IF($A19="","",IFERROR(IF(INDIRECT("'"&amp;$A19&amp;"'!B25")="","",INDIRECT("'"&amp;$A19&amp;"'!B25")),""))</f>
        <v/>
      </c>
      <c r="G19" s="12">
        <f>IF(OR($A19="",F19=""),"",IF(E19="フェーズ1",F19+'設定'!$B$4,IF(E19="フェーズ2",F19+'設定'!$B$5,"")))</f>
        <v/>
      </c>
      <c r="H19" s="10">
        <f>IF(G19="","",G19-TODAY())</f>
        <v/>
      </c>
      <c r="I19" s="10">
        <f>IF($A19="","",IFERROR(IF(INDIRECT("'"&amp;$A19&amp;"'!B26")="","",INDIRECT("'"&amp;$A19&amp;"'!B26")),""))</f>
        <v/>
      </c>
      <c r="J19" s="10">
        <f>IF($A19="","",COUNTIFS('CCS追っかけ'!$B$5:$B$504,$A19,'CCS追っかけ'!$P$5:$P$504,"✅正式"))</f>
        <v/>
      </c>
      <c r="K19" s="10">
        <f>IF($A19="","",COUNTIFS('CCS追っかけ'!$B$5:$B$504,$A19,'CCS追っかけ'!$D$5:$D$504,"&lt;&gt;",'CCS追っかけ'!$V$5:$V$504,"&lt;&gt;辞退")-J19)</f>
        <v/>
      </c>
      <c r="L19" s="13">
        <f>IF(OR($A19="",I19="",I19=0),"",J19/I19)</f>
        <v/>
      </c>
      <c r="M19" s="10">
        <f>IF(OR($A19="",I19="",F19=""),"",IF(J19&gt;=I19,"🟢達成",IF(G19="","🟡進行中",IF(H19&lt;0,"🔴期限超過",IF(AND(H19&lt;='設定'!$B$7,J19&lt;I19*0.8),"🔴期限間近",IF(J19&gt;=I19*MIN(1,(TODAY()-F19)/(G19-F19)),"🟢順調",IF(J19&gt;=I19*MIN(1,(TODAY()-F19)/(G19-F19))*'設定'!$B$6,"🟡要注意","🔴遅れ")))))))</f>
        <v/>
      </c>
      <c r="N19" s="10">
        <f>IF($A19="","",SUMIFS('日次ログ'!$D$5:$D$1504,'日次ログ'!$B$5:$B$1504,$A19,'日次ログ'!$A$5:$A$1504,"&gt;="&amp;(TODAY()-6)))</f>
        <v/>
      </c>
      <c r="O19" s="10">
        <f>IF($A19="","",SUMIFS('日次ログ'!$F$5:$F$1504,'日次ログ'!$B$5:$B$1504,$A19,'日次ログ'!$A$5:$A$1504,"&gt;="&amp;(TODAY()-6)))</f>
        <v/>
      </c>
      <c r="P19" s="12">
        <f>IF($A19="","",IF(COUNTIF('日次ログ'!$B$5:$B$1504,$A19)=0,"",_xlfn.MAXIFS('日次ログ'!$A$5:$A$1504,'日次ログ'!$B$5:$B$1504,$A19)))</f>
        <v/>
      </c>
      <c r="Q19" s="10">
        <f>IF($A19="","",IFERROR(COUNTIF(INDIRECT("'"&amp;$A19&amp;"'!E9:E21"),"承諾")&amp;" / "&amp;COUNTA(INDIRECT("'"&amp;$A19&amp;"'!B9:B21")),""))</f>
        <v/>
      </c>
      <c r="R19" s="14">
        <f>IF($A19="","",IFERROR(IF(INDIRECT("'"&amp;$A19&amp;"'!B27")="","",INDIRECT("'"&amp;$A19&amp;"'!B27")),""))</f>
        <v/>
      </c>
      <c r="S19" s="11">
        <f>IF($A19="","",IFERROR(IF(INDIRECT("'"&amp;$A19&amp;"'!B28")="","",INDIRECT("'"&amp;$A19&amp;"'!B28")),""))</f>
        <v/>
      </c>
      <c r="T19" s="10">
        <f>IF($A19="","",COUNTIFS('入会後行動リスト'!$B$5:$B$2004,$A19,'入会後行動リスト'!$J$5:$J$2004,"期限超過"))</f>
        <v/>
      </c>
      <c r="U19" s="10">
        <f>IF($A19="","",COUNTIFS('CCS追っかけ'!$B$5:$B$504,$A19,'CCS追っかけ'!$J$5:$J$504,"CCS済")+COUNTIFS('CCS追っかけ'!$B$5:$B$504,$A19,'CCS追っかけ'!$P$5:$P$504,"✅正式",'CCS追っかけ'!$J$5:$J$504,"&lt;&gt;CCS済"))</f>
        <v/>
      </c>
    </row>
    <row r="20">
      <c r="A20" s="9" t="n"/>
      <c r="B20" s="10">
        <f>IF($A20="","",IFERROR(IF(INDIRECT("'"&amp;$A20&amp;"'!B4")="","",INDIRECT("'"&amp;$A20&amp;"'!B4")),""))</f>
        <v/>
      </c>
      <c r="C20" s="11">
        <f>IF($A20="","",IFERROR(IF(INDIRECT("'"&amp;$A20&amp;"'!B6")="","",INDIRECT("'"&amp;$A20&amp;"'!B6")),""))</f>
        <v/>
      </c>
      <c r="D20" s="12">
        <f>IF($A20="","",IFERROR(IF(INDIRECT("'"&amp;$A20&amp;"'!B8")="","",INDIRECT("'"&amp;$A20&amp;"'!B8")),""))</f>
        <v/>
      </c>
      <c r="E20" s="10">
        <f>IF($A20="","",IFERROR(IF(INDIRECT("'"&amp;$A20&amp;"'!B24")="","",INDIRECT("'"&amp;$A20&amp;"'!B24")),""))</f>
        <v/>
      </c>
      <c r="F20" s="12">
        <f>IF($A20="","",IFERROR(IF(INDIRECT("'"&amp;$A20&amp;"'!B25")="","",INDIRECT("'"&amp;$A20&amp;"'!B25")),""))</f>
        <v/>
      </c>
      <c r="G20" s="12">
        <f>IF(OR($A20="",F20=""),"",IF(E20="フェーズ1",F20+'設定'!$B$4,IF(E20="フェーズ2",F20+'設定'!$B$5,"")))</f>
        <v/>
      </c>
      <c r="H20" s="10">
        <f>IF(G20="","",G20-TODAY())</f>
        <v/>
      </c>
      <c r="I20" s="10">
        <f>IF($A20="","",IFERROR(IF(INDIRECT("'"&amp;$A20&amp;"'!B26")="","",INDIRECT("'"&amp;$A20&amp;"'!B26")),""))</f>
        <v/>
      </c>
      <c r="J20" s="10">
        <f>IF($A20="","",COUNTIFS('CCS追っかけ'!$B$5:$B$504,$A20,'CCS追っかけ'!$P$5:$P$504,"✅正式"))</f>
        <v/>
      </c>
      <c r="K20" s="10">
        <f>IF($A20="","",COUNTIFS('CCS追っかけ'!$B$5:$B$504,$A20,'CCS追っかけ'!$D$5:$D$504,"&lt;&gt;",'CCS追っかけ'!$V$5:$V$504,"&lt;&gt;辞退")-J20)</f>
        <v/>
      </c>
      <c r="L20" s="13">
        <f>IF(OR($A20="",I20="",I20=0),"",J20/I20)</f>
        <v/>
      </c>
      <c r="M20" s="10">
        <f>IF(OR($A20="",I20="",F20=""),"",IF(J20&gt;=I20,"🟢達成",IF(G20="","🟡進行中",IF(H20&lt;0,"🔴期限超過",IF(AND(H20&lt;='設定'!$B$7,J20&lt;I20*0.8),"🔴期限間近",IF(J20&gt;=I20*MIN(1,(TODAY()-F20)/(G20-F20)),"🟢順調",IF(J20&gt;=I20*MIN(1,(TODAY()-F20)/(G20-F20))*'設定'!$B$6,"🟡要注意","🔴遅れ")))))))</f>
        <v/>
      </c>
      <c r="N20" s="10">
        <f>IF($A20="","",SUMIFS('日次ログ'!$D$5:$D$1504,'日次ログ'!$B$5:$B$1504,$A20,'日次ログ'!$A$5:$A$1504,"&gt;="&amp;(TODAY()-6)))</f>
        <v/>
      </c>
      <c r="O20" s="10">
        <f>IF($A20="","",SUMIFS('日次ログ'!$F$5:$F$1504,'日次ログ'!$B$5:$B$1504,$A20,'日次ログ'!$A$5:$A$1504,"&gt;="&amp;(TODAY()-6)))</f>
        <v/>
      </c>
      <c r="P20" s="12">
        <f>IF($A20="","",IF(COUNTIF('日次ログ'!$B$5:$B$1504,$A20)=0,"",_xlfn.MAXIFS('日次ログ'!$A$5:$A$1504,'日次ログ'!$B$5:$B$1504,$A20)))</f>
        <v/>
      </c>
      <c r="Q20" s="10">
        <f>IF($A20="","",IFERROR(COUNTIF(INDIRECT("'"&amp;$A20&amp;"'!E9:E21"),"承諾")&amp;" / "&amp;COUNTA(INDIRECT("'"&amp;$A20&amp;"'!B9:B21")),""))</f>
        <v/>
      </c>
      <c r="R20" s="14">
        <f>IF($A20="","",IFERROR(IF(INDIRECT("'"&amp;$A20&amp;"'!B27")="","",INDIRECT("'"&amp;$A20&amp;"'!B27")),""))</f>
        <v/>
      </c>
      <c r="S20" s="11">
        <f>IF($A20="","",IFERROR(IF(INDIRECT("'"&amp;$A20&amp;"'!B28")="","",INDIRECT("'"&amp;$A20&amp;"'!B28")),""))</f>
        <v/>
      </c>
      <c r="T20" s="10">
        <f>IF($A20="","",COUNTIFS('入会後行動リスト'!$B$5:$B$2004,$A20,'入会後行動リスト'!$J$5:$J$2004,"期限超過"))</f>
        <v/>
      </c>
      <c r="U20" s="10">
        <f>IF($A20="","",COUNTIFS('CCS追っかけ'!$B$5:$B$504,$A20,'CCS追っかけ'!$J$5:$J$504,"CCS済")+COUNTIFS('CCS追っかけ'!$B$5:$B$504,$A20,'CCS追っかけ'!$P$5:$P$504,"✅正式",'CCS追っかけ'!$J$5:$J$504,"&lt;&gt;CCS済"))</f>
        <v/>
      </c>
    </row>
    <row r="21">
      <c r="A21" s="9" t="n"/>
      <c r="B21" s="10">
        <f>IF($A21="","",IFERROR(IF(INDIRECT("'"&amp;$A21&amp;"'!B4")="","",INDIRECT("'"&amp;$A21&amp;"'!B4")),""))</f>
        <v/>
      </c>
      <c r="C21" s="11">
        <f>IF($A21="","",IFERROR(IF(INDIRECT("'"&amp;$A21&amp;"'!B6")="","",INDIRECT("'"&amp;$A21&amp;"'!B6")),""))</f>
        <v/>
      </c>
      <c r="D21" s="12">
        <f>IF($A21="","",IFERROR(IF(INDIRECT("'"&amp;$A21&amp;"'!B8")="","",INDIRECT("'"&amp;$A21&amp;"'!B8")),""))</f>
        <v/>
      </c>
      <c r="E21" s="10">
        <f>IF($A21="","",IFERROR(IF(INDIRECT("'"&amp;$A21&amp;"'!B24")="","",INDIRECT("'"&amp;$A21&amp;"'!B24")),""))</f>
        <v/>
      </c>
      <c r="F21" s="12">
        <f>IF($A21="","",IFERROR(IF(INDIRECT("'"&amp;$A21&amp;"'!B25")="","",INDIRECT("'"&amp;$A21&amp;"'!B25")),""))</f>
        <v/>
      </c>
      <c r="G21" s="12">
        <f>IF(OR($A21="",F21=""),"",IF(E21="フェーズ1",F21+'設定'!$B$4,IF(E21="フェーズ2",F21+'設定'!$B$5,"")))</f>
        <v/>
      </c>
      <c r="H21" s="10">
        <f>IF(G21="","",G21-TODAY())</f>
        <v/>
      </c>
      <c r="I21" s="10">
        <f>IF($A21="","",IFERROR(IF(INDIRECT("'"&amp;$A21&amp;"'!B26")="","",INDIRECT("'"&amp;$A21&amp;"'!B26")),""))</f>
        <v/>
      </c>
      <c r="J21" s="10">
        <f>IF($A21="","",COUNTIFS('CCS追っかけ'!$B$5:$B$504,$A21,'CCS追っかけ'!$P$5:$P$504,"✅正式"))</f>
        <v/>
      </c>
      <c r="K21" s="10">
        <f>IF($A21="","",COUNTIFS('CCS追っかけ'!$B$5:$B$504,$A21,'CCS追っかけ'!$D$5:$D$504,"&lt;&gt;",'CCS追っかけ'!$V$5:$V$504,"&lt;&gt;辞退")-J21)</f>
        <v/>
      </c>
      <c r="L21" s="13">
        <f>IF(OR($A21="",I21="",I21=0),"",J21/I21)</f>
        <v/>
      </c>
      <c r="M21" s="10">
        <f>IF(OR($A21="",I21="",F21=""),"",IF(J21&gt;=I21,"🟢達成",IF(G21="","🟡進行中",IF(H21&lt;0,"🔴期限超過",IF(AND(H21&lt;='設定'!$B$7,J21&lt;I21*0.8),"🔴期限間近",IF(J21&gt;=I21*MIN(1,(TODAY()-F21)/(G21-F21)),"🟢順調",IF(J21&gt;=I21*MIN(1,(TODAY()-F21)/(G21-F21))*'設定'!$B$6,"🟡要注意","🔴遅れ")))))))</f>
        <v/>
      </c>
      <c r="N21" s="10">
        <f>IF($A21="","",SUMIFS('日次ログ'!$D$5:$D$1504,'日次ログ'!$B$5:$B$1504,$A21,'日次ログ'!$A$5:$A$1504,"&gt;="&amp;(TODAY()-6)))</f>
        <v/>
      </c>
      <c r="O21" s="10">
        <f>IF($A21="","",SUMIFS('日次ログ'!$F$5:$F$1504,'日次ログ'!$B$5:$B$1504,$A21,'日次ログ'!$A$5:$A$1504,"&gt;="&amp;(TODAY()-6)))</f>
        <v/>
      </c>
      <c r="P21" s="12">
        <f>IF($A21="","",IF(COUNTIF('日次ログ'!$B$5:$B$1504,$A21)=0,"",_xlfn.MAXIFS('日次ログ'!$A$5:$A$1504,'日次ログ'!$B$5:$B$1504,$A21)))</f>
        <v/>
      </c>
      <c r="Q21" s="10">
        <f>IF($A21="","",IFERROR(COUNTIF(INDIRECT("'"&amp;$A21&amp;"'!E9:E21"),"承諾")&amp;" / "&amp;COUNTA(INDIRECT("'"&amp;$A21&amp;"'!B9:B21")),""))</f>
        <v/>
      </c>
      <c r="R21" s="14">
        <f>IF($A21="","",IFERROR(IF(INDIRECT("'"&amp;$A21&amp;"'!B27")="","",INDIRECT("'"&amp;$A21&amp;"'!B27")),""))</f>
        <v/>
      </c>
      <c r="S21" s="11">
        <f>IF($A21="","",IFERROR(IF(INDIRECT("'"&amp;$A21&amp;"'!B28")="","",INDIRECT("'"&amp;$A21&amp;"'!B28")),""))</f>
        <v/>
      </c>
      <c r="T21" s="10">
        <f>IF($A21="","",COUNTIFS('入会後行動リスト'!$B$5:$B$2004,$A21,'入会後行動リスト'!$J$5:$J$2004,"期限超過"))</f>
        <v/>
      </c>
      <c r="U21" s="10">
        <f>IF($A21="","",COUNTIFS('CCS追っかけ'!$B$5:$B$504,$A21,'CCS追っかけ'!$J$5:$J$504,"CCS済")+COUNTIFS('CCS追っかけ'!$B$5:$B$504,$A21,'CCS追っかけ'!$P$5:$P$504,"✅正式",'CCS追っかけ'!$J$5:$J$504,"&lt;&gt;CCS済"))</f>
        <v/>
      </c>
    </row>
    <row r="22">
      <c r="A22" s="9" t="n"/>
      <c r="B22" s="10">
        <f>IF($A22="","",IFERROR(IF(INDIRECT("'"&amp;$A22&amp;"'!B4")="","",INDIRECT("'"&amp;$A22&amp;"'!B4")),""))</f>
        <v/>
      </c>
      <c r="C22" s="11">
        <f>IF($A22="","",IFERROR(IF(INDIRECT("'"&amp;$A22&amp;"'!B6")="","",INDIRECT("'"&amp;$A22&amp;"'!B6")),""))</f>
        <v/>
      </c>
      <c r="D22" s="12">
        <f>IF($A22="","",IFERROR(IF(INDIRECT("'"&amp;$A22&amp;"'!B8")="","",INDIRECT("'"&amp;$A22&amp;"'!B8")),""))</f>
        <v/>
      </c>
      <c r="E22" s="10">
        <f>IF($A22="","",IFERROR(IF(INDIRECT("'"&amp;$A22&amp;"'!B24")="","",INDIRECT("'"&amp;$A22&amp;"'!B24")),""))</f>
        <v/>
      </c>
      <c r="F22" s="12">
        <f>IF($A22="","",IFERROR(IF(INDIRECT("'"&amp;$A22&amp;"'!B25")="","",INDIRECT("'"&amp;$A22&amp;"'!B25")),""))</f>
        <v/>
      </c>
      <c r="G22" s="12">
        <f>IF(OR($A22="",F22=""),"",IF(E22="フェーズ1",F22+'設定'!$B$4,IF(E22="フェーズ2",F22+'設定'!$B$5,"")))</f>
        <v/>
      </c>
      <c r="H22" s="10">
        <f>IF(G22="","",G22-TODAY())</f>
        <v/>
      </c>
      <c r="I22" s="10">
        <f>IF($A22="","",IFERROR(IF(INDIRECT("'"&amp;$A22&amp;"'!B26")="","",INDIRECT("'"&amp;$A22&amp;"'!B26")),""))</f>
        <v/>
      </c>
      <c r="J22" s="10">
        <f>IF($A22="","",COUNTIFS('CCS追っかけ'!$B$5:$B$504,$A22,'CCS追っかけ'!$P$5:$P$504,"✅正式"))</f>
        <v/>
      </c>
      <c r="K22" s="10">
        <f>IF($A22="","",COUNTIFS('CCS追っかけ'!$B$5:$B$504,$A22,'CCS追っかけ'!$D$5:$D$504,"&lt;&gt;",'CCS追っかけ'!$V$5:$V$504,"&lt;&gt;辞退")-J22)</f>
        <v/>
      </c>
      <c r="L22" s="13">
        <f>IF(OR($A22="",I22="",I22=0),"",J22/I22)</f>
        <v/>
      </c>
      <c r="M22" s="10">
        <f>IF(OR($A22="",I22="",F22=""),"",IF(J22&gt;=I22,"🟢達成",IF(G22="","🟡進行中",IF(H22&lt;0,"🔴期限超過",IF(AND(H22&lt;='設定'!$B$7,J22&lt;I22*0.8),"🔴期限間近",IF(J22&gt;=I22*MIN(1,(TODAY()-F22)/(G22-F22)),"🟢順調",IF(J22&gt;=I22*MIN(1,(TODAY()-F22)/(G22-F22))*'設定'!$B$6,"🟡要注意","🔴遅れ")))))))</f>
        <v/>
      </c>
      <c r="N22" s="10">
        <f>IF($A22="","",SUMIFS('日次ログ'!$D$5:$D$1504,'日次ログ'!$B$5:$B$1504,$A22,'日次ログ'!$A$5:$A$1504,"&gt;="&amp;(TODAY()-6)))</f>
        <v/>
      </c>
      <c r="O22" s="10">
        <f>IF($A22="","",SUMIFS('日次ログ'!$F$5:$F$1504,'日次ログ'!$B$5:$B$1504,$A22,'日次ログ'!$A$5:$A$1504,"&gt;="&amp;(TODAY()-6)))</f>
        <v/>
      </c>
      <c r="P22" s="12">
        <f>IF($A22="","",IF(COUNTIF('日次ログ'!$B$5:$B$1504,$A22)=0,"",_xlfn.MAXIFS('日次ログ'!$A$5:$A$1504,'日次ログ'!$B$5:$B$1504,$A22)))</f>
        <v/>
      </c>
      <c r="Q22" s="10">
        <f>IF($A22="","",IFERROR(COUNTIF(INDIRECT("'"&amp;$A22&amp;"'!E9:E21"),"承諾")&amp;" / "&amp;COUNTA(INDIRECT("'"&amp;$A22&amp;"'!B9:B21")),""))</f>
        <v/>
      </c>
      <c r="R22" s="14">
        <f>IF($A22="","",IFERROR(IF(INDIRECT("'"&amp;$A22&amp;"'!B27")="","",INDIRECT("'"&amp;$A22&amp;"'!B27")),""))</f>
        <v/>
      </c>
      <c r="S22" s="11">
        <f>IF($A22="","",IFERROR(IF(INDIRECT("'"&amp;$A22&amp;"'!B28")="","",INDIRECT("'"&amp;$A22&amp;"'!B28")),""))</f>
        <v/>
      </c>
      <c r="T22" s="10">
        <f>IF($A22="","",COUNTIFS('入会後行動リスト'!$B$5:$B$2004,$A22,'入会後行動リスト'!$J$5:$J$2004,"期限超過"))</f>
        <v/>
      </c>
      <c r="U22" s="10">
        <f>IF($A22="","",COUNTIFS('CCS追っかけ'!$B$5:$B$504,$A22,'CCS追っかけ'!$J$5:$J$504,"CCS済")+COUNTIFS('CCS追っかけ'!$B$5:$B$504,$A22,'CCS追っかけ'!$P$5:$P$504,"✅正式",'CCS追っかけ'!$J$5:$J$504,"&lt;&gt;CCS済"))</f>
        <v/>
      </c>
    </row>
    <row r="23">
      <c r="A23" s="9" t="n"/>
      <c r="B23" s="10">
        <f>IF($A23="","",IFERROR(IF(INDIRECT("'"&amp;$A23&amp;"'!B4")="","",INDIRECT("'"&amp;$A23&amp;"'!B4")),""))</f>
        <v/>
      </c>
      <c r="C23" s="11">
        <f>IF($A23="","",IFERROR(IF(INDIRECT("'"&amp;$A23&amp;"'!B6")="","",INDIRECT("'"&amp;$A23&amp;"'!B6")),""))</f>
        <v/>
      </c>
      <c r="D23" s="12">
        <f>IF($A23="","",IFERROR(IF(INDIRECT("'"&amp;$A23&amp;"'!B8")="","",INDIRECT("'"&amp;$A23&amp;"'!B8")),""))</f>
        <v/>
      </c>
      <c r="E23" s="10">
        <f>IF($A23="","",IFERROR(IF(INDIRECT("'"&amp;$A23&amp;"'!B24")="","",INDIRECT("'"&amp;$A23&amp;"'!B24")),""))</f>
        <v/>
      </c>
      <c r="F23" s="12">
        <f>IF($A23="","",IFERROR(IF(INDIRECT("'"&amp;$A23&amp;"'!B25")="","",INDIRECT("'"&amp;$A23&amp;"'!B25")),""))</f>
        <v/>
      </c>
      <c r="G23" s="12">
        <f>IF(OR($A23="",F23=""),"",IF(E23="フェーズ1",F23+'設定'!$B$4,IF(E23="フェーズ2",F23+'設定'!$B$5,"")))</f>
        <v/>
      </c>
      <c r="H23" s="10">
        <f>IF(G23="","",G23-TODAY())</f>
        <v/>
      </c>
      <c r="I23" s="10">
        <f>IF($A23="","",IFERROR(IF(INDIRECT("'"&amp;$A23&amp;"'!B26")="","",INDIRECT("'"&amp;$A23&amp;"'!B26")),""))</f>
        <v/>
      </c>
      <c r="J23" s="10">
        <f>IF($A23="","",COUNTIFS('CCS追っかけ'!$B$5:$B$504,$A23,'CCS追っかけ'!$P$5:$P$504,"✅正式"))</f>
        <v/>
      </c>
      <c r="K23" s="10">
        <f>IF($A23="","",COUNTIFS('CCS追っかけ'!$B$5:$B$504,$A23,'CCS追っかけ'!$D$5:$D$504,"&lt;&gt;",'CCS追っかけ'!$V$5:$V$504,"&lt;&gt;辞退")-J23)</f>
        <v/>
      </c>
      <c r="L23" s="13">
        <f>IF(OR($A23="",I23="",I23=0),"",J23/I23)</f>
        <v/>
      </c>
      <c r="M23" s="10">
        <f>IF(OR($A23="",I23="",F23=""),"",IF(J23&gt;=I23,"🟢達成",IF(G23="","🟡進行中",IF(H23&lt;0,"🔴期限超過",IF(AND(H23&lt;='設定'!$B$7,J23&lt;I23*0.8),"🔴期限間近",IF(J23&gt;=I23*MIN(1,(TODAY()-F23)/(G23-F23)),"🟢順調",IF(J23&gt;=I23*MIN(1,(TODAY()-F23)/(G23-F23))*'設定'!$B$6,"🟡要注意","🔴遅れ")))))))</f>
        <v/>
      </c>
      <c r="N23" s="10">
        <f>IF($A23="","",SUMIFS('日次ログ'!$D$5:$D$1504,'日次ログ'!$B$5:$B$1504,$A23,'日次ログ'!$A$5:$A$1504,"&gt;="&amp;(TODAY()-6)))</f>
        <v/>
      </c>
      <c r="O23" s="10">
        <f>IF($A23="","",SUMIFS('日次ログ'!$F$5:$F$1504,'日次ログ'!$B$5:$B$1504,$A23,'日次ログ'!$A$5:$A$1504,"&gt;="&amp;(TODAY()-6)))</f>
        <v/>
      </c>
      <c r="P23" s="12">
        <f>IF($A23="","",IF(COUNTIF('日次ログ'!$B$5:$B$1504,$A23)=0,"",_xlfn.MAXIFS('日次ログ'!$A$5:$A$1504,'日次ログ'!$B$5:$B$1504,$A23)))</f>
        <v/>
      </c>
      <c r="Q23" s="10">
        <f>IF($A23="","",IFERROR(COUNTIF(INDIRECT("'"&amp;$A23&amp;"'!E9:E21"),"承諾")&amp;" / "&amp;COUNTA(INDIRECT("'"&amp;$A23&amp;"'!B9:B21")),""))</f>
        <v/>
      </c>
      <c r="R23" s="14">
        <f>IF($A23="","",IFERROR(IF(INDIRECT("'"&amp;$A23&amp;"'!B27")="","",INDIRECT("'"&amp;$A23&amp;"'!B27")),""))</f>
        <v/>
      </c>
      <c r="S23" s="11">
        <f>IF($A23="","",IFERROR(IF(INDIRECT("'"&amp;$A23&amp;"'!B28")="","",INDIRECT("'"&amp;$A23&amp;"'!B28")),""))</f>
        <v/>
      </c>
      <c r="T23" s="10">
        <f>IF($A23="","",COUNTIFS('入会後行動リスト'!$B$5:$B$2004,$A23,'入会後行動リスト'!$J$5:$J$2004,"期限超過"))</f>
        <v/>
      </c>
      <c r="U23" s="10">
        <f>IF($A23="","",COUNTIFS('CCS追っかけ'!$B$5:$B$504,$A23,'CCS追っかけ'!$J$5:$J$504,"CCS済")+COUNTIFS('CCS追っかけ'!$B$5:$B$504,$A23,'CCS追っかけ'!$P$5:$P$504,"✅正式",'CCS追っかけ'!$J$5:$J$504,"&lt;&gt;CCS済"))</f>
        <v/>
      </c>
    </row>
    <row r="24">
      <c r="A24" s="9" t="n"/>
      <c r="B24" s="10">
        <f>IF($A24="","",IFERROR(IF(INDIRECT("'"&amp;$A24&amp;"'!B4")="","",INDIRECT("'"&amp;$A24&amp;"'!B4")),""))</f>
        <v/>
      </c>
      <c r="C24" s="11">
        <f>IF($A24="","",IFERROR(IF(INDIRECT("'"&amp;$A24&amp;"'!B6")="","",INDIRECT("'"&amp;$A24&amp;"'!B6")),""))</f>
        <v/>
      </c>
      <c r="D24" s="12">
        <f>IF($A24="","",IFERROR(IF(INDIRECT("'"&amp;$A24&amp;"'!B8")="","",INDIRECT("'"&amp;$A24&amp;"'!B8")),""))</f>
        <v/>
      </c>
      <c r="E24" s="10">
        <f>IF($A24="","",IFERROR(IF(INDIRECT("'"&amp;$A24&amp;"'!B24")="","",INDIRECT("'"&amp;$A24&amp;"'!B24")),""))</f>
        <v/>
      </c>
      <c r="F24" s="12">
        <f>IF($A24="","",IFERROR(IF(INDIRECT("'"&amp;$A24&amp;"'!B25")="","",INDIRECT("'"&amp;$A24&amp;"'!B25")),""))</f>
        <v/>
      </c>
      <c r="G24" s="12">
        <f>IF(OR($A24="",F24=""),"",IF(E24="フェーズ1",F24+'設定'!$B$4,IF(E24="フェーズ2",F24+'設定'!$B$5,"")))</f>
        <v/>
      </c>
      <c r="H24" s="10">
        <f>IF(G24="","",G24-TODAY())</f>
        <v/>
      </c>
      <c r="I24" s="10">
        <f>IF($A24="","",IFERROR(IF(INDIRECT("'"&amp;$A24&amp;"'!B26")="","",INDIRECT("'"&amp;$A24&amp;"'!B26")),""))</f>
        <v/>
      </c>
      <c r="J24" s="10">
        <f>IF($A24="","",COUNTIFS('CCS追っかけ'!$B$5:$B$504,$A24,'CCS追っかけ'!$P$5:$P$504,"✅正式"))</f>
        <v/>
      </c>
      <c r="K24" s="10">
        <f>IF($A24="","",COUNTIFS('CCS追っかけ'!$B$5:$B$504,$A24,'CCS追っかけ'!$D$5:$D$504,"&lt;&gt;",'CCS追っかけ'!$V$5:$V$504,"&lt;&gt;辞退")-J24)</f>
        <v/>
      </c>
      <c r="L24" s="13">
        <f>IF(OR($A24="",I24="",I24=0),"",J24/I24)</f>
        <v/>
      </c>
      <c r="M24" s="10">
        <f>IF(OR($A24="",I24="",F24=""),"",IF(J24&gt;=I24,"🟢達成",IF(G24="","🟡進行中",IF(H24&lt;0,"🔴期限超過",IF(AND(H24&lt;='設定'!$B$7,J24&lt;I24*0.8),"🔴期限間近",IF(J24&gt;=I24*MIN(1,(TODAY()-F24)/(G24-F24)),"🟢順調",IF(J24&gt;=I24*MIN(1,(TODAY()-F24)/(G24-F24))*'設定'!$B$6,"🟡要注意","🔴遅れ")))))))</f>
        <v/>
      </c>
      <c r="N24" s="10">
        <f>IF($A24="","",SUMIFS('日次ログ'!$D$5:$D$1504,'日次ログ'!$B$5:$B$1504,$A24,'日次ログ'!$A$5:$A$1504,"&gt;="&amp;(TODAY()-6)))</f>
        <v/>
      </c>
      <c r="O24" s="10">
        <f>IF($A24="","",SUMIFS('日次ログ'!$F$5:$F$1504,'日次ログ'!$B$5:$B$1504,$A24,'日次ログ'!$A$5:$A$1504,"&gt;="&amp;(TODAY()-6)))</f>
        <v/>
      </c>
      <c r="P24" s="12">
        <f>IF($A24="","",IF(COUNTIF('日次ログ'!$B$5:$B$1504,$A24)=0,"",_xlfn.MAXIFS('日次ログ'!$A$5:$A$1504,'日次ログ'!$B$5:$B$1504,$A24)))</f>
        <v/>
      </c>
      <c r="Q24" s="10">
        <f>IF($A24="","",IFERROR(COUNTIF(INDIRECT("'"&amp;$A24&amp;"'!E9:E21"),"承諾")&amp;" / "&amp;COUNTA(INDIRECT("'"&amp;$A24&amp;"'!B9:B21")),""))</f>
        <v/>
      </c>
      <c r="R24" s="14">
        <f>IF($A24="","",IFERROR(IF(INDIRECT("'"&amp;$A24&amp;"'!B27")="","",INDIRECT("'"&amp;$A24&amp;"'!B27")),""))</f>
        <v/>
      </c>
      <c r="S24" s="11">
        <f>IF($A24="","",IFERROR(IF(INDIRECT("'"&amp;$A24&amp;"'!B28")="","",INDIRECT("'"&amp;$A24&amp;"'!B28")),""))</f>
        <v/>
      </c>
      <c r="T24" s="10">
        <f>IF($A24="","",COUNTIFS('入会後行動リスト'!$B$5:$B$2004,$A24,'入会後行動リスト'!$J$5:$J$2004,"期限超過"))</f>
        <v/>
      </c>
      <c r="U24" s="10">
        <f>IF($A24="","",COUNTIFS('CCS追っかけ'!$B$5:$B$504,$A24,'CCS追っかけ'!$J$5:$J$504,"CCS済")+COUNTIFS('CCS追っかけ'!$B$5:$B$504,$A24,'CCS追っかけ'!$P$5:$P$504,"✅正式",'CCS追っかけ'!$J$5:$J$504,"&lt;&gt;CCS済"))</f>
        <v/>
      </c>
    </row>
    <row r="25">
      <c r="A25" s="9" t="n"/>
      <c r="B25" s="10">
        <f>IF($A25="","",IFERROR(IF(INDIRECT("'"&amp;$A25&amp;"'!B4")="","",INDIRECT("'"&amp;$A25&amp;"'!B4")),""))</f>
        <v/>
      </c>
      <c r="C25" s="11">
        <f>IF($A25="","",IFERROR(IF(INDIRECT("'"&amp;$A25&amp;"'!B6")="","",INDIRECT("'"&amp;$A25&amp;"'!B6")),""))</f>
        <v/>
      </c>
      <c r="D25" s="12">
        <f>IF($A25="","",IFERROR(IF(INDIRECT("'"&amp;$A25&amp;"'!B8")="","",INDIRECT("'"&amp;$A25&amp;"'!B8")),""))</f>
        <v/>
      </c>
      <c r="E25" s="10">
        <f>IF($A25="","",IFERROR(IF(INDIRECT("'"&amp;$A25&amp;"'!B24")="","",INDIRECT("'"&amp;$A25&amp;"'!B24")),""))</f>
        <v/>
      </c>
      <c r="F25" s="12">
        <f>IF($A25="","",IFERROR(IF(INDIRECT("'"&amp;$A25&amp;"'!B25")="","",INDIRECT("'"&amp;$A25&amp;"'!B25")),""))</f>
        <v/>
      </c>
      <c r="G25" s="12">
        <f>IF(OR($A25="",F25=""),"",IF(E25="フェーズ1",F25+'設定'!$B$4,IF(E25="フェーズ2",F25+'設定'!$B$5,"")))</f>
        <v/>
      </c>
      <c r="H25" s="10">
        <f>IF(G25="","",G25-TODAY())</f>
        <v/>
      </c>
      <c r="I25" s="10">
        <f>IF($A25="","",IFERROR(IF(INDIRECT("'"&amp;$A25&amp;"'!B26")="","",INDIRECT("'"&amp;$A25&amp;"'!B26")),""))</f>
        <v/>
      </c>
      <c r="J25" s="10">
        <f>IF($A25="","",COUNTIFS('CCS追っかけ'!$B$5:$B$504,$A25,'CCS追っかけ'!$P$5:$P$504,"✅正式"))</f>
        <v/>
      </c>
      <c r="K25" s="10">
        <f>IF($A25="","",COUNTIFS('CCS追っかけ'!$B$5:$B$504,$A25,'CCS追っかけ'!$D$5:$D$504,"&lt;&gt;",'CCS追っかけ'!$V$5:$V$504,"&lt;&gt;辞退")-J25)</f>
        <v/>
      </c>
      <c r="L25" s="13">
        <f>IF(OR($A25="",I25="",I25=0),"",J25/I25)</f>
        <v/>
      </c>
      <c r="M25" s="10">
        <f>IF(OR($A25="",I25="",F25=""),"",IF(J25&gt;=I25,"🟢達成",IF(G25="","🟡進行中",IF(H25&lt;0,"🔴期限超過",IF(AND(H25&lt;='設定'!$B$7,J25&lt;I25*0.8),"🔴期限間近",IF(J25&gt;=I25*MIN(1,(TODAY()-F25)/(G25-F25)),"🟢順調",IF(J25&gt;=I25*MIN(1,(TODAY()-F25)/(G25-F25))*'設定'!$B$6,"🟡要注意","🔴遅れ")))))))</f>
        <v/>
      </c>
      <c r="N25" s="10">
        <f>IF($A25="","",SUMIFS('日次ログ'!$D$5:$D$1504,'日次ログ'!$B$5:$B$1504,$A25,'日次ログ'!$A$5:$A$1504,"&gt;="&amp;(TODAY()-6)))</f>
        <v/>
      </c>
      <c r="O25" s="10">
        <f>IF($A25="","",SUMIFS('日次ログ'!$F$5:$F$1504,'日次ログ'!$B$5:$B$1504,$A25,'日次ログ'!$A$5:$A$1504,"&gt;="&amp;(TODAY()-6)))</f>
        <v/>
      </c>
      <c r="P25" s="12">
        <f>IF($A25="","",IF(COUNTIF('日次ログ'!$B$5:$B$1504,$A25)=0,"",_xlfn.MAXIFS('日次ログ'!$A$5:$A$1504,'日次ログ'!$B$5:$B$1504,$A25)))</f>
        <v/>
      </c>
      <c r="Q25" s="10">
        <f>IF($A25="","",IFERROR(COUNTIF(INDIRECT("'"&amp;$A25&amp;"'!E9:E21"),"承諾")&amp;" / "&amp;COUNTA(INDIRECT("'"&amp;$A25&amp;"'!B9:B21")),""))</f>
        <v/>
      </c>
      <c r="R25" s="14">
        <f>IF($A25="","",IFERROR(IF(INDIRECT("'"&amp;$A25&amp;"'!B27")="","",INDIRECT("'"&amp;$A25&amp;"'!B27")),""))</f>
        <v/>
      </c>
      <c r="S25" s="11">
        <f>IF($A25="","",IFERROR(IF(INDIRECT("'"&amp;$A25&amp;"'!B28")="","",INDIRECT("'"&amp;$A25&amp;"'!B28")),""))</f>
        <v/>
      </c>
      <c r="T25" s="10">
        <f>IF($A25="","",COUNTIFS('入会後行動リスト'!$B$5:$B$2004,$A25,'入会後行動リスト'!$J$5:$J$2004,"期限超過"))</f>
        <v/>
      </c>
      <c r="U25" s="10">
        <f>IF($A25="","",COUNTIFS('CCS追っかけ'!$B$5:$B$504,$A25,'CCS追っかけ'!$J$5:$J$504,"CCS済")+COUNTIFS('CCS追っかけ'!$B$5:$B$504,$A25,'CCS追っかけ'!$P$5:$P$504,"✅正式",'CCS追っかけ'!$J$5:$J$504,"&lt;&gt;CCS済"))</f>
        <v/>
      </c>
    </row>
    <row r="26">
      <c r="A26" s="9" t="n"/>
      <c r="B26" s="10">
        <f>IF($A26="","",IFERROR(IF(INDIRECT("'"&amp;$A26&amp;"'!B4")="","",INDIRECT("'"&amp;$A26&amp;"'!B4")),""))</f>
        <v/>
      </c>
      <c r="C26" s="11">
        <f>IF($A26="","",IFERROR(IF(INDIRECT("'"&amp;$A26&amp;"'!B6")="","",INDIRECT("'"&amp;$A26&amp;"'!B6")),""))</f>
        <v/>
      </c>
      <c r="D26" s="12">
        <f>IF($A26="","",IFERROR(IF(INDIRECT("'"&amp;$A26&amp;"'!B8")="","",INDIRECT("'"&amp;$A26&amp;"'!B8")),""))</f>
        <v/>
      </c>
      <c r="E26" s="10">
        <f>IF($A26="","",IFERROR(IF(INDIRECT("'"&amp;$A26&amp;"'!B24")="","",INDIRECT("'"&amp;$A26&amp;"'!B24")),""))</f>
        <v/>
      </c>
      <c r="F26" s="12">
        <f>IF($A26="","",IFERROR(IF(INDIRECT("'"&amp;$A26&amp;"'!B25")="","",INDIRECT("'"&amp;$A26&amp;"'!B25")),""))</f>
        <v/>
      </c>
      <c r="G26" s="12">
        <f>IF(OR($A26="",F26=""),"",IF(E26="フェーズ1",F26+'設定'!$B$4,IF(E26="フェーズ2",F26+'設定'!$B$5,"")))</f>
        <v/>
      </c>
      <c r="H26" s="10">
        <f>IF(G26="","",G26-TODAY())</f>
        <v/>
      </c>
      <c r="I26" s="10">
        <f>IF($A26="","",IFERROR(IF(INDIRECT("'"&amp;$A26&amp;"'!B26")="","",INDIRECT("'"&amp;$A26&amp;"'!B26")),""))</f>
        <v/>
      </c>
      <c r="J26" s="10">
        <f>IF($A26="","",COUNTIFS('CCS追っかけ'!$B$5:$B$504,$A26,'CCS追っかけ'!$P$5:$P$504,"✅正式"))</f>
        <v/>
      </c>
      <c r="K26" s="10">
        <f>IF($A26="","",COUNTIFS('CCS追っかけ'!$B$5:$B$504,$A26,'CCS追っかけ'!$D$5:$D$504,"&lt;&gt;",'CCS追っかけ'!$V$5:$V$504,"&lt;&gt;辞退")-J26)</f>
        <v/>
      </c>
      <c r="L26" s="13">
        <f>IF(OR($A26="",I26="",I26=0),"",J26/I26)</f>
        <v/>
      </c>
      <c r="M26" s="10">
        <f>IF(OR($A26="",I26="",F26=""),"",IF(J26&gt;=I26,"🟢達成",IF(G26="","🟡進行中",IF(H26&lt;0,"🔴期限超過",IF(AND(H26&lt;='設定'!$B$7,J26&lt;I26*0.8),"🔴期限間近",IF(J26&gt;=I26*MIN(1,(TODAY()-F26)/(G26-F26)),"🟢順調",IF(J26&gt;=I26*MIN(1,(TODAY()-F26)/(G26-F26))*'設定'!$B$6,"🟡要注意","🔴遅れ")))))))</f>
        <v/>
      </c>
      <c r="N26" s="10">
        <f>IF($A26="","",SUMIFS('日次ログ'!$D$5:$D$1504,'日次ログ'!$B$5:$B$1504,$A26,'日次ログ'!$A$5:$A$1504,"&gt;="&amp;(TODAY()-6)))</f>
        <v/>
      </c>
      <c r="O26" s="10">
        <f>IF($A26="","",SUMIFS('日次ログ'!$F$5:$F$1504,'日次ログ'!$B$5:$B$1504,$A26,'日次ログ'!$A$5:$A$1504,"&gt;="&amp;(TODAY()-6)))</f>
        <v/>
      </c>
      <c r="P26" s="12">
        <f>IF($A26="","",IF(COUNTIF('日次ログ'!$B$5:$B$1504,$A26)=0,"",_xlfn.MAXIFS('日次ログ'!$A$5:$A$1504,'日次ログ'!$B$5:$B$1504,$A26)))</f>
        <v/>
      </c>
      <c r="Q26" s="10">
        <f>IF($A26="","",IFERROR(COUNTIF(INDIRECT("'"&amp;$A26&amp;"'!E9:E21"),"承諾")&amp;" / "&amp;COUNTA(INDIRECT("'"&amp;$A26&amp;"'!B9:B21")),""))</f>
        <v/>
      </c>
      <c r="R26" s="14">
        <f>IF($A26="","",IFERROR(IF(INDIRECT("'"&amp;$A26&amp;"'!B27")="","",INDIRECT("'"&amp;$A26&amp;"'!B27")),""))</f>
        <v/>
      </c>
      <c r="S26" s="11">
        <f>IF($A26="","",IFERROR(IF(INDIRECT("'"&amp;$A26&amp;"'!B28")="","",INDIRECT("'"&amp;$A26&amp;"'!B28")),""))</f>
        <v/>
      </c>
      <c r="T26" s="10">
        <f>IF($A26="","",COUNTIFS('入会後行動リスト'!$B$5:$B$2004,$A26,'入会後行動リスト'!$J$5:$J$2004,"期限超過"))</f>
        <v/>
      </c>
      <c r="U26" s="10">
        <f>IF($A26="","",COUNTIFS('CCS追っかけ'!$B$5:$B$504,$A26,'CCS追っかけ'!$J$5:$J$504,"CCS済")+COUNTIFS('CCS追っかけ'!$B$5:$B$504,$A26,'CCS追っかけ'!$P$5:$P$504,"✅正式",'CCS追っかけ'!$J$5:$J$504,"&lt;&gt;CCS済"))</f>
        <v/>
      </c>
    </row>
    <row r="27">
      <c r="A27" s="9" t="n"/>
      <c r="B27" s="10">
        <f>IF($A27="","",IFERROR(IF(INDIRECT("'"&amp;$A27&amp;"'!B4")="","",INDIRECT("'"&amp;$A27&amp;"'!B4")),""))</f>
        <v/>
      </c>
      <c r="C27" s="11">
        <f>IF($A27="","",IFERROR(IF(INDIRECT("'"&amp;$A27&amp;"'!B6")="","",INDIRECT("'"&amp;$A27&amp;"'!B6")),""))</f>
        <v/>
      </c>
      <c r="D27" s="12">
        <f>IF($A27="","",IFERROR(IF(INDIRECT("'"&amp;$A27&amp;"'!B8")="","",INDIRECT("'"&amp;$A27&amp;"'!B8")),""))</f>
        <v/>
      </c>
      <c r="E27" s="10">
        <f>IF($A27="","",IFERROR(IF(INDIRECT("'"&amp;$A27&amp;"'!B24")="","",INDIRECT("'"&amp;$A27&amp;"'!B24")),""))</f>
        <v/>
      </c>
      <c r="F27" s="12">
        <f>IF($A27="","",IFERROR(IF(INDIRECT("'"&amp;$A27&amp;"'!B25")="","",INDIRECT("'"&amp;$A27&amp;"'!B25")),""))</f>
        <v/>
      </c>
      <c r="G27" s="12">
        <f>IF(OR($A27="",F27=""),"",IF(E27="フェーズ1",F27+'設定'!$B$4,IF(E27="フェーズ2",F27+'設定'!$B$5,"")))</f>
        <v/>
      </c>
      <c r="H27" s="10">
        <f>IF(G27="","",G27-TODAY())</f>
        <v/>
      </c>
      <c r="I27" s="10">
        <f>IF($A27="","",IFERROR(IF(INDIRECT("'"&amp;$A27&amp;"'!B26")="","",INDIRECT("'"&amp;$A27&amp;"'!B26")),""))</f>
        <v/>
      </c>
      <c r="J27" s="10">
        <f>IF($A27="","",COUNTIFS('CCS追っかけ'!$B$5:$B$504,$A27,'CCS追っかけ'!$P$5:$P$504,"✅正式"))</f>
        <v/>
      </c>
      <c r="K27" s="10">
        <f>IF($A27="","",COUNTIFS('CCS追っかけ'!$B$5:$B$504,$A27,'CCS追っかけ'!$D$5:$D$504,"&lt;&gt;",'CCS追っかけ'!$V$5:$V$504,"&lt;&gt;辞退")-J27)</f>
        <v/>
      </c>
      <c r="L27" s="13">
        <f>IF(OR($A27="",I27="",I27=0),"",J27/I27)</f>
        <v/>
      </c>
      <c r="M27" s="10">
        <f>IF(OR($A27="",I27="",F27=""),"",IF(J27&gt;=I27,"🟢達成",IF(G27="","🟡進行中",IF(H27&lt;0,"🔴期限超過",IF(AND(H27&lt;='設定'!$B$7,J27&lt;I27*0.8),"🔴期限間近",IF(J27&gt;=I27*MIN(1,(TODAY()-F27)/(G27-F27)),"🟢順調",IF(J27&gt;=I27*MIN(1,(TODAY()-F27)/(G27-F27))*'設定'!$B$6,"🟡要注意","🔴遅れ")))))))</f>
        <v/>
      </c>
      <c r="N27" s="10">
        <f>IF($A27="","",SUMIFS('日次ログ'!$D$5:$D$1504,'日次ログ'!$B$5:$B$1504,$A27,'日次ログ'!$A$5:$A$1504,"&gt;="&amp;(TODAY()-6)))</f>
        <v/>
      </c>
      <c r="O27" s="10">
        <f>IF($A27="","",SUMIFS('日次ログ'!$F$5:$F$1504,'日次ログ'!$B$5:$B$1504,$A27,'日次ログ'!$A$5:$A$1504,"&gt;="&amp;(TODAY()-6)))</f>
        <v/>
      </c>
      <c r="P27" s="12">
        <f>IF($A27="","",IF(COUNTIF('日次ログ'!$B$5:$B$1504,$A27)=0,"",_xlfn.MAXIFS('日次ログ'!$A$5:$A$1504,'日次ログ'!$B$5:$B$1504,$A27)))</f>
        <v/>
      </c>
      <c r="Q27" s="10">
        <f>IF($A27="","",IFERROR(COUNTIF(INDIRECT("'"&amp;$A27&amp;"'!E9:E21"),"承諾")&amp;" / "&amp;COUNTA(INDIRECT("'"&amp;$A27&amp;"'!B9:B21")),""))</f>
        <v/>
      </c>
      <c r="R27" s="14">
        <f>IF($A27="","",IFERROR(IF(INDIRECT("'"&amp;$A27&amp;"'!B27")="","",INDIRECT("'"&amp;$A27&amp;"'!B27")),""))</f>
        <v/>
      </c>
      <c r="S27" s="11">
        <f>IF($A27="","",IFERROR(IF(INDIRECT("'"&amp;$A27&amp;"'!B28")="","",INDIRECT("'"&amp;$A27&amp;"'!B28")),""))</f>
        <v/>
      </c>
      <c r="T27" s="10">
        <f>IF($A27="","",COUNTIFS('入会後行動リスト'!$B$5:$B$2004,$A27,'入会後行動リスト'!$J$5:$J$2004,"期限超過"))</f>
        <v/>
      </c>
      <c r="U27" s="10">
        <f>IF($A27="","",COUNTIFS('CCS追っかけ'!$B$5:$B$504,$A27,'CCS追っかけ'!$J$5:$J$504,"CCS済")+COUNTIFS('CCS追っかけ'!$B$5:$B$504,$A27,'CCS追っかけ'!$P$5:$P$504,"✅正式",'CCS追っかけ'!$J$5:$J$504,"&lt;&gt;CCS済"))</f>
        <v/>
      </c>
    </row>
  </sheetData>
  <conditionalFormatting sqref="M8:M27">
    <cfRule type="expression" priority="1" dxfId="0">
      <formula>LEFT($M8,1)="🔴"</formula>
    </cfRule>
    <cfRule type="expression" priority="2" dxfId="1">
      <formula>LEFT($M8,1)="🟡"</formula>
    </cfRule>
    <cfRule type="expression" priority="3" dxfId="2">
      <formula>LEFT($M8,1)="🟢"</formula>
    </cfRule>
  </conditionalFormatting>
  <conditionalFormatting sqref="H8:H27">
    <cfRule type="expression" priority="4" dxfId="3">
      <formula>AND(ISNUMBER($H8),$H8&lt;='設定'!$B$7)</formula>
    </cfRule>
  </conditionalFormatting>
  <conditionalFormatting sqref="P8:P27">
    <cfRule type="expression" priority="5" dxfId="4">
      <formula>AND(LEFT($E8,4)="フェーズ",OR($P8="",AND(ISNUMBER($P8),TODAY()-$P8&gt;='設定'!$B$8)))</formula>
    </cfRule>
  </conditionalFormatting>
  <conditionalFormatting sqref="T8:T27">
    <cfRule type="expression" priority="6" dxfId="5">
      <formula>AND(ISNUMBER($T8),$T8&gt;0)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4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22" customWidth="1" min="14" max="14"/>
    <col width="14" customWidth="1" min="15" max="15"/>
    <col width="30" customWidth="1" min="16" max="16"/>
  </cols>
  <sheetData>
    <row r="1">
      <c r="A1" s="1" t="inlineStr">
        <is>
          <t>全体管理（各LDシートから自動集約・入力不要）</t>
        </is>
      </c>
    </row>
    <row r="2">
      <c r="A2" s="2" t="inlineStr">
        <is>
          <t>名前の後ろの（打診中）等は声かけ状況。承諾済みは名前のみ表示</t>
        </is>
      </c>
    </row>
    <row r="4">
      <c r="A4" s="8" t="inlineStr">
        <is>
          <t>ローンチディレクター</t>
        </is>
      </c>
      <c r="B4" s="8" t="inlineStr">
        <is>
          <t>管轄エリア</t>
        </is>
      </c>
      <c r="C4" s="8" t="inlineStr">
        <is>
          <t>チャプター名</t>
        </is>
      </c>
      <c r="D4" s="8" t="inlineStr">
        <is>
          <t>定例会日時</t>
        </is>
      </c>
      <c r="E4" s="8" t="inlineStr">
        <is>
          <t>初回定例会</t>
        </is>
      </c>
      <c r="F4" s="8" t="inlineStr">
        <is>
          <t>CCS担当①</t>
        </is>
      </c>
      <c r="G4" s="8" t="inlineStr">
        <is>
          <t>CCS担当②</t>
        </is>
      </c>
      <c r="H4" s="8" t="inlineStr">
        <is>
          <t>CCS担当③</t>
        </is>
      </c>
      <c r="I4" s="8" t="inlineStr">
        <is>
          <t>CCS担当④</t>
        </is>
      </c>
      <c r="J4" s="8" t="inlineStr">
        <is>
          <t>MS・メンター①</t>
        </is>
      </c>
      <c r="K4" s="8" t="inlineStr">
        <is>
          <t>MS・メンター②</t>
        </is>
      </c>
      <c r="L4" s="8" t="inlineStr">
        <is>
          <t>MS・メンター③</t>
        </is>
      </c>
      <c r="M4" s="8" t="inlineStr">
        <is>
          <t>MS・メンター④</t>
        </is>
      </c>
      <c r="N4" s="8" t="inlineStr">
        <is>
          <t>全体サポート</t>
        </is>
      </c>
      <c r="O4" s="8" t="inlineStr">
        <is>
          <t>その他・必要な役割</t>
        </is>
      </c>
      <c r="P4" s="8" t="inlineStr">
        <is>
          <t>進捗・メモ</t>
        </is>
      </c>
    </row>
    <row r="5">
      <c r="A5" s="15">
        <f>'📊ダッシュボード'!A8&amp;""</f>
        <v/>
      </c>
      <c r="B5" s="14">
        <f>IF($A5="","",IFERROR(IF(INDIRECT("'"&amp;$A5&amp;"'!B4")="","",INDIRECT("'"&amp;$A5&amp;"'!B4")),""))</f>
        <v/>
      </c>
      <c r="C5" s="14">
        <f>IF($A5="","",IFERROR(IF(INDIRECT("'"&amp;$A5&amp;"'!B6")="","",INDIRECT("'"&amp;$A5&amp;"'!B6")),""))</f>
        <v/>
      </c>
      <c r="D5" s="14">
        <f>IF($A5="","",IFERROR(IF(INDIRECT("'"&amp;$A5&amp;"'!B7")="","",INDIRECT("'"&amp;$A5&amp;"'!B7")),""))</f>
        <v/>
      </c>
      <c r="E5" s="16">
        <f>IF($A5="","",IFERROR(IF(INDIRECT("'"&amp;$A5&amp;"'!B8")="","",INDIRECT("'"&amp;$A5&amp;"'!B8")),""))</f>
        <v/>
      </c>
      <c r="F5" s="14">
        <f>IF($A5="","",IFERROR(IF(INDIRECT("'"&amp;$A5&amp;"'!B9")="","",INDIRECT("'"&amp;$A5&amp;"'!B9")&amp;IF(INDIRECT("'"&amp;$A5&amp;"'!E9")="承諾",""," （"&amp;INDIRECT("'"&amp;$A5&amp;"'!E9")&amp;"）")),""))</f>
        <v/>
      </c>
      <c r="G5" s="14">
        <f>IF($A5="","",IFERROR(IF(INDIRECT("'"&amp;$A5&amp;"'!B10")="","",INDIRECT("'"&amp;$A5&amp;"'!B10")&amp;IF(INDIRECT("'"&amp;$A5&amp;"'!E10")="承諾",""," （"&amp;INDIRECT("'"&amp;$A5&amp;"'!E10")&amp;"）")),""))</f>
        <v/>
      </c>
      <c r="H5" s="14">
        <f>IF($A5="","",IFERROR(IF(INDIRECT("'"&amp;$A5&amp;"'!B11")="","",INDIRECT("'"&amp;$A5&amp;"'!B11")&amp;IF(INDIRECT("'"&amp;$A5&amp;"'!E11")="承諾",""," （"&amp;INDIRECT("'"&amp;$A5&amp;"'!E11")&amp;"）")),""))</f>
        <v/>
      </c>
      <c r="I5" s="14">
        <f>IF($A5="","",IFERROR(IF(INDIRECT("'"&amp;$A5&amp;"'!B12")="","",INDIRECT("'"&amp;$A5&amp;"'!B12")&amp;IF(INDIRECT("'"&amp;$A5&amp;"'!E12")="承諾",""," （"&amp;INDIRECT("'"&amp;$A5&amp;"'!E12")&amp;"）")),""))</f>
        <v/>
      </c>
      <c r="J5" s="14">
        <f>IF($A5="","",IFERROR(IF(INDIRECT("'"&amp;$A5&amp;"'!B13")="","",INDIRECT("'"&amp;$A5&amp;"'!B13")&amp;IF(INDIRECT("'"&amp;$A5&amp;"'!E13")="承諾",""," （"&amp;INDIRECT("'"&amp;$A5&amp;"'!E13")&amp;"）")),""))</f>
        <v/>
      </c>
      <c r="K5" s="14">
        <f>IF($A5="","",IFERROR(IF(INDIRECT("'"&amp;$A5&amp;"'!B14")="","",INDIRECT("'"&amp;$A5&amp;"'!B14")&amp;IF(INDIRECT("'"&amp;$A5&amp;"'!E14")="承諾",""," （"&amp;INDIRECT("'"&amp;$A5&amp;"'!E14")&amp;"）")),""))</f>
        <v/>
      </c>
      <c r="L5" s="14">
        <f>IF($A5="","",IFERROR(IF(INDIRECT("'"&amp;$A5&amp;"'!B15")="","",INDIRECT("'"&amp;$A5&amp;"'!B15")&amp;IF(INDIRECT("'"&amp;$A5&amp;"'!E15")="承諾",""," （"&amp;INDIRECT("'"&amp;$A5&amp;"'!E15")&amp;"）")),""))</f>
        <v/>
      </c>
      <c r="M5" s="14">
        <f>IF($A5="","",IFERROR(IF(INDIRECT("'"&amp;$A5&amp;"'!B16")="","",INDIRECT("'"&amp;$A5&amp;"'!B16")&amp;IF(INDIRECT("'"&amp;$A5&amp;"'!E16")="承諾",""," （"&amp;INDIRECT("'"&amp;$A5&amp;"'!E16")&amp;"）")),""))</f>
        <v/>
      </c>
      <c r="N5" s="14">
        <f>IF($A5="","",IFERROR(_xlfn.TEXTJOIN("、",TRUE,INDIRECT("'"&amp;$A5&amp;"'!B17:B20")),""))</f>
        <v/>
      </c>
      <c r="O5" s="14">
        <f>IF($A5="","",IFERROR(IF(INDIRECT("'"&amp;$A5&amp;"'!B21")="","",INDIRECT("'"&amp;$A5&amp;"'!B21")&amp;IF(INDIRECT("'"&amp;$A5&amp;"'!E21")="承諾",""," （"&amp;INDIRECT("'"&amp;$A5&amp;"'!E21")&amp;"）")),""))</f>
        <v/>
      </c>
      <c r="P5" s="14">
        <f>IF($A5="","",IFERROR(IF(INDIRECT("'"&amp;$A5&amp;"'!B27")="","",INDIRECT("'"&amp;$A5&amp;"'!B27")),""))</f>
        <v/>
      </c>
    </row>
    <row r="6">
      <c r="A6" s="15">
        <f>'📊ダッシュボード'!A9&amp;""</f>
        <v/>
      </c>
      <c r="B6" s="14">
        <f>IF($A6="","",IFERROR(IF(INDIRECT("'"&amp;$A6&amp;"'!B4")="","",INDIRECT("'"&amp;$A6&amp;"'!B4")),""))</f>
        <v/>
      </c>
      <c r="C6" s="14">
        <f>IF($A6="","",IFERROR(IF(INDIRECT("'"&amp;$A6&amp;"'!B6")="","",INDIRECT("'"&amp;$A6&amp;"'!B6")),""))</f>
        <v/>
      </c>
      <c r="D6" s="14">
        <f>IF($A6="","",IFERROR(IF(INDIRECT("'"&amp;$A6&amp;"'!B7")="","",INDIRECT("'"&amp;$A6&amp;"'!B7")),""))</f>
        <v/>
      </c>
      <c r="E6" s="16">
        <f>IF($A6="","",IFERROR(IF(INDIRECT("'"&amp;$A6&amp;"'!B8")="","",INDIRECT("'"&amp;$A6&amp;"'!B8")),""))</f>
        <v/>
      </c>
      <c r="F6" s="14">
        <f>IF($A6="","",IFERROR(IF(INDIRECT("'"&amp;$A6&amp;"'!B9")="","",INDIRECT("'"&amp;$A6&amp;"'!B9")&amp;IF(INDIRECT("'"&amp;$A6&amp;"'!E9")="承諾",""," （"&amp;INDIRECT("'"&amp;$A6&amp;"'!E9")&amp;"）")),""))</f>
        <v/>
      </c>
      <c r="G6" s="14">
        <f>IF($A6="","",IFERROR(IF(INDIRECT("'"&amp;$A6&amp;"'!B10")="","",INDIRECT("'"&amp;$A6&amp;"'!B10")&amp;IF(INDIRECT("'"&amp;$A6&amp;"'!E10")="承諾",""," （"&amp;INDIRECT("'"&amp;$A6&amp;"'!E10")&amp;"）")),""))</f>
        <v/>
      </c>
      <c r="H6" s="14">
        <f>IF($A6="","",IFERROR(IF(INDIRECT("'"&amp;$A6&amp;"'!B11")="","",INDIRECT("'"&amp;$A6&amp;"'!B11")&amp;IF(INDIRECT("'"&amp;$A6&amp;"'!E11")="承諾",""," （"&amp;INDIRECT("'"&amp;$A6&amp;"'!E11")&amp;"）")),""))</f>
        <v/>
      </c>
      <c r="I6" s="14">
        <f>IF($A6="","",IFERROR(IF(INDIRECT("'"&amp;$A6&amp;"'!B12")="","",INDIRECT("'"&amp;$A6&amp;"'!B12")&amp;IF(INDIRECT("'"&amp;$A6&amp;"'!E12")="承諾",""," （"&amp;INDIRECT("'"&amp;$A6&amp;"'!E12")&amp;"）")),""))</f>
        <v/>
      </c>
      <c r="J6" s="14">
        <f>IF($A6="","",IFERROR(IF(INDIRECT("'"&amp;$A6&amp;"'!B13")="","",INDIRECT("'"&amp;$A6&amp;"'!B13")&amp;IF(INDIRECT("'"&amp;$A6&amp;"'!E13")="承諾",""," （"&amp;INDIRECT("'"&amp;$A6&amp;"'!E13")&amp;"）")),""))</f>
        <v/>
      </c>
      <c r="K6" s="14">
        <f>IF($A6="","",IFERROR(IF(INDIRECT("'"&amp;$A6&amp;"'!B14")="","",INDIRECT("'"&amp;$A6&amp;"'!B14")&amp;IF(INDIRECT("'"&amp;$A6&amp;"'!E14")="承諾",""," （"&amp;INDIRECT("'"&amp;$A6&amp;"'!E14")&amp;"）")),""))</f>
        <v/>
      </c>
      <c r="L6" s="14">
        <f>IF($A6="","",IFERROR(IF(INDIRECT("'"&amp;$A6&amp;"'!B15")="","",INDIRECT("'"&amp;$A6&amp;"'!B15")&amp;IF(INDIRECT("'"&amp;$A6&amp;"'!E15")="承諾",""," （"&amp;INDIRECT("'"&amp;$A6&amp;"'!E15")&amp;"）")),""))</f>
        <v/>
      </c>
      <c r="M6" s="14">
        <f>IF($A6="","",IFERROR(IF(INDIRECT("'"&amp;$A6&amp;"'!B16")="","",INDIRECT("'"&amp;$A6&amp;"'!B16")&amp;IF(INDIRECT("'"&amp;$A6&amp;"'!E16")="承諾",""," （"&amp;INDIRECT("'"&amp;$A6&amp;"'!E16")&amp;"）")),""))</f>
        <v/>
      </c>
      <c r="N6" s="14">
        <f>IF($A6="","",IFERROR(_xlfn.TEXTJOIN("、",TRUE,INDIRECT("'"&amp;$A6&amp;"'!B17:B20")),""))</f>
        <v/>
      </c>
      <c r="O6" s="14">
        <f>IF($A6="","",IFERROR(IF(INDIRECT("'"&amp;$A6&amp;"'!B21")="","",INDIRECT("'"&amp;$A6&amp;"'!B21")&amp;IF(INDIRECT("'"&amp;$A6&amp;"'!E21")="承諾",""," （"&amp;INDIRECT("'"&amp;$A6&amp;"'!E21")&amp;"）")),""))</f>
        <v/>
      </c>
      <c r="P6" s="14">
        <f>IF($A6="","",IFERROR(IF(INDIRECT("'"&amp;$A6&amp;"'!B27")="","",INDIRECT("'"&amp;$A6&amp;"'!B27")),""))</f>
        <v/>
      </c>
    </row>
    <row r="7">
      <c r="A7" s="15">
        <f>'📊ダッシュボード'!A10&amp;""</f>
        <v/>
      </c>
      <c r="B7" s="14">
        <f>IF($A7="","",IFERROR(IF(INDIRECT("'"&amp;$A7&amp;"'!B4")="","",INDIRECT("'"&amp;$A7&amp;"'!B4")),""))</f>
        <v/>
      </c>
      <c r="C7" s="14">
        <f>IF($A7="","",IFERROR(IF(INDIRECT("'"&amp;$A7&amp;"'!B6")="","",INDIRECT("'"&amp;$A7&amp;"'!B6")),""))</f>
        <v/>
      </c>
      <c r="D7" s="14">
        <f>IF($A7="","",IFERROR(IF(INDIRECT("'"&amp;$A7&amp;"'!B7")="","",INDIRECT("'"&amp;$A7&amp;"'!B7")),""))</f>
        <v/>
      </c>
      <c r="E7" s="16">
        <f>IF($A7="","",IFERROR(IF(INDIRECT("'"&amp;$A7&amp;"'!B8")="","",INDIRECT("'"&amp;$A7&amp;"'!B8")),""))</f>
        <v/>
      </c>
      <c r="F7" s="14">
        <f>IF($A7="","",IFERROR(IF(INDIRECT("'"&amp;$A7&amp;"'!B9")="","",INDIRECT("'"&amp;$A7&amp;"'!B9")&amp;IF(INDIRECT("'"&amp;$A7&amp;"'!E9")="承諾",""," （"&amp;INDIRECT("'"&amp;$A7&amp;"'!E9")&amp;"）")),""))</f>
        <v/>
      </c>
      <c r="G7" s="14">
        <f>IF($A7="","",IFERROR(IF(INDIRECT("'"&amp;$A7&amp;"'!B10")="","",INDIRECT("'"&amp;$A7&amp;"'!B10")&amp;IF(INDIRECT("'"&amp;$A7&amp;"'!E10")="承諾",""," （"&amp;INDIRECT("'"&amp;$A7&amp;"'!E10")&amp;"）")),""))</f>
        <v/>
      </c>
      <c r="H7" s="14">
        <f>IF($A7="","",IFERROR(IF(INDIRECT("'"&amp;$A7&amp;"'!B11")="","",INDIRECT("'"&amp;$A7&amp;"'!B11")&amp;IF(INDIRECT("'"&amp;$A7&amp;"'!E11")="承諾",""," （"&amp;INDIRECT("'"&amp;$A7&amp;"'!E11")&amp;"）")),""))</f>
        <v/>
      </c>
      <c r="I7" s="14">
        <f>IF($A7="","",IFERROR(IF(INDIRECT("'"&amp;$A7&amp;"'!B12")="","",INDIRECT("'"&amp;$A7&amp;"'!B12")&amp;IF(INDIRECT("'"&amp;$A7&amp;"'!E12")="承諾",""," （"&amp;INDIRECT("'"&amp;$A7&amp;"'!E12")&amp;"）")),""))</f>
        <v/>
      </c>
      <c r="J7" s="14">
        <f>IF($A7="","",IFERROR(IF(INDIRECT("'"&amp;$A7&amp;"'!B13")="","",INDIRECT("'"&amp;$A7&amp;"'!B13")&amp;IF(INDIRECT("'"&amp;$A7&amp;"'!E13")="承諾",""," （"&amp;INDIRECT("'"&amp;$A7&amp;"'!E13")&amp;"）")),""))</f>
        <v/>
      </c>
      <c r="K7" s="14">
        <f>IF($A7="","",IFERROR(IF(INDIRECT("'"&amp;$A7&amp;"'!B14")="","",INDIRECT("'"&amp;$A7&amp;"'!B14")&amp;IF(INDIRECT("'"&amp;$A7&amp;"'!E14")="承諾",""," （"&amp;INDIRECT("'"&amp;$A7&amp;"'!E14")&amp;"）")),""))</f>
        <v/>
      </c>
      <c r="L7" s="14">
        <f>IF($A7="","",IFERROR(IF(INDIRECT("'"&amp;$A7&amp;"'!B15")="","",INDIRECT("'"&amp;$A7&amp;"'!B15")&amp;IF(INDIRECT("'"&amp;$A7&amp;"'!E15")="承諾",""," （"&amp;INDIRECT("'"&amp;$A7&amp;"'!E15")&amp;"）")),""))</f>
        <v/>
      </c>
      <c r="M7" s="14">
        <f>IF($A7="","",IFERROR(IF(INDIRECT("'"&amp;$A7&amp;"'!B16")="","",INDIRECT("'"&amp;$A7&amp;"'!B16")&amp;IF(INDIRECT("'"&amp;$A7&amp;"'!E16")="承諾",""," （"&amp;INDIRECT("'"&amp;$A7&amp;"'!E16")&amp;"）")),""))</f>
        <v/>
      </c>
      <c r="N7" s="14">
        <f>IF($A7="","",IFERROR(_xlfn.TEXTJOIN("、",TRUE,INDIRECT("'"&amp;$A7&amp;"'!B17:B20")),""))</f>
        <v/>
      </c>
      <c r="O7" s="14">
        <f>IF($A7="","",IFERROR(IF(INDIRECT("'"&amp;$A7&amp;"'!B21")="","",INDIRECT("'"&amp;$A7&amp;"'!B21")&amp;IF(INDIRECT("'"&amp;$A7&amp;"'!E21")="承諾",""," （"&amp;INDIRECT("'"&amp;$A7&amp;"'!E21")&amp;"）")),""))</f>
        <v/>
      </c>
      <c r="P7" s="14">
        <f>IF($A7="","",IFERROR(IF(INDIRECT("'"&amp;$A7&amp;"'!B27")="","",INDIRECT("'"&amp;$A7&amp;"'!B27")),""))</f>
        <v/>
      </c>
    </row>
    <row r="8">
      <c r="A8" s="15">
        <f>'📊ダッシュボード'!A11&amp;""</f>
        <v/>
      </c>
      <c r="B8" s="14">
        <f>IF($A8="","",IFERROR(IF(INDIRECT("'"&amp;$A8&amp;"'!B4")="","",INDIRECT("'"&amp;$A8&amp;"'!B4")),""))</f>
        <v/>
      </c>
      <c r="C8" s="14">
        <f>IF($A8="","",IFERROR(IF(INDIRECT("'"&amp;$A8&amp;"'!B6")="","",INDIRECT("'"&amp;$A8&amp;"'!B6")),""))</f>
        <v/>
      </c>
      <c r="D8" s="14">
        <f>IF($A8="","",IFERROR(IF(INDIRECT("'"&amp;$A8&amp;"'!B7")="","",INDIRECT("'"&amp;$A8&amp;"'!B7")),""))</f>
        <v/>
      </c>
      <c r="E8" s="16">
        <f>IF($A8="","",IFERROR(IF(INDIRECT("'"&amp;$A8&amp;"'!B8")="","",INDIRECT("'"&amp;$A8&amp;"'!B8")),""))</f>
        <v/>
      </c>
      <c r="F8" s="14">
        <f>IF($A8="","",IFERROR(IF(INDIRECT("'"&amp;$A8&amp;"'!B9")="","",INDIRECT("'"&amp;$A8&amp;"'!B9")&amp;IF(INDIRECT("'"&amp;$A8&amp;"'!E9")="承諾",""," （"&amp;INDIRECT("'"&amp;$A8&amp;"'!E9")&amp;"）")),""))</f>
        <v/>
      </c>
      <c r="G8" s="14">
        <f>IF($A8="","",IFERROR(IF(INDIRECT("'"&amp;$A8&amp;"'!B10")="","",INDIRECT("'"&amp;$A8&amp;"'!B10")&amp;IF(INDIRECT("'"&amp;$A8&amp;"'!E10")="承諾",""," （"&amp;INDIRECT("'"&amp;$A8&amp;"'!E10")&amp;"）")),""))</f>
        <v/>
      </c>
      <c r="H8" s="14">
        <f>IF($A8="","",IFERROR(IF(INDIRECT("'"&amp;$A8&amp;"'!B11")="","",INDIRECT("'"&amp;$A8&amp;"'!B11")&amp;IF(INDIRECT("'"&amp;$A8&amp;"'!E11")="承諾",""," （"&amp;INDIRECT("'"&amp;$A8&amp;"'!E11")&amp;"）")),""))</f>
        <v/>
      </c>
      <c r="I8" s="14">
        <f>IF($A8="","",IFERROR(IF(INDIRECT("'"&amp;$A8&amp;"'!B12")="","",INDIRECT("'"&amp;$A8&amp;"'!B12")&amp;IF(INDIRECT("'"&amp;$A8&amp;"'!E12")="承諾",""," （"&amp;INDIRECT("'"&amp;$A8&amp;"'!E12")&amp;"）")),""))</f>
        <v/>
      </c>
      <c r="J8" s="14">
        <f>IF($A8="","",IFERROR(IF(INDIRECT("'"&amp;$A8&amp;"'!B13")="","",INDIRECT("'"&amp;$A8&amp;"'!B13")&amp;IF(INDIRECT("'"&amp;$A8&amp;"'!E13")="承諾",""," （"&amp;INDIRECT("'"&amp;$A8&amp;"'!E13")&amp;"）")),""))</f>
        <v/>
      </c>
      <c r="K8" s="14">
        <f>IF($A8="","",IFERROR(IF(INDIRECT("'"&amp;$A8&amp;"'!B14")="","",INDIRECT("'"&amp;$A8&amp;"'!B14")&amp;IF(INDIRECT("'"&amp;$A8&amp;"'!E14")="承諾",""," （"&amp;INDIRECT("'"&amp;$A8&amp;"'!E14")&amp;"）")),""))</f>
        <v/>
      </c>
      <c r="L8" s="14">
        <f>IF($A8="","",IFERROR(IF(INDIRECT("'"&amp;$A8&amp;"'!B15")="","",INDIRECT("'"&amp;$A8&amp;"'!B15")&amp;IF(INDIRECT("'"&amp;$A8&amp;"'!E15")="承諾",""," （"&amp;INDIRECT("'"&amp;$A8&amp;"'!E15")&amp;"）")),""))</f>
        <v/>
      </c>
      <c r="M8" s="14">
        <f>IF($A8="","",IFERROR(IF(INDIRECT("'"&amp;$A8&amp;"'!B16")="","",INDIRECT("'"&amp;$A8&amp;"'!B16")&amp;IF(INDIRECT("'"&amp;$A8&amp;"'!E16")="承諾",""," （"&amp;INDIRECT("'"&amp;$A8&amp;"'!E16")&amp;"）")),""))</f>
        <v/>
      </c>
      <c r="N8" s="14">
        <f>IF($A8="","",IFERROR(_xlfn.TEXTJOIN("、",TRUE,INDIRECT("'"&amp;$A8&amp;"'!B17:B20")),""))</f>
        <v/>
      </c>
      <c r="O8" s="14">
        <f>IF($A8="","",IFERROR(IF(INDIRECT("'"&amp;$A8&amp;"'!B21")="","",INDIRECT("'"&amp;$A8&amp;"'!B21")&amp;IF(INDIRECT("'"&amp;$A8&amp;"'!E21")="承諾",""," （"&amp;INDIRECT("'"&amp;$A8&amp;"'!E21")&amp;"）")),""))</f>
        <v/>
      </c>
      <c r="P8" s="14">
        <f>IF($A8="","",IFERROR(IF(INDIRECT("'"&amp;$A8&amp;"'!B27")="","",INDIRECT("'"&amp;$A8&amp;"'!B27")),""))</f>
        <v/>
      </c>
    </row>
    <row r="9">
      <c r="A9" s="15">
        <f>'📊ダッシュボード'!A12&amp;""</f>
        <v/>
      </c>
      <c r="B9" s="14">
        <f>IF($A9="","",IFERROR(IF(INDIRECT("'"&amp;$A9&amp;"'!B4")="","",INDIRECT("'"&amp;$A9&amp;"'!B4")),""))</f>
        <v/>
      </c>
      <c r="C9" s="14">
        <f>IF($A9="","",IFERROR(IF(INDIRECT("'"&amp;$A9&amp;"'!B6")="","",INDIRECT("'"&amp;$A9&amp;"'!B6")),""))</f>
        <v/>
      </c>
      <c r="D9" s="14">
        <f>IF($A9="","",IFERROR(IF(INDIRECT("'"&amp;$A9&amp;"'!B7")="","",INDIRECT("'"&amp;$A9&amp;"'!B7")),""))</f>
        <v/>
      </c>
      <c r="E9" s="16">
        <f>IF($A9="","",IFERROR(IF(INDIRECT("'"&amp;$A9&amp;"'!B8")="","",INDIRECT("'"&amp;$A9&amp;"'!B8")),""))</f>
        <v/>
      </c>
      <c r="F9" s="14">
        <f>IF($A9="","",IFERROR(IF(INDIRECT("'"&amp;$A9&amp;"'!B9")="","",INDIRECT("'"&amp;$A9&amp;"'!B9")&amp;IF(INDIRECT("'"&amp;$A9&amp;"'!E9")="承諾",""," （"&amp;INDIRECT("'"&amp;$A9&amp;"'!E9")&amp;"）")),""))</f>
        <v/>
      </c>
      <c r="G9" s="14">
        <f>IF($A9="","",IFERROR(IF(INDIRECT("'"&amp;$A9&amp;"'!B10")="","",INDIRECT("'"&amp;$A9&amp;"'!B10")&amp;IF(INDIRECT("'"&amp;$A9&amp;"'!E10")="承諾",""," （"&amp;INDIRECT("'"&amp;$A9&amp;"'!E10")&amp;"）")),""))</f>
        <v/>
      </c>
      <c r="H9" s="14">
        <f>IF($A9="","",IFERROR(IF(INDIRECT("'"&amp;$A9&amp;"'!B11")="","",INDIRECT("'"&amp;$A9&amp;"'!B11")&amp;IF(INDIRECT("'"&amp;$A9&amp;"'!E11")="承諾",""," （"&amp;INDIRECT("'"&amp;$A9&amp;"'!E11")&amp;"）")),""))</f>
        <v/>
      </c>
      <c r="I9" s="14">
        <f>IF($A9="","",IFERROR(IF(INDIRECT("'"&amp;$A9&amp;"'!B12")="","",INDIRECT("'"&amp;$A9&amp;"'!B12")&amp;IF(INDIRECT("'"&amp;$A9&amp;"'!E12")="承諾",""," （"&amp;INDIRECT("'"&amp;$A9&amp;"'!E12")&amp;"）")),""))</f>
        <v/>
      </c>
      <c r="J9" s="14">
        <f>IF($A9="","",IFERROR(IF(INDIRECT("'"&amp;$A9&amp;"'!B13")="","",INDIRECT("'"&amp;$A9&amp;"'!B13")&amp;IF(INDIRECT("'"&amp;$A9&amp;"'!E13")="承諾",""," （"&amp;INDIRECT("'"&amp;$A9&amp;"'!E13")&amp;"）")),""))</f>
        <v/>
      </c>
      <c r="K9" s="14">
        <f>IF($A9="","",IFERROR(IF(INDIRECT("'"&amp;$A9&amp;"'!B14")="","",INDIRECT("'"&amp;$A9&amp;"'!B14")&amp;IF(INDIRECT("'"&amp;$A9&amp;"'!E14")="承諾",""," （"&amp;INDIRECT("'"&amp;$A9&amp;"'!E14")&amp;"）")),""))</f>
        <v/>
      </c>
      <c r="L9" s="14">
        <f>IF($A9="","",IFERROR(IF(INDIRECT("'"&amp;$A9&amp;"'!B15")="","",INDIRECT("'"&amp;$A9&amp;"'!B15")&amp;IF(INDIRECT("'"&amp;$A9&amp;"'!E15")="承諾",""," （"&amp;INDIRECT("'"&amp;$A9&amp;"'!E15")&amp;"）")),""))</f>
        <v/>
      </c>
      <c r="M9" s="14">
        <f>IF($A9="","",IFERROR(IF(INDIRECT("'"&amp;$A9&amp;"'!B16")="","",INDIRECT("'"&amp;$A9&amp;"'!B16")&amp;IF(INDIRECT("'"&amp;$A9&amp;"'!E16")="承諾",""," （"&amp;INDIRECT("'"&amp;$A9&amp;"'!E16")&amp;"）")),""))</f>
        <v/>
      </c>
      <c r="N9" s="14">
        <f>IF($A9="","",IFERROR(_xlfn.TEXTJOIN("、",TRUE,INDIRECT("'"&amp;$A9&amp;"'!B17:B20")),""))</f>
        <v/>
      </c>
      <c r="O9" s="14">
        <f>IF($A9="","",IFERROR(IF(INDIRECT("'"&amp;$A9&amp;"'!B21")="","",INDIRECT("'"&amp;$A9&amp;"'!B21")&amp;IF(INDIRECT("'"&amp;$A9&amp;"'!E21")="承諾",""," （"&amp;INDIRECT("'"&amp;$A9&amp;"'!E21")&amp;"）")),""))</f>
        <v/>
      </c>
      <c r="P9" s="14">
        <f>IF($A9="","",IFERROR(IF(INDIRECT("'"&amp;$A9&amp;"'!B27")="","",INDIRECT("'"&amp;$A9&amp;"'!B27")),""))</f>
        <v/>
      </c>
    </row>
    <row r="10">
      <c r="A10" s="15">
        <f>'📊ダッシュボード'!A13&amp;""</f>
        <v/>
      </c>
      <c r="B10" s="14">
        <f>IF($A10="","",IFERROR(IF(INDIRECT("'"&amp;$A10&amp;"'!B4")="","",INDIRECT("'"&amp;$A10&amp;"'!B4")),""))</f>
        <v/>
      </c>
      <c r="C10" s="14">
        <f>IF($A10="","",IFERROR(IF(INDIRECT("'"&amp;$A10&amp;"'!B6")="","",INDIRECT("'"&amp;$A10&amp;"'!B6")),""))</f>
        <v/>
      </c>
      <c r="D10" s="14">
        <f>IF($A10="","",IFERROR(IF(INDIRECT("'"&amp;$A10&amp;"'!B7")="","",INDIRECT("'"&amp;$A10&amp;"'!B7")),""))</f>
        <v/>
      </c>
      <c r="E10" s="16">
        <f>IF($A10="","",IFERROR(IF(INDIRECT("'"&amp;$A10&amp;"'!B8")="","",INDIRECT("'"&amp;$A10&amp;"'!B8")),""))</f>
        <v/>
      </c>
      <c r="F10" s="14">
        <f>IF($A10="","",IFERROR(IF(INDIRECT("'"&amp;$A10&amp;"'!B9")="","",INDIRECT("'"&amp;$A10&amp;"'!B9")&amp;IF(INDIRECT("'"&amp;$A10&amp;"'!E9")="承諾",""," （"&amp;INDIRECT("'"&amp;$A10&amp;"'!E9")&amp;"）")),""))</f>
        <v/>
      </c>
      <c r="G10" s="14">
        <f>IF($A10="","",IFERROR(IF(INDIRECT("'"&amp;$A10&amp;"'!B10")="","",INDIRECT("'"&amp;$A10&amp;"'!B10")&amp;IF(INDIRECT("'"&amp;$A10&amp;"'!E10")="承諾",""," （"&amp;INDIRECT("'"&amp;$A10&amp;"'!E10")&amp;"）")),""))</f>
        <v/>
      </c>
      <c r="H10" s="14">
        <f>IF($A10="","",IFERROR(IF(INDIRECT("'"&amp;$A10&amp;"'!B11")="","",INDIRECT("'"&amp;$A10&amp;"'!B11")&amp;IF(INDIRECT("'"&amp;$A10&amp;"'!E11")="承諾",""," （"&amp;INDIRECT("'"&amp;$A10&amp;"'!E11")&amp;"）")),""))</f>
        <v/>
      </c>
      <c r="I10" s="14">
        <f>IF($A10="","",IFERROR(IF(INDIRECT("'"&amp;$A10&amp;"'!B12")="","",INDIRECT("'"&amp;$A10&amp;"'!B12")&amp;IF(INDIRECT("'"&amp;$A10&amp;"'!E12")="承諾",""," （"&amp;INDIRECT("'"&amp;$A10&amp;"'!E12")&amp;"）")),""))</f>
        <v/>
      </c>
      <c r="J10" s="14">
        <f>IF($A10="","",IFERROR(IF(INDIRECT("'"&amp;$A10&amp;"'!B13")="","",INDIRECT("'"&amp;$A10&amp;"'!B13")&amp;IF(INDIRECT("'"&amp;$A10&amp;"'!E13")="承諾",""," （"&amp;INDIRECT("'"&amp;$A10&amp;"'!E13")&amp;"）")),""))</f>
        <v/>
      </c>
      <c r="K10" s="14">
        <f>IF($A10="","",IFERROR(IF(INDIRECT("'"&amp;$A10&amp;"'!B14")="","",INDIRECT("'"&amp;$A10&amp;"'!B14")&amp;IF(INDIRECT("'"&amp;$A10&amp;"'!E14")="承諾",""," （"&amp;INDIRECT("'"&amp;$A10&amp;"'!E14")&amp;"）")),""))</f>
        <v/>
      </c>
      <c r="L10" s="14">
        <f>IF($A10="","",IFERROR(IF(INDIRECT("'"&amp;$A10&amp;"'!B15")="","",INDIRECT("'"&amp;$A10&amp;"'!B15")&amp;IF(INDIRECT("'"&amp;$A10&amp;"'!E15")="承諾",""," （"&amp;INDIRECT("'"&amp;$A10&amp;"'!E15")&amp;"）")),""))</f>
        <v/>
      </c>
      <c r="M10" s="14">
        <f>IF($A10="","",IFERROR(IF(INDIRECT("'"&amp;$A10&amp;"'!B16")="","",INDIRECT("'"&amp;$A10&amp;"'!B16")&amp;IF(INDIRECT("'"&amp;$A10&amp;"'!E16")="承諾",""," （"&amp;INDIRECT("'"&amp;$A10&amp;"'!E16")&amp;"）")),""))</f>
        <v/>
      </c>
      <c r="N10" s="14">
        <f>IF($A10="","",IFERROR(_xlfn.TEXTJOIN("、",TRUE,INDIRECT("'"&amp;$A10&amp;"'!B17:B20")),""))</f>
        <v/>
      </c>
      <c r="O10" s="14">
        <f>IF($A10="","",IFERROR(IF(INDIRECT("'"&amp;$A10&amp;"'!B21")="","",INDIRECT("'"&amp;$A10&amp;"'!B21")&amp;IF(INDIRECT("'"&amp;$A10&amp;"'!E21")="承諾",""," （"&amp;INDIRECT("'"&amp;$A10&amp;"'!E21")&amp;"）")),""))</f>
        <v/>
      </c>
      <c r="P10" s="14">
        <f>IF($A10="","",IFERROR(IF(INDIRECT("'"&amp;$A10&amp;"'!B27")="","",INDIRECT("'"&amp;$A10&amp;"'!B27")),""))</f>
        <v/>
      </c>
    </row>
    <row r="11">
      <c r="A11" s="15">
        <f>'📊ダッシュボード'!A14&amp;""</f>
        <v/>
      </c>
      <c r="B11" s="14">
        <f>IF($A11="","",IFERROR(IF(INDIRECT("'"&amp;$A11&amp;"'!B4")="","",INDIRECT("'"&amp;$A11&amp;"'!B4")),""))</f>
        <v/>
      </c>
      <c r="C11" s="14">
        <f>IF($A11="","",IFERROR(IF(INDIRECT("'"&amp;$A11&amp;"'!B6")="","",INDIRECT("'"&amp;$A11&amp;"'!B6")),""))</f>
        <v/>
      </c>
      <c r="D11" s="14">
        <f>IF($A11="","",IFERROR(IF(INDIRECT("'"&amp;$A11&amp;"'!B7")="","",INDIRECT("'"&amp;$A11&amp;"'!B7")),""))</f>
        <v/>
      </c>
      <c r="E11" s="16">
        <f>IF($A11="","",IFERROR(IF(INDIRECT("'"&amp;$A11&amp;"'!B8")="","",INDIRECT("'"&amp;$A11&amp;"'!B8")),""))</f>
        <v/>
      </c>
      <c r="F11" s="14">
        <f>IF($A11="","",IFERROR(IF(INDIRECT("'"&amp;$A11&amp;"'!B9")="","",INDIRECT("'"&amp;$A11&amp;"'!B9")&amp;IF(INDIRECT("'"&amp;$A11&amp;"'!E9")="承諾",""," （"&amp;INDIRECT("'"&amp;$A11&amp;"'!E9")&amp;"）")),""))</f>
        <v/>
      </c>
      <c r="G11" s="14">
        <f>IF($A11="","",IFERROR(IF(INDIRECT("'"&amp;$A11&amp;"'!B10")="","",INDIRECT("'"&amp;$A11&amp;"'!B10")&amp;IF(INDIRECT("'"&amp;$A11&amp;"'!E10")="承諾",""," （"&amp;INDIRECT("'"&amp;$A11&amp;"'!E10")&amp;"）")),""))</f>
        <v/>
      </c>
      <c r="H11" s="14">
        <f>IF($A11="","",IFERROR(IF(INDIRECT("'"&amp;$A11&amp;"'!B11")="","",INDIRECT("'"&amp;$A11&amp;"'!B11")&amp;IF(INDIRECT("'"&amp;$A11&amp;"'!E11")="承諾",""," （"&amp;INDIRECT("'"&amp;$A11&amp;"'!E11")&amp;"）")),""))</f>
        <v/>
      </c>
      <c r="I11" s="14">
        <f>IF($A11="","",IFERROR(IF(INDIRECT("'"&amp;$A11&amp;"'!B12")="","",INDIRECT("'"&amp;$A11&amp;"'!B12")&amp;IF(INDIRECT("'"&amp;$A11&amp;"'!E12")="承諾",""," （"&amp;INDIRECT("'"&amp;$A11&amp;"'!E12")&amp;"）")),""))</f>
        <v/>
      </c>
      <c r="J11" s="14">
        <f>IF($A11="","",IFERROR(IF(INDIRECT("'"&amp;$A11&amp;"'!B13")="","",INDIRECT("'"&amp;$A11&amp;"'!B13")&amp;IF(INDIRECT("'"&amp;$A11&amp;"'!E13")="承諾",""," （"&amp;INDIRECT("'"&amp;$A11&amp;"'!E13")&amp;"）")),""))</f>
        <v/>
      </c>
      <c r="K11" s="14">
        <f>IF($A11="","",IFERROR(IF(INDIRECT("'"&amp;$A11&amp;"'!B14")="","",INDIRECT("'"&amp;$A11&amp;"'!B14")&amp;IF(INDIRECT("'"&amp;$A11&amp;"'!E14")="承諾",""," （"&amp;INDIRECT("'"&amp;$A11&amp;"'!E14")&amp;"）")),""))</f>
        <v/>
      </c>
      <c r="L11" s="14">
        <f>IF($A11="","",IFERROR(IF(INDIRECT("'"&amp;$A11&amp;"'!B15")="","",INDIRECT("'"&amp;$A11&amp;"'!B15")&amp;IF(INDIRECT("'"&amp;$A11&amp;"'!E15")="承諾",""," （"&amp;INDIRECT("'"&amp;$A11&amp;"'!E15")&amp;"）")),""))</f>
        <v/>
      </c>
      <c r="M11" s="14">
        <f>IF($A11="","",IFERROR(IF(INDIRECT("'"&amp;$A11&amp;"'!B16")="","",INDIRECT("'"&amp;$A11&amp;"'!B16")&amp;IF(INDIRECT("'"&amp;$A11&amp;"'!E16")="承諾",""," （"&amp;INDIRECT("'"&amp;$A11&amp;"'!E16")&amp;"）")),""))</f>
        <v/>
      </c>
      <c r="N11" s="14">
        <f>IF($A11="","",IFERROR(_xlfn.TEXTJOIN("、",TRUE,INDIRECT("'"&amp;$A11&amp;"'!B17:B20")),""))</f>
        <v/>
      </c>
      <c r="O11" s="14">
        <f>IF($A11="","",IFERROR(IF(INDIRECT("'"&amp;$A11&amp;"'!B21")="","",INDIRECT("'"&amp;$A11&amp;"'!B21")&amp;IF(INDIRECT("'"&amp;$A11&amp;"'!E21")="承諾",""," （"&amp;INDIRECT("'"&amp;$A11&amp;"'!E21")&amp;"）")),""))</f>
        <v/>
      </c>
      <c r="P11" s="14">
        <f>IF($A11="","",IFERROR(IF(INDIRECT("'"&amp;$A11&amp;"'!B27")="","",INDIRECT("'"&amp;$A11&amp;"'!B27")),""))</f>
        <v/>
      </c>
    </row>
    <row r="12">
      <c r="A12" s="15">
        <f>'📊ダッシュボード'!A15&amp;""</f>
        <v/>
      </c>
      <c r="B12" s="14">
        <f>IF($A12="","",IFERROR(IF(INDIRECT("'"&amp;$A12&amp;"'!B4")="","",INDIRECT("'"&amp;$A12&amp;"'!B4")),""))</f>
        <v/>
      </c>
      <c r="C12" s="14">
        <f>IF($A12="","",IFERROR(IF(INDIRECT("'"&amp;$A12&amp;"'!B6")="","",INDIRECT("'"&amp;$A12&amp;"'!B6")),""))</f>
        <v/>
      </c>
      <c r="D12" s="14">
        <f>IF($A12="","",IFERROR(IF(INDIRECT("'"&amp;$A12&amp;"'!B7")="","",INDIRECT("'"&amp;$A12&amp;"'!B7")),""))</f>
        <v/>
      </c>
      <c r="E12" s="16">
        <f>IF($A12="","",IFERROR(IF(INDIRECT("'"&amp;$A12&amp;"'!B8")="","",INDIRECT("'"&amp;$A12&amp;"'!B8")),""))</f>
        <v/>
      </c>
      <c r="F12" s="14">
        <f>IF($A12="","",IFERROR(IF(INDIRECT("'"&amp;$A12&amp;"'!B9")="","",INDIRECT("'"&amp;$A12&amp;"'!B9")&amp;IF(INDIRECT("'"&amp;$A12&amp;"'!E9")="承諾",""," （"&amp;INDIRECT("'"&amp;$A12&amp;"'!E9")&amp;"）")),""))</f>
        <v/>
      </c>
      <c r="G12" s="14">
        <f>IF($A12="","",IFERROR(IF(INDIRECT("'"&amp;$A12&amp;"'!B10")="","",INDIRECT("'"&amp;$A12&amp;"'!B10")&amp;IF(INDIRECT("'"&amp;$A12&amp;"'!E10")="承諾",""," （"&amp;INDIRECT("'"&amp;$A12&amp;"'!E10")&amp;"）")),""))</f>
        <v/>
      </c>
      <c r="H12" s="14">
        <f>IF($A12="","",IFERROR(IF(INDIRECT("'"&amp;$A12&amp;"'!B11")="","",INDIRECT("'"&amp;$A12&amp;"'!B11")&amp;IF(INDIRECT("'"&amp;$A12&amp;"'!E11")="承諾",""," （"&amp;INDIRECT("'"&amp;$A12&amp;"'!E11")&amp;"）")),""))</f>
        <v/>
      </c>
      <c r="I12" s="14">
        <f>IF($A12="","",IFERROR(IF(INDIRECT("'"&amp;$A12&amp;"'!B12")="","",INDIRECT("'"&amp;$A12&amp;"'!B12")&amp;IF(INDIRECT("'"&amp;$A12&amp;"'!E12")="承諾",""," （"&amp;INDIRECT("'"&amp;$A12&amp;"'!E12")&amp;"）")),""))</f>
        <v/>
      </c>
      <c r="J12" s="14">
        <f>IF($A12="","",IFERROR(IF(INDIRECT("'"&amp;$A12&amp;"'!B13")="","",INDIRECT("'"&amp;$A12&amp;"'!B13")&amp;IF(INDIRECT("'"&amp;$A12&amp;"'!E13")="承諾",""," （"&amp;INDIRECT("'"&amp;$A12&amp;"'!E13")&amp;"）")),""))</f>
        <v/>
      </c>
      <c r="K12" s="14">
        <f>IF($A12="","",IFERROR(IF(INDIRECT("'"&amp;$A12&amp;"'!B14")="","",INDIRECT("'"&amp;$A12&amp;"'!B14")&amp;IF(INDIRECT("'"&amp;$A12&amp;"'!E14")="承諾",""," （"&amp;INDIRECT("'"&amp;$A12&amp;"'!E14")&amp;"）")),""))</f>
        <v/>
      </c>
      <c r="L12" s="14">
        <f>IF($A12="","",IFERROR(IF(INDIRECT("'"&amp;$A12&amp;"'!B15")="","",INDIRECT("'"&amp;$A12&amp;"'!B15")&amp;IF(INDIRECT("'"&amp;$A12&amp;"'!E15")="承諾",""," （"&amp;INDIRECT("'"&amp;$A12&amp;"'!E15")&amp;"）")),""))</f>
        <v/>
      </c>
      <c r="M12" s="14">
        <f>IF($A12="","",IFERROR(IF(INDIRECT("'"&amp;$A12&amp;"'!B16")="","",INDIRECT("'"&amp;$A12&amp;"'!B16")&amp;IF(INDIRECT("'"&amp;$A12&amp;"'!E16")="承諾",""," （"&amp;INDIRECT("'"&amp;$A12&amp;"'!E16")&amp;"）")),""))</f>
        <v/>
      </c>
      <c r="N12" s="14">
        <f>IF($A12="","",IFERROR(_xlfn.TEXTJOIN("、",TRUE,INDIRECT("'"&amp;$A12&amp;"'!B17:B20")),""))</f>
        <v/>
      </c>
      <c r="O12" s="14">
        <f>IF($A12="","",IFERROR(IF(INDIRECT("'"&amp;$A12&amp;"'!B21")="","",INDIRECT("'"&amp;$A12&amp;"'!B21")&amp;IF(INDIRECT("'"&amp;$A12&amp;"'!E21")="承諾",""," （"&amp;INDIRECT("'"&amp;$A12&amp;"'!E21")&amp;"）")),""))</f>
        <v/>
      </c>
      <c r="P12" s="14">
        <f>IF($A12="","",IFERROR(IF(INDIRECT("'"&amp;$A12&amp;"'!B27")="","",INDIRECT("'"&amp;$A12&amp;"'!B27")),""))</f>
        <v/>
      </c>
    </row>
    <row r="13">
      <c r="A13" s="15">
        <f>'📊ダッシュボード'!A16&amp;""</f>
        <v/>
      </c>
      <c r="B13" s="14">
        <f>IF($A13="","",IFERROR(IF(INDIRECT("'"&amp;$A13&amp;"'!B4")="","",INDIRECT("'"&amp;$A13&amp;"'!B4")),""))</f>
        <v/>
      </c>
      <c r="C13" s="14">
        <f>IF($A13="","",IFERROR(IF(INDIRECT("'"&amp;$A13&amp;"'!B6")="","",INDIRECT("'"&amp;$A13&amp;"'!B6")),""))</f>
        <v/>
      </c>
      <c r="D13" s="14">
        <f>IF($A13="","",IFERROR(IF(INDIRECT("'"&amp;$A13&amp;"'!B7")="","",INDIRECT("'"&amp;$A13&amp;"'!B7")),""))</f>
        <v/>
      </c>
      <c r="E13" s="16">
        <f>IF($A13="","",IFERROR(IF(INDIRECT("'"&amp;$A13&amp;"'!B8")="","",INDIRECT("'"&amp;$A13&amp;"'!B8")),""))</f>
        <v/>
      </c>
      <c r="F13" s="14">
        <f>IF($A13="","",IFERROR(IF(INDIRECT("'"&amp;$A13&amp;"'!B9")="","",INDIRECT("'"&amp;$A13&amp;"'!B9")&amp;IF(INDIRECT("'"&amp;$A13&amp;"'!E9")="承諾",""," （"&amp;INDIRECT("'"&amp;$A13&amp;"'!E9")&amp;"）")),""))</f>
        <v/>
      </c>
      <c r="G13" s="14">
        <f>IF($A13="","",IFERROR(IF(INDIRECT("'"&amp;$A13&amp;"'!B10")="","",INDIRECT("'"&amp;$A13&amp;"'!B10")&amp;IF(INDIRECT("'"&amp;$A13&amp;"'!E10")="承諾",""," （"&amp;INDIRECT("'"&amp;$A13&amp;"'!E10")&amp;"）")),""))</f>
        <v/>
      </c>
      <c r="H13" s="14">
        <f>IF($A13="","",IFERROR(IF(INDIRECT("'"&amp;$A13&amp;"'!B11")="","",INDIRECT("'"&amp;$A13&amp;"'!B11")&amp;IF(INDIRECT("'"&amp;$A13&amp;"'!E11")="承諾",""," （"&amp;INDIRECT("'"&amp;$A13&amp;"'!E11")&amp;"）")),""))</f>
        <v/>
      </c>
      <c r="I13" s="14">
        <f>IF($A13="","",IFERROR(IF(INDIRECT("'"&amp;$A13&amp;"'!B12")="","",INDIRECT("'"&amp;$A13&amp;"'!B12")&amp;IF(INDIRECT("'"&amp;$A13&amp;"'!E12")="承諾",""," （"&amp;INDIRECT("'"&amp;$A13&amp;"'!E12")&amp;"）")),""))</f>
        <v/>
      </c>
      <c r="J13" s="14">
        <f>IF($A13="","",IFERROR(IF(INDIRECT("'"&amp;$A13&amp;"'!B13")="","",INDIRECT("'"&amp;$A13&amp;"'!B13")&amp;IF(INDIRECT("'"&amp;$A13&amp;"'!E13")="承諾",""," （"&amp;INDIRECT("'"&amp;$A13&amp;"'!E13")&amp;"）")),""))</f>
        <v/>
      </c>
      <c r="K13" s="14">
        <f>IF($A13="","",IFERROR(IF(INDIRECT("'"&amp;$A13&amp;"'!B14")="","",INDIRECT("'"&amp;$A13&amp;"'!B14")&amp;IF(INDIRECT("'"&amp;$A13&amp;"'!E14")="承諾",""," （"&amp;INDIRECT("'"&amp;$A13&amp;"'!E14")&amp;"）")),""))</f>
        <v/>
      </c>
      <c r="L13" s="14">
        <f>IF($A13="","",IFERROR(IF(INDIRECT("'"&amp;$A13&amp;"'!B15")="","",INDIRECT("'"&amp;$A13&amp;"'!B15")&amp;IF(INDIRECT("'"&amp;$A13&amp;"'!E15")="承諾",""," （"&amp;INDIRECT("'"&amp;$A13&amp;"'!E15")&amp;"）")),""))</f>
        <v/>
      </c>
      <c r="M13" s="14">
        <f>IF($A13="","",IFERROR(IF(INDIRECT("'"&amp;$A13&amp;"'!B16")="","",INDIRECT("'"&amp;$A13&amp;"'!B16")&amp;IF(INDIRECT("'"&amp;$A13&amp;"'!E16")="承諾",""," （"&amp;INDIRECT("'"&amp;$A13&amp;"'!E16")&amp;"）")),""))</f>
        <v/>
      </c>
      <c r="N13" s="14">
        <f>IF($A13="","",IFERROR(_xlfn.TEXTJOIN("、",TRUE,INDIRECT("'"&amp;$A13&amp;"'!B17:B20")),""))</f>
        <v/>
      </c>
      <c r="O13" s="14">
        <f>IF($A13="","",IFERROR(IF(INDIRECT("'"&amp;$A13&amp;"'!B21")="","",INDIRECT("'"&amp;$A13&amp;"'!B21")&amp;IF(INDIRECT("'"&amp;$A13&amp;"'!E21")="承諾",""," （"&amp;INDIRECT("'"&amp;$A13&amp;"'!E21")&amp;"）")),""))</f>
        <v/>
      </c>
      <c r="P13" s="14">
        <f>IF($A13="","",IFERROR(IF(INDIRECT("'"&amp;$A13&amp;"'!B27")="","",INDIRECT("'"&amp;$A13&amp;"'!B27")),""))</f>
        <v/>
      </c>
    </row>
    <row r="14">
      <c r="A14" s="15">
        <f>'📊ダッシュボード'!A17&amp;""</f>
        <v/>
      </c>
      <c r="B14" s="14">
        <f>IF($A14="","",IFERROR(IF(INDIRECT("'"&amp;$A14&amp;"'!B4")="","",INDIRECT("'"&amp;$A14&amp;"'!B4")),""))</f>
        <v/>
      </c>
      <c r="C14" s="14">
        <f>IF($A14="","",IFERROR(IF(INDIRECT("'"&amp;$A14&amp;"'!B6")="","",INDIRECT("'"&amp;$A14&amp;"'!B6")),""))</f>
        <v/>
      </c>
      <c r="D14" s="14">
        <f>IF($A14="","",IFERROR(IF(INDIRECT("'"&amp;$A14&amp;"'!B7")="","",INDIRECT("'"&amp;$A14&amp;"'!B7")),""))</f>
        <v/>
      </c>
      <c r="E14" s="16">
        <f>IF($A14="","",IFERROR(IF(INDIRECT("'"&amp;$A14&amp;"'!B8")="","",INDIRECT("'"&amp;$A14&amp;"'!B8")),""))</f>
        <v/>
      </c>
      <c r="F14" s="14">
        <f>IF($A14="","",IFERROR(IF(INDIRECT("'"&amp;$A14&amp;"'!B9")="","",INDIRECT("'"&amp;$A14&amp;"'!B9")&amp;IF(INDIRECT("'"&amp;$A14&amp;"'!E9")="承諾",""," （"&amp;INDIRECT("'"&amp;$A14&amp;"'!E9")&amp;"）")),""))</f>
        <v/>
      </c>
      <c r="G14" s="14">
        <f>IF($A14="","",IFERROR(IF(INDIRECT("'"&amp;$A14&amp;"'!B10")="","",INDIRECT("'"&amp;$A14&amp;"'!B10")&amp;IF(INDIRECT("'"&amp;$A14&amp;"'!E10")="承諾",""," （"&amp;INDIRECT("'"&amp;$A14&amp;"'!E10")&amp;"）")),""))</f>
        <v/>
      </c>
      <c r="H14" s="14">
        <f>IF($A14="","",IFERROR(IF(INDIRECT("'"&amp;$A14&amp;"'!B11")="","",INDIRECT("'"&amp;$A14&amp;"'!B11")&amp;IF(INDIRECT("'"&amp;$A14&amp;"'!E11")="承諾",""," （"&amp;INDIRECT("'"&amp;$A14&amp;"'!E11")&amp;"）")),""))</f>
        <v/>
      </c>
      <c r="I14" s="14">
        <f>IF($A14="","",IFERROR(IF(INDIRECT("'"&amp;$A14&amp;"'!B12")="","",INDIRECT("'"&amp;$A14&amp;"'!B12")&amp;IF(INDIRECT("'"&amp;$A14&amp;"'!E12")="承諾",""," （"&amp;INDIRECT("'"&amp;$A14&amp;"'!E12")&amp;"）")),""))</f>
        <v/>
      </c>
      <c r="J14" s="14">
        <f>IF($A14="","",IFERROR(IF(INDIRECT("'"&amp;$A14&amp;"'!B13")="","",INDIRECT("'"&amp;$A14&amp;"'!B13")&amp;IF(INDIRECT("'"&amp;$A14&amp;"'!E13")="承諾",""," （"&amp;INDIRECT("'"&amp;$A14&amp;"'!E13")&amp;"）")),""))</f>
        <v/>
      </c>
      <c r="K14" s="14">
        <f>IF($A14="","",IFERROR(IF(INDIRECT("'"&amp;$A14&amp;"'!B14")="","",INDIRECT("'"&amp;$A14&amp;"'!B14")&amp;IF(INDIRECT("'"&amp;$A14&amp;"'!E14")="承諾",""," （"&amp;INDIRECT("'"&amp;$A14&amp;"'!E14")&amp;"）")),""))</f>
        <v/>
      </c>
      <c r="L14" s="14">
        <f>IF($A14="","",IFERROR(IF(INDIRECT("'"&amp;$A14&amp;"'!B15")="","",INDIRECT("'"&amp;$A14&amp;"'!B15")&amp;IF(INDIRECT("'"&amp;$A14&amp;"'!E15")="承諾",""," （"&amp;INDIRECT("'"&amp;$A14&amp;"'!E15")&amp;"）")),""))</f>
        <v/>
      </c>
      <c r="M14" s="14">
        <f>IF($A14="","",IFERROR(IF(INDIRECT("'"&amp;$A14&amp;"'!B16")="","",INDIRECT("'"&amp;$A14&amp;"'!B16")&amp;IF(INDIRECT("'"&amp;$A14&amp;"'!E16")="承諾",""," （"&amp;INDIRECT("'"&amp;$A14&amp;"'!E16")&amp;"）")),""))</f>
        <v/>
      </c>
      <c r="N14" s="14">
        <f>IF($A14="","",IFERROR(_xlfn.TEXTJOIN("、",TRUE,INDIRECT("'"&amp;$A14&amp;"'!B17:B20")),""))</f>
        <v/>
      </c>
      <c r="O14" s="14">
        <f>IF($A14="","",IFERROR(IF(INDIRECT("'"&amp;$A14&amp;"'!B21")="","",INDIRECT("'"&amp;$A14&amp;"'!B21")&amp;IF(INDIRECT("'"&amp;$A14&amp;"'!E21")="承諾",""," （"&amp;INDIRECT("'"&amp;$A14&amp;"'!E21")&amp;"）")),""))</f>
        <v/>
      </c>
      <c r="P14" s="14">
        <f>IF($A14="","",IFERROR(IF(INDIRECT("'"&amp;$A14&amp;"'!B27")="","",INDIRECT("'"&amp;$A14&amp;"'!B27")),""))</f>
        <v/>
      </c>
    </row>
    <row r="15">
      <c r="A15" s="15">
        <f>'📊ダッシュボード'!A18&amp;""</f>
        <v/>
      </c>
      <c r="B15" s="14">
        <f>IF($A15="","",IFERROR(IF(INDIRECT("'"&amp;$A15&amp;"'!B4")="","",INDIRECT("'"&amp;$A15&amp;"'!B4")),""))</f>
        <v/>
      </c>
      <c r="C15" s="14">
        <f>IF($A15="","",IFERROR(IF(INDIRECT("'"&amp;$A15&amp;"'!B6")="","",INDIRECT("'"&amp;$A15&amp;"'!B6")),""))</f>
        <v/>
      </c>
      <c r="D15" s="14">
        <f>IF($A15="","",IFERROR(IF(INDIRECT("'"&amp;$A15&amp;"'!B7")="","",INDIRECT("'"&amp;$A15&amp;"'!B7")),""))</f>
        <v/>
      </c>
      <c r="E15" s="16">
        <f>IF($A15="","",IFERROR(IF(INDIRECT("'"&amp;$A15&amp;"'!B8")="","",INDIRECT("'"&amp;$A15&amp;"'!B8")),""))</f>
        <v/>
      </c>
      <c r="F15" s="14">
        <f>IF($A15="","",IFERROR(IF(INDIRECT("'"&amp;$A15&amp;"'!B9")="","",INDIRECT("'"&amp;$A15&amp;"'!B9")&amp;IF(INDIRECT("'"&amp;$A15&amp;"'!E9")="承諾",""," （"&amp;INDIRECT("'"&amp;$A15&amp;"'!E9")&amp;"）")),""))</f>
        <v/>
      </c>
      <c r="G15" s="14">
        <f>IF($A15="","",IFERROR(IF(INDIRECT("'"&amp;$A15&amp;"'!B10")="","",INDIRECT("'"&amp;$A15&amp;"'!B10")&amp;IF(INDIRECT("'"&amp;$A15&amp;"'!E10")="承諾",""," （"&amp;INDIRECT("'"&amp;$A15&amp;"'!E10")&amp;"）")),""))</f>
        <v/>
      </c>
      <c r="H15" s="14">
        <f>IF($A15="","",IFERROR(IF(INDIRECT("'"&amp;$A15&amp;"'!B11")="","",INDIRECT("'"&amp;$A15&amp;"'!B11")&amp;IF(INDIRECT("'"&amp;$A15&amp;"'!E11")="承諾",""," （"&amp;INDIRECT("'"&amp;$A15&amp;"'!E11")&amp;"）")),""))</f>
        <v/>
      </c>
      <c r="I15" s="14">
        <f>IF($A15="","",IFERROR(IF(INDIRECT("'"&amp;$A15&amp;"'!B12")="","",INDIRECT("'"&amp;$A15&amp;"'!B12")&amp;IF(INDIRECT("'"&amp;$A15&amp;"'!E12")="承諾",""," （"&amp;INDIRECT("'"&amp;$A15&amp;"'!E12")&amp;"）")),""))</f>
        <v/>
      </c>
      <c r="J15" s="14">
        <f>IF($A15="","",IFERROR(IF(INDIRECT("'"&amp;$A15&amp;"'!B13")="","",INDIRECT("'"&amp;$A15&amp;"'!B13")&amp;IF(INDIRECT("'"&amp;$A15&amp;"'!E13")="承諾",""," （"&amp;INDIRECT("'"&amp;$A15&amp;"'!E13")&amp;"）")),""))</f>
        <v/>
      </c>
      <c r="K15" s="14">
        <f>IF($A15="","",IFERROR(IF(INDIRECT("'"&amp;$A15&amp;"'!B14")="","",INDIRECT("'"&amp;$A15&amp;"'!B14")&amp;IF(INDIRECT("'"&amp;$A15&amp;"'!E14")="承諾",""," （"&amp;INDIRECT("'"&amp;$A15&amp;"'!E14")&amp;"）")),""))</f>
        <v/>
      </c>
      <c r="L15" s="14">
        <f>IF($A15="","",IFERROR(IF(INDIRECT("'"&amp;$A15&amp;"'!B15")="","",INDIRECT("'"&amp;$A15&amp;"'!B15")&amp;IF(INDIRECT("'"&amp;$A15&amp;"'!E15")="承諾",""," （"&amp;INDIRECT("'"&amp;$A15&amp;"'!E15")&amp;"）")),""))</f>
        <v/>
      </c>
      <c r="M15" s="14">
        <f>IF($A15="","",IFERROR(IF(INDIRECT("'"&amp;$A15&amp;"'!B16")="","",INDIRECT("'"&amp;$A15&amp;"'!B16")&amp;IF(INDIRECT("'"&amp;$A15&amp;"'!E16")="承諾",""," （"&amp;INDIRECT("'"&amp;$A15&amp;"'!E16")&amp;"）")),""))</f>
        <v/>
      </c>
      <c r="N15" s="14">
        <f>IF($A15="","",IFERROR(_xlfn.TEXTJOIN("、",TRUE,INDIRECT("'"&amp;$A15&amp;"'!B17:B20")),""))</f>
        <v/>
      </c>
      <c r="O15" s="14">
        <f>IF($A15="","",IFERROR(IF(INDIRECT("'"&amp;$A15&amp;"'!B21")="","",INDIRECT("'"&amp;$A15&amp;"'!B21")&amp;IF(INDIRECT("'"&amp;$A15&amp;"'!E21")="承諾",""," （"&amp;INDIRECT("'"&amp;$A15&amp;"'!E21")&amp;"）")),""))</f>
        <v/>
      </c>
      <c r="P15" s="14">
        <f>IF($A15="","",IFERROR(IF(INDIRECT("'"&amp;$A15&amp;"'!B27")="","",INDIRECT("'"&amp;$A15&amp;"'!B27")),""))</f>
        <v/>
      </c>
    </row>
    <row r="16">
      <c r="A16" s="15">
        <f>'📊ダッシュボード'!A19&amp;""</f>
        <v/>
      </c>
      <c r="B16" s="14">
        <f>IF($A16="","",IFERROR(IF(INDIRECT("'"&amp;$A16&amp;"'!B4")="","",INDIRECT("'"&amp;$A16&amp;"'!B4")),""))</f>
        <v/>
      </c>
      <c r="C16" s="14">
        <f>IF($A16="","",IFERROR(IF(INDIRECT("'"&amp;$A16&amp;"'!B6")="","",INDIRECT("'"&amp;$A16&amp;"'!B6")),""))</f>
        <v/>
      </c>
      <c r="D16" s="14">
        <f>IF($A16="","",IFERROR(IF(INDIRECT("'"&amp;$A16&amp;"'!B7")="","",INDIRECT("'"&amp;$A16&amp;"'!B7")),""))</f>
        <v/>
      </c>
      <c r="E16" s="16">
        <f>IF($A16="","",IFERROR(IF(INDIRECT("'"&amp;$A16&amp;"'!B8")="","",INDIRECT("'"&amp;$A16&amp;"'!B8")),""))</f>
        <v/>
      </c>
      <c r="F16" s="14">
        <f>IF($A16="","",IFERROR(IF(INDIRECT("'"&amp;$A16&amp;"'!B9")="","",INDIRECT("'"&amp;$A16&amp;"'!B9")&amp;IF(INDIRECT("'"&amp;$A16&amp;"'!E9")="承諾",""," （"&amp;INDIRECT("'"&amp;$A16&amp;"'!E9")&amp;"）")),""))</f>
        <v/>
      </c>
      <c r="G16" s="14">
        <f>IF($A16="","",IFERROR(IF(INDIRECT("'"&amp;$A16&amp;"'!B10")="","",INDIRECT("'"&amp;$A16&amp;"'!B10")&amp;IF(INDIRECT("'"&amp;$A16&amp;"'!E10")="承諾",""," （"&amp;INDIRECT("'"&amp;$A16&amp;"'!E10")&amp;"）")),""))</f>
        <v/>
      </c>
      <c r="H16" s="14">
        <f>IF($A16="","",IFERROR(IF(INDIRECT("'"&amp;$A16&amp;"'!B11")="","",INDIRECT("'"&amp;$A16&amp;"'!B11")&amp;IF(INDIRECT("'"&amp;$A16&amp;"'!E11")="承諾",""," （"&amp;INDIRECT("'"&amp;$A16&amp;"'!E11")&amp;"）")),""))</f>
        <v/>
      </c>
      <c r="I16" s="14">
        <f>IF($A16="","",IFERROR(IF(INDIRECT("'"&amp;$A16&amp;"'!B12")="","",INDIRECT("'"&amp;$A16&amp;"'!B12")&amp;IF(INDIRECT("'"&amp;$A16&amp;"'!E12")="承諾",""," （"&amp;INDIRECT("'"&amp;$A16&amp;"'!E12")&amp;"）")),""))</f>
        <v/>
      </c>
      <c r="J16" s="14">
        <f>IF($A16="","",IFERROR(IF(INDIRECT("'"&amp;$A16&amp;"'!B13")="","",INDIRECT("'"&amp;$A16&amp;"'!B13")&amp;IF(INDIRECT("'"&amp;$A16&amp;"'!E13")="承諾",""," （"&amp;INDIRECT("'"&amp;$A16&amp;"'!E13")&amp;"）")),""))</f>
        <v/>
      </c>
      <c r="K16" s="14">
        <f>IF($A16="","",IFERROR(IF(INDIRECT("'"&amp;$A16&amp;"'!B14")="","",INDIRECT("'"&amp;$A16&amp;"'!B14")&amp;IF(INDIRECT("'"&amp;$A16&amp;"'!E14")="承諾",""," （"&amp;INDIRECT("'"&amp;$A16&amp;"'!E14")&amp;"）")),""))</f>
        <v/>
      </c>
      <c r="L16" s="14">
        <f>IF($A16="","",IFERROR(IF(INDIRECT("'"&amp;$A16&amp;"'!B15")="","",INDIRECT("'"&amp;$A16&amp;"'!B15")&amp;IF(INDIRECT("'"&amp;$A16&amp;"'!E15")="承諾",""," （"&amp;INDIRECT("'"&amp;$A16&amp;"'!E15")&amp;"）")),""))</f>
        <v/>
      </c>
      <c r="M16" s="14">
        <f>IF($A16="","",IFERROR(IF(INDIRECT("'"&amp;$A16&amp;"'!B16")="","",INDIRECT("'"&amp;$A16&amp;"'!B16")&amp;IF(INDIRECT("'"&amp;$A16&amp;"'!E16")="承諾",""," （"&amp;INDIRECT("'"&amp;$A16&amp;"'!E16")&amp;"）")),""))</f>
        <v/>
      </c>
      <c r="N16" s="14">
        <f>IF($A16="","",IFERROR(_xlfn.TEXTJOIN("、",TRUE,INDIRECT("'"&amp;$A16&amp;"'!B17:B20")),""))</f>
        <v/>
      </c>
      <c r="O16" s="14">
        <f>IF($A16="","",IFERROR(IF(INDIRECT("'"&amp;$A16&amp;"'!B21")="","",INDIRECT("'"&amp;$A16&amp;"'!B21")&amp;IF(INDIRECT("'"&amp;$A16&amp;"'!E21")="承諾",""," （"&amp;INDIRECT("'"&amp;$A16&amp;"'!E21")&amp;"）")),""))</f>
        <v/>
      </c>
      <c r="P16" s="14">
        <f>IF($A16="","",IFERROR(IF(INDIRECT("'"&amp;$A16&amp;"'!B27")="","",INDIRECT("'"&amp;$A16&amp;"'!B27")),""))</f>
        <v/>
      </c>
    </row>
    <row r="17">
      <c r="A17" s="15">
        <f>'📊ダッシュボード'!A20&amp;""</f>
        <v/>
      </c>
      <c r="B17" s="14">
        <f>IF($A17="","",IFERROR(IF(INDIRECT("'"&amp;$A17&amp;"'!B4")="","",INDIRECT("'"&amp;$A17&amp;"'!B4")),""))</f>
        <v/>
      </c>
      <c r="C17" s="14">
        <f>IF($A17="","",IFERROR(IF(INDIRECT("'"&amp;$A17&amp;"'!B6")="","",INDIRECT("'"&amp;$A17&amp;"'!B6")),""))</f>
        <v/>
      </c>
      <c r="D17" s="14">
        <f>IF($A17="","",IFERROR(IF(INDIRECT("'"&amp;$A17&amp;"'!B7")="","",INDIRECT("'"&amp;$A17&amp;"'!B7")),""))</f>
        <v/>
      </c>
      <c r="E17" s="16">
        <f>IF($A17="","",IFERROR(IF(INDIRECT("'"&amp;$A17&amp;"'!B8")="","",INDIRECT("'"&amp;$A17&amp;"'!B8")),""))</f>
        <v/>
      </c>
      <c r="F17" s="14">
        <f>IF($A17="","",IFERROR(IF(INDIRECT("'"&amp;$A17&amp;"'!B9")="","",INDIRECT("'"&amp;$A17&amp;"'!B9")&amp;IF(INDIRECT("'"&amp;$A17&amp;"'!E9")="承諾",""," （"&amp;INDIRECT("'"&amp;$A17&amp;"'!E9")&amp;"）")),""))</f>
        <v/>
      </c>
      <c r="G17" s="14">
        <f>IF($A17="","",IFERROR(IF(INDIRECT("'"&amp;$A17&amp;"'!B10")="","",INDIRECT("'"&amp;$A17&amp;"'!B10")&amp;IF(INDIRECT("'"&amp;$A17&amp;"'!E10")="承諾",""," （"&amp;INDIRECT("'"&amp;$A17&amp;"'!E10")&amp;"）")),""))</f>
        <v/>
      </c>
      <c r="H17" s="14">
        <f>IF($A17="","",IFERROR(IF(INDIRECT("'"&amp;$A17&amp;"'!B11")="","",INDIRECT("'"&amp;$A17&amp;"'!B11")&amp;IF(INDIRECT("'"&amp;$A17&amp;"'!E11")="承諾",""," （"&amp;INDIRECT("'"&amp;$A17&amp;"'!E11")&amp;"）")),""))</f>
        <v/>
      </c>
      <c r="I17" s="14">
        <f>IF($A17="","",IFERROR(IF(INDIRECT("'"&amp;$A17&amp;"'!B12")="","",INDIRECT("'"&amp;$A17&amp;"'!B12")&amp;IF(INDIRECT("'"&amp;$A17&amp;"'!E12")="承諾",""," （"&amp;INDIRECT("'"&amp;$A17&amp;"'!E12")&amp;"）")),""))</f>
        <v/>
      </c>
      <c r="J17" s="14">
        <f>IF($A17="","",IFERROR(IF(INDIRECT("'"&amp;$A17&amp;"'!B13")="","",INDIRECT("'"&amp;$A17&amp;"'!B13")&amp;IF(INDIRECT("'"&amp;$A17&amp;"'!E13")="承諾",""," （"&amp;INDIRECT("'"&amp;$A17&amp;"'!E13")&amp;"）")),""))</f>
        <v/>
      </c>
      <c r="K17" s="14">
        <f>IF($A17="","",IFERROR(IF(INDIRECT("'"&amp;$A17&amp;"'!B14")="","",INDIRECT("'"&amp;$A17&amp;"'!B14")&amp;IF(INDIRECT("'"&amp;$A17&amp;"'!E14")="承諾",""," （"&amp;INDIRECT("'"&amp;$A17&amp;"'!E14")&amp;"）")),""))</f>
        <v/>
      </c>
      <c r="L17" s="14">
        <f>IF($A17="","",IFERROR(IF(INDIRECT("'"&amp;$A17&amp;"'!B15")="","",INDIRECT("'"&amp;$A17&amp;"'!B15")&amp;IF(INDIRECT("'"&amp;$A17&amp;"'!E15")="承諾",""," （"&amp;INDIRECT("'"&amp;$A17&amp;"'!E15")&amp;"）")),""))</f>
        <v/>
      </c>
      <c r="M17" s="14">
        <f>IF($A17="","",IFERROR(IF(INDIRECT("'"&amp;$A17&amp;"'!B16")="","",INDIRECT("'"&amp;$A17&amp;"'!B16")&amp;IF(INDIRECT("'"&amp;$A17&amp;"'!E16")="承諾",""," （"&amp;INDIRECT("'"&amp;$A17&amp;"'!E16")&amp;"）")),""))</f>
        <v/>
      </c>
      <c r="N17" s="14">
        <f>IF($A17="","",IFERROR(_xlfn.TEXTJOIN("、",TRUE,INDIRECT("'"&amp;$A17&amp;"'!B17:B20")),""))</f>
        <v/>
      </c>
      <c r="O17" s="14">
        <f>IF($A17="","",IFERROR(IF(INDIRECT("'"&amp;$A17&amp;"'!B21")="","",INDIRECT("'"&amp;$A17&amp;"'!B21")&amp;IF(INDIRECT("'"&amp;$A17&amp;"'!E21")="承諾",""," （"&amp;INDIRECT("'"&amp;$A17&amp;"'!E21")&amp;"）")),""))</f>
        <v/>
      </c>
      <c r="P17" s="14">
        <f>IF($A17="","",IFERROR(IF(INDIRECT("'"&amp;$A17&amp;"'!B27")="","",INDIRECT("'"&amp;$A17&amp;"'!B27")),""))</f>
        <v/>
      </c>
    </row>
    <row r="18">
      <c r="A18" s="15">
        <f>'📊ダッシュボード'!A21&amp;""</f>
        <v/>
      </c>
      <c r="B18" s="14">
        <f>IF($A18="","",IFERROR(IF(INDIRECT("'"&amp;$A18&amp;"'!B4")="","",INDIRECT("'"&amp;$A18&amp;"'!B4")),""))</f>
        <v/>
      </c>
      <c r="C18" s="14">
        <f>IF($A18="","",IFERROR(IF(INDIRECT("'"&amp;$A18&amp;"'!B6")="","",INDIRECT("'"&amp;$A18&amp;"'!B6")),""))</f>
        <v/>
      </c>
      <c r="D18" s="14">
        <f>IF($A18="","",IFERROR(IF(INDIRECT("'"&amp;$A18&amp;"'!B7")="","",INDIRECT("'"&amp;$A18&amp;"'!B7")),""))</f>
        <v/>
      </c>
      <c r="E18" s="16">
        <f>IF($A18="","",IFERROR(IF(INDIRECT("'"&amp;$A18&amp;"'!B8")="","",INDIRECT("'"&amp;$A18&amp;"'!B8")),""))</f>
        <v/>
      </c>
      <c r="F18" s="14">
        <f>IF($A18="","",IFERROR(IF(INDIRECT("'"&amp;$A18&amp;"'!B9")="","",INDIRECT("'"&amp;$A18&amp;"'!B9")&amp;IF(INDIRECT("'"&amp;$A18&amp;"'!E9")="承諾",""," （"&amp;INDIRECT("'"&amp;$A18&amp;"'!E9")&amp;"）")),""))</f>
        <v/>
      </c>
      <c r="G18" s="14">
        <f>IF($A18="","",IFERROR(IF(INDIRECT("'"&amp;$A18&amp;"'!B10")="","",INDIRECT("'"&amp;$A18&amp;"'!B10")&amp;IF(INDIRECT("'"&amp;$A18&amp;"'!E10")="承諾",""," （"&amp;INDIRECT("'"&amp;$A18&amp;"'!E10")&amp;"）")),""))</f>
        <v/>
      </c>
      <c r="H18" s="14">
        <f>IF($A18="","",IFERROR(IF(INDIRECT("'"&amp;$A18&amp;"'!B11")="","",INDIRECT("'"&amp;$A18&amp;"'!B11")&amp;IF(INDIRECT("'"&amp;$A18&amp;"'!E11")="承諾",""," （"&amp;INDIRECT("'"&amp;$A18&amp;"'!E11")&amp;"）")),""))</f>
        <v/>
      </c>
      <c r="I18" s="14">
        <f>IF($A18="","",IFERROR(IF(INDIRECT("'"&amp;$A18&amp;"'!B12")="","",INDIRECT("'"&amp;$A18&amp;"'!B12")&amp;IF(INDIRECT("'"&amp;$A18&amp;"'!E12")="承諾",""," （"&amp;INDIRECT("'"&amp;$A18&amp;"'!E12")&amp;"）")),""))</f>
        <v/>
      </c>
      <c r="J18" s="14">
        <f>IF($A18="","",IFERROR(IF(INDIRECT("'"&amp;$A18&amp;"'!B13")="","",INDIRECT("'"&amp;$A18&amp;"'!B13")&amp;IF(INDIRECT("'"&amp;$A18&amp;"'!E13")="承諾",""," （"&amp;INDIRECT("'"&amp;$A18&amp;"'!E13")&amp;"）")),""))</f>
        <v/>
      </c>
      <c r="K18" s="14">
        <f>IF($A18="","",IFERROR(IF(INDIRECT("'"&amp;$A18&amp;"'!B14")="","",INDIRECT("'"&amp;$A18&amp;"'!B14")&amp;IF(INDIRECT("'"&amp;$A18&amp;"'!E14")="承諾",""," （"&amp;INDIRECT("'"&amp;$A18&amp;"'!E14")&amp;"）")),""))</f>
        <v/>
      </c>
      <c r="L18" s="14">
        <f>IF($A18="","",IFERROR(IF(INDIRECT("'"&amp;$A18&amp;"'!B15")="","",INDIRECT("'"&amp;$A18&amp;"'!B15")&amp;IF(INDIRECT("'"&amp;$A18&amp;"'!E15")="承諾",""," （"&amp;INDIRECT("'"&amp;$A18&amp;"'!E15")&amp;"）")),""))</f>
        <v/>
      </c>
      <c r="M18" s="14">
        <f>IF($A18="","",IFERROR(IF(INDIRECT("'"&amp;$A18&amp;"'!B16")="","",INDIRECT("'"&amp;$A18&amp;"'!B16")&amp;IF(INDIRECT("'"&amp;$A18&amp;"'!E16")="承諾",""," （"&amp;INDIRECT("'"&amp;$A18&amp;"'!E16")&amp;"）")),""))</f>
        <v/>
      </c>
      <c r="N18" s="14">
        <f>IF($A18="","",IFERROR(_xlfn.TEXTJOIN("、",TRUE,INDIRECT("'"&amp;$A18&amp;"'!B17:B20")),""))</f>
        <v/>
      </c>
      <c r="O18" s="14">
        <f>IF($A18="","",IFERROR(IF(INDIRECT("'"&amp;$A18&amp;"'!B21")="","",INDIRECT("'"&amp;$A18&amp;"'!B21")&amp;IF(INDIRECT("'"&amp;$A18&amp;"'!E21")="承諾",""," （"&amp;INDIRECT("'"&amp;$A18&amp;"'!E21")&amp;"）")),""))</f>
        <v/>
      </c>
      <c r="P18" s="14">
        <f>IF($A18="","",IFERROR(IF(INDIRECT("'"&amp;$A18&amp;"'!B27")="","",INDIRECT("'"&amp;$A18&amp;"'!B27")),""))</f>
        <v/>
      </c>
    </row>
    <row r="19">
      <c r="A19" s="15">
        <f>'📊ダッシュボード'!A22&amp;""</f>
        <v/>
      </c>
      <c r="B19" s="14">
        <f>IF($A19="","",IFERROR(IF(INDIRECT("'"&amp;$A19&amp;"'!B4")="","",INDIRECT("'"&amp;$A19&amp;"'!B4")),""))</f>
        <v/>
      </c>
      <c r="C19" s="14">
        <f>IF($A19="","",IFERROR(IF(INDIRECT("'"&amp;$A19&amp;"'!B6")="","",INDIRECT("'"&amp;$A19&amp;"'!B6")),""))</f>
        <v/>
      </c>
      <c r="D19" s="14">
        <f>IF($A19="","",IFERROR(IF(INDIRECT("'"&amp;$A19&amp;"'!B7")="","",INDIRECT("'"&amp;$A19&amp;"'!B7")),""))</f>
        <v/>
      </c>
      <c r="E19" s="16">
        <f>IF($A19="","",IFERROR(IF(INDIRECT("'"&amp;$A19&amp;"'!B8")="","",INDIRECT("'"&amp;$A19&amp;"'!B8")),""))</f>
        <v/>
      </c>
      <c r="F19" s="14">
        <f>IF($A19="","",IFERROR(IF(INDIRECT("'"&amp;$A19&amp;"'!B9")="","",INDIRECT("'"&amp;$A19&amp;"'!B9")&amp;IF(INDIRECT("'"&amp;$A19&amp;"'!E9")="承諾",""," （"&amp;INDIRECT("'"&amp;$A19&amp;"'!E9")&amp;"）")),""))</f>
        <v/>
      </c>
      <c r="G19" s="14">
        <f>IF($A19="","",IFERROR(IF(INDIRECT("'"&amp;$A19&amp;"'!B10")="","",INDIRECT("'"&amp;$A19&amp;"'!B10")&amp;IF(INDIRECT("'"&amp;$A19&amp;"'!E10")="承諾",""," （"&amp;INDIRECT("'"&amp;$A19&amp;"'!E10")&amp;"）")),""))</f>
        <v/>
      </c>
      <c r="H19" s="14">
        <f>IF($A19="","",IFERROR(IF(INDIRECT("'"&amp;$A19&amp;"'!B11")="","",INDIRECT("'"&amp;$A19&amp;"'!B11")&amp;IF(INDIRECT("'"&amp;$A19&amp;"'!E11")="承諾",""," （"&amp;INDIRECT("'"&amp;$A19&amp;"'!E11")&amp;"）")),""))</f>
        <v/>
      </c>
      <c r="I19" s="14">
        <f>IF($A19="","",IFERROR(IF(INDIRECT("'"&amp;$A19&amp;"'!B12")="","",INDIRECT("'"&amp;$A19&amp;"'!B12")&amp;IF(INDIRECT("'"&amp;$A19&amp;"'!E12")="承諾",""," （"&amp;INDIRECT("'"&amp;$A19&amp;"'!E12")&amp;"）")),""))</f>
        <v/>
      </c>
      <c r="J19" s="14">
        <f>IF($A19="","",IFERROR(IF(INDIRECT("'"&amp;$A19&amp;"'!B13")="","",INDIRECT("'"&amp;$A19&amp;"'!B13")&amp;IF(INDIRECT("'"&amp;$A19&amp;"'!E13")="承諾",""," （"&amp;INDIRECT("'"&amp;$A19&amp;"'!E13")&amp;"）")),""))</f>
        <v/>
      </c>
      <c r="K19" s="14">
        <f>IF($A19="","",IFERROR(IF(INDIRECT("'"&amp;$A19&amp;"'!B14")="","",INDIRECT("'"&amp;$A19&amp;"'!B14")&amp;IF(INDIRECT("'"&amp;$A19&amp;"'!E14")="承諾",""," （"&amp;INDIRECT("'"&amp;$A19&amp;"'!E14")&amp;"）")),""))</f>
        <v/>
      </c>
      <c r="L19" s="14">
        <f>IF($A19="","",IFERROR(IF(INDIRECT("'"&amp;$A19&amp;"'!B15")="","",INDIRECT("'"&amp;$A19&amp;"'!B15")&amp;IF(INDIRECT("'"&amp;$A19&amp;"'!E15")="承諾",""," （"&amp;INDIRECT("'"&amp;$A19&amp;"'!E15")&amp;"）")),""))</f>
        <v/>
      </c>
      <c r="M19" s="14">
        <f>IF($A19="","",IFERROR(IF(INDIRECT("'"&amp;$A19&amp;"'!B16")="","",INDIRECT("'"&amp;$A19&amp;"'!B16")&amp;IF(INDIRECT("'"&amp;$A19&amp;"'!E16")="承諾",""," （"&amp;INDIRECT("'"&amp;$A19&amp;"'!E16")&amp;"）")),""))</f>
        <v/>
      </c>
      <c r="N19" s="14">
        <f>IF($A19="","",IFERROR(_xlfn.TEXTJOIN("、",TRUE,INDIRECT("'"&amp;$A19&amp;"'!B17:B20")),""))</f>
        <v/>
      </c>
      <c r="O19" s="14">
        <f>IF($A19="","",IFERROR(IF(INDIRECT("'"&amp;$A19&amp;"'!B21")="","",INDIRECT("'"&amp;$A19&amp;"'!B21")&amp;IF(INDIRECT("'"&amp;$A19&amp;"'!E21")="承諾",""," （"&amp;INDIRECT("'"&amp;$A19&amp;"'!E21")&amp;"）")),""))</f>
        <v/>
      </c>
      <c r="P19" s="14">
        <f>IF($A19="","",IFERROR(IF(INDIRECT("'"&amp;$A19&amp;"'!B27")="","",INDIRECT("'"&amp;$A19&amp;"'!B27")),""))</f>
        <v/>
      </c>
    </row>
    <row r="20">
      <c r="A20" s="15">
        <f>'📊ダッシュボード'!A23&amp;""</f>
        <v/>
      </c>
      <c r="B20" s="14">
        <f>IF($A20="","",IFERROR(IF(INDIRECT("'"&amp;$A20&amp;"'!B4")="","",INDIRECT("'"&amp;$A20&amp;"'!B4")),""))</f>
        <v/>
      </c>
      <c r="C20" s="14">
        <f>IF($A20="","",IFERROR(IF(INDIRECT("'"&amp;$A20&amp;"'!B6")="","",INDIRECT("'"&amp;$A20&amp;"'!B6")),""))</f>
        <v/>
      </c>
      <c r="D20" s="14">
        <f>IF($A20="","",IFERROR(IF(INDIRECT("'"&amp;$A20&amp;"'!B7")="","",INDIRECT("'"&amp;$A20&amp;"'!B7")),""))</f>
        <v/>
      </c>
      <c r="E20" s="16">
        <f>IF($A20="","",IFERROR(IF(INDIRECT("'"&amp;$A20&amp;"'!B8")="","",INDIRECT("'"&amp;$A20&amp;"'!B8")),""))</f>
        <v/>
      </c>
      <c r="F20" s="14">
        <f>IF($A20="","",IFERROR(IF(INDIRECT("'"&amp;$A20&amp;"'!B9")="","",INDIRECT("'"&amp;$A20&amp;"'!B9")&amp;IF(INDIRECT("'"&amp;$A20&amp;"'!E9")="承諾",""," （"&amp;INDIRECT("'"&amp;$A20&amp;"'!E9")&amp;"）")),""))</f>
        <v/>
      </c>
      <c r="G20" s="14">
        <f>IF($A20="","",IFERROR(IF(INDIRECT("'"&amp;$A20&amp;"'!B10")="","",INDIRECT("'"&amp;$A20&amp;"'!B10")&amp;IF(INDIRECT("'"&amp;$A20&amp;"'!E10")="承諾",""," （"&amp;INDIRECT("'"&amp;$A20&amp;"'!E10")&amp;"）")),""))</f>
        <v/>
      </c>
      <c r="H20" s="14">
        <f>IF($A20="","",IFERROR(IF(INDIRECT("'"&amp;$A20&amp;"'!B11")="","",INDIRECT("'"&amp;$A20&amp;"'!B11")&amp;IF(INDIRECT("'"&amp;$A20&amp;"'!E11")="承諾",""," （"&amp;INDIRECT("'"&amp;$A20&amp;"'!E11")&amp;"）")),""))</f>
        <v/>
      </c>
      <c r="I20" s="14">
        <f>IF($A20="","",IFERROR(IF(INDIRECT("'"&amp;$A20&amp;"'!B12")="","",INDIRECT("'"&amp;$A20&amp;"'!B12")&amp;IF(INDIRECT("'"&amp;$A20&amp;"'!E12")="承諾",""," （"&amp;INDIRECT("'"&amp;$A20&amp;"'!E12")&amp;"）")),""))</f>
        <v/>
      </c>
      <c r="J20" s="14">
        <f>IF($A20="","",IFERROR(IF(INDIRECT("'"&amp;$A20&amp;"'!B13")="","",INDIRECT("'"&amp;$A20&amp;"'!B13")&amp;IF(INDIRECT("'"&amp;$A20&amp;"'!E13")="承諾",""," （"&amp;INDIRECT("'"&amp;$A20&amp;"'!E13")&amp;"）")),""))</f>
        <v/>
      </c>
      <c r="K20" s="14">
        <f>IF($A20="","",IFERROR(IF(INDIRECT("'"&amp;$A20&amp;"'!B14")="","",INDIRECT("'"&amp;$A20&amp;"'!B14")&amp;IF(INDIRECT("'"&amp;$A20&amp;"'!E14")="承諾",""," （"&amp;INDIRECT("'"&amp;$A20&amp;"'!E14")&amp;"）")),""))</f>
        <v/>
      </c>
      <c r="L20" s="14">
        <f>IF($A20="","",IFERROR(IF(INDIRECT("'"&amp;$A20&amp;"'!B15")="","",INDIRECT("'"&amp;$A20&amp;"'!B15")&amp;IF(INDIRECT("'"&amp;$A20&amp;"'!E15")="承諾",""," （"&amp;INDIRECT("'"&amp;$A20&amp;"'!E15")&amp;"）")),""))</f>
        <v/>
      </c>
      <c r="M20" s="14">
        <f>IF($A20="","",IFERROR(IF(INDIRECT("'"&amp;$A20&amp;"'!B16")="","",INDIRECT("'"&amp;$A20&amp;"'!B16")&amp;IF(INDIRECT("'"&amp;$A20&amp;"'!E16")="承諾",""," （"&amp;INDIRECT("'"&amp;$A20&amp;"'!E16")&amp;"）")),""))</f>
        <v/>
      </c>
      <c r="N20" s="14">
        <f>IF($A20="","",IFERROR(_xlfn.TEXTJOIN("、",TRUE,INDIRECT("'"&amp;$A20&amp;"'!B17:B20")),""))</f>
        <v/>
      </c>
      <c r="O20" s="14">
        <f>IF($A20="","",IFERROR(IF(INDIRECT("'"&amp;$A20&amp;"'!B21")="","",INDIRECT("'"&amp;$A20&amp;"'!B21")&amp;IF(INDIRECT("'"&amp;$A20&amp;"'!E21")="承諾",""," （"&amp;INDIRECT("'"&amp;$A20&amp;"'!E21")&amp;"）")),""))</f>
        <v/>
      </c>
      <c r="P20" s="14">
        <f>IF($A20="","",IFERROR(IF(INDIRECT("'"&amp;$A20&amp;"'!B27")="","",INDIRECT("'"&amp;$A20&amp;"'!B27")),""))</f>
        <v/>
      </c>
    </row>
    <row r="21">
      <c r="A21" s="15">
        <f>'📊ダッシュボード'!A24&amp;""</f>
        <v/>
      </c>
      <c r="B21" s="14">
        <f>IF($A21="","",IFERROR(IF(INDIRECT("'"&amp;$A21&amp;"'!B4")="","",INDIRECT("'"&amp;$A21&amp;"'!B4")),""))</f>
        <v/>
      </c>
      <c r="C21" s="14">
        <f>IF($A21="","",IFERROR(IF(INDIRECT("'"&amp;$A21&amp;"'!B6")="","",INDIRECT("'"&amp;$A21&amp;"'!B6")),""))</f>
        <v/>
      </c>
      <c r="D21" s="14">
        <f>IF($A21="","",IFERROR(IF(INDIRECT("'"&amp;$A21&amp;"'!B7")="","",INDIRECT("'"&amp;$A21&amp;"'!B7")),""))</f>
        <v/>
      </c>
      <c r="E21" s="16">
        <f>IF($A21="","",IFERROR(IF(INDIRECT("'"&amp;$A21&amp;"'!B8")="","",INDIRECT("'"&amp;$A21&amp;"'!B8")),""))</f>
        <v/>
      </c>
      <c r="F21" s="14">
        <f>IF($A21="","",IFERROR(IF(INDIRECT("'"&amp;$A21&amp;"'!B9")="","",INDIRECT("'"&amp;$A21&amp;"'!B9")&amp;IF(INDIRECT("'"&amp;$A21&amp;"'!E9")="承諾",""," （"&amp;INDIRECT("'"&amp;$A21&amp;"'!E9")&amp;"）")),""))</f>
        <v/>
      </c>
      <c r="G21" s="14">
        <f>IF($A21="","",IFERROR(IF(INDIRECT("'"&amp;$A21&amp;"'!B10")="","",INDIRECT("'"&amp;$A21&amp;"'!B10")&amp;IF(INDIRECT("'"&amp;$A21&amp;"'!E10")="承諾",""," （"&amp;INDIRECT("'"&amp;$A21&amp;"'!E10")&amp;"）")),""))</f>
        <v/>
      </c>
      <c r="H21" s="14">
        <f>IF($A21="","",IFERROR(IF(INDIRECT("'"&amp;$A21&amp;"'!B11")="","",INDIRECT("'"&amp;$A21&amp;"'!B11")&amp;IF(INDIRECT("'"&amp;$A21&amp;"'!E11")="承諾",""," （"&amp;INDIRECT("'"&amp;$A21&amp;"'!E11")&amp;"）")),""))</f>
        <v/>
      </c>
      <c r="I21" s="14">
        <f>IF($A21="","",IFERROR(IF(INDIRECT("'"&amp;$A21&amp;"'!B12")="","",INDIRECT("'"&amp;$A21&amp;"'!B12")&amp;IF(INDIRECT("'"&amp;$A21&amp;"'!E12")="承諾",""," （"&amp;INDIRECT("'"&amp;$A21&amp;"'!E12")&amp;"）")),""))</f>
        <v/>
      </c>
      <c r="J21" s="14">
        <f>IF($A21="","",IFERROR(IF(INDIRECT("'"&amp;$A21&amp;"'!B13")="","",INDIRECT("'"&amp;$A21&amp;"'!B13")&amp;IF(INDIRECT("'"&amp;$A21&amp;"'!E13")="承諾",""," （"&amp;INDIRECT("'"&amp;$A21&amp;"'!E13")&amp;"）")),""))</f>
        <v/>
      </c>
      <c r="K21" s="14">
        <f>IF($A21="","",IFERROR(IF(INDIRECT("'"&amp;$A21&amp;"'!B14")="","",INDIRECT("'"&amp;$A21&amp;"'!B14")&amp;IF(INDIRECT("'"&amp;$A21&amp;"'!E14")="承諾",""," （"&amp;INDIRECT("'"&amp;$A21&amp;"'!E14")&amp;"）")),""))</f>
        <v/>
      </c>
      <c r="L21" s="14">
        <f>IF($A21="","",IFERROR(IF(INDIRECT("'"&amp;$A21&amp;"'!B15")="","",INDIRECT("'"&amp;$A21&amp;"'!B15")&amp;IF(INDIRECT("'"&amp;$A21&amp;"'!E15")="承諾",""," （"&amp;INDIRECT("'"&amp;$A21&amp;"'!E15")&amp;"）")),""))</f>
        <v/>
      </c>
      <c r="M21" s="14">
        <f>IF($A21="","",IFERROR(IF(INDIRECT("'"&amp;$A21&amp;"'!B16")="","",INDIRECT("'"&amp;$A21&amp;"'!B16")&amp;IF(INDIRECT("'"&amp;$A21&amp;"'!E16")="承諾",""," （"&amp;INDIRECT("'"&amp;$A21&amp;"'!E16")&amp;"）")),""))</f>
        <v/>
      </c>
      <c r="N21" s="14">
        <f>IF($A21="","",IFERROR(_xlfn.TEXTJOIN("、",TRUE,INDIRECT("'"&amp;$A21&amp;"'!B17:B20")),""))</f>
        <v/>
      </c>
      <c r="O21" s="14">
        <f>IF($A21="","",IFERROR(IF(INDIRECT("'"&amp;$A21&amp;"'!B21")="","",INDIRECT("'"&amp;$A21&amp;"'!B21")&amp;IF(INDIRECT("'"&amp;$A21&amp;"'!E21")="承諾",""," （"&amp;INDIRECT("'"&amp;$A21&amp;"'!E21")&amp;"）")),""))</f>
        <v/>
      </c>
      <c r="P21" s="14">
        <f>IF($A21="","",IFERROR(IF(INDIRECT("'"&amp;$A21&amp;"'!B27")="","",INDIRECT("'"&amp;$A21&amp;"'!B27")),""))</f>
        <v/>
      </c>
    </row>
    <row r="22">
      <c r="A22" s="15">
        <f>'📊ダッシュボード'!A25&amp;""</f>
        <v/>
      </c>
      <c r="B22" s="14">
        <f>IF($A22="","",IFERROR(IF(INDIRECT("'"&amp;$A22&amp;"'!B4")="","",INDIRECT("'"&amp;$A22&amp;"'!B4")),""))</f>
        <v/>
      </c>
      <c r="C22" s="14">
        <f>IF($A22="","",IFERROR(IF(INDIRECT("'"&amp;$A22&amp;"'!B6")="","",INDIRECT("'"&amp;$A22&amp;"'!B6")),""))</f>
        <v/>
      </c>
      <c r="D22" s="14">
        <f>IF($A22="","",IFERROR(IF(INDIRECT("'"&amp;$A22&amp;"'!B7")="","",INDIRECT("'"&amp;$A22&amp;"'!B7")),""))</f>
        <v/>
      </c>
      <c r="E22" s="16">
        <f>IF($A22="","",IFERROR(IF(INDIRECT("'"&amp;$A22&amp;"'!B8")="","",INDIRECT("'"&amp;$A22&amp;"'!B8")),""))</f>
        <v/>
      </c>
      <c r="F22" s="14">
        <f>IF($A22="","",IFERROR(IF(INDIRECT("'"&amp;$A22&amp;"'!B9")="","",INDIRECT("'"&amp;$A22&amp;"'!B9")&amp;IF(INDIRECT("'"&amp;$A22&amp;"'!E9")="承諾",""," （"&amp;INDIRECT("'"&amp;$A22&amp;"'!E9")&amp;"）")),""))</f>
        <v/>
      </c>
      <c r="G22" s="14">
        <f>IF($A22="","",IFERROR(IF(INDIRECT("'"&amp;$A22&amp;"'!B10")="","",INDIRECT("'"&amp;$A22&amp;"'!B10")&amp;IF(INDIRECT("'"&amp;$A22&amp;"'!E10")="承諾",""," （"&amp;INDIRECT("'"&amp;$A22&amp;"'!E10")&amp;"）")),""))</f>
        <v/>
      </c>
      <c r="H22" s="14">
        <f>IF($A22="","",IFERROR(IF(INDIRECT("'"&amp;$A22&amp;"'!B11")="","",INDIRECT("'"&amp;$A22&amp;"'!B11")&amp;IF(INDIRECT("'"&amp;$A22&amp;"'!E11")="承諾",""," （"&amp;INDIRECT("'"&amp;$A22&amp;"'!E11")&amp;"）")),""))</f>
        <v/>
      </c>
      <c r="I22" s="14">
        <f>IF($A22="","",IFERROR(IF(INDIRECT("'"&amp;$A22&amp;"'!B12")="","",INDIRECT("'"&amp;$A22&amp;"'!B12")&amp;IF(INDIRECT("'"&amp;$A22&amp;"'!E12")="承諾",""," （"&amp;INDIRECT("'"&amp;$A22&amp;"'!E12")&amp;"）")),""))</f>
        <v/>
      </c>
      <c r="J22" s="14">
        <f>IF($A22="","",IFERROR(IF(INDIRECT("'"&amp;$A22&amp;"'!B13")="","",INDIRECT("'"&amp;$A22&amp;"'!B13")&amp;IF(INDIRECT("'"&amp;$A22&amp;"'!E13")="承諾",""," （"&amp;INDIRECT("'"&amp;$A22&amp;"'!E13")&amp;"）")),""))</f>
        <v/>
      </c>
      <c r="K22" s="14">
        <f>IF($A22="","",IFERROR(IF(INDIRECT("'"&amp;$A22&amp;"'!B14")="","",INDIRECT("'"&amp;$A22&amp;"'!B14")&amp;IF(INDIRECT("'"&amp;$A22&amp;"'!E14")="承諾",""," （"&amp;INDIRECT("'"&amp;$A22&amp;"'!E14")&amp;"）")),""))</f>
        <v/>
      </c>
      <c r="L22" s="14">
        <f>IF($A22="","",IFERROR(IF(INDIRECT("'"&amp;$A22&amp;"'!B15")="","",INDIRECT("'"&amp;$A22&amp;"'!B15")&amp;IF(INDIRECT("'"&amp;$A22&amp;"'!E15")="承諾",""," （"&amp;INDIRECT("'"&amp;$A22&amp;"'!E15")&amp;"）")),""))</f>
        <v/>
      </c>
      <c r="M22" s="14">
        <f>IF($A22="","",IFERROR(IF(INDIRECT("'"&amp;$A22&amp;"'!B16")="","",INDIRECT("'"&amp;$A22&amp;"'!B16")&amp;IF(INDIRECT("'"&amp;$A22&amp;"'!E16")="承諾",""," （"&amp;INDIRECT("'"&amp;$A22&amp;"'!E16")&amp;"）")),""))</f>
        <v/>
      </c>
      <c r="N22" s="14">
        <f>IF($A22="","",IFERROR(_xlfn.TEXTJOIN("、",TRUE,INDIRECT("'"&amp;$A22&amp;"'!B17:B20")),""))</f>
        <v/>
      </c>
      <c r="O22" s="14">
        <f>IF($A22="","",IFERROR(IF(INDIRECT("'"&amp;$A22&amp;"'!B21")="","",INDIRECT("'"&amp;$A22&amp;"'!B21")&amp;IF(INDIRECT("'"&amp;$A22&amp;"'!E21")="承諾",""," （"&amp;INDIRECT("'"&amp;$A22&amp;"'!E21")&amp;"）")),""))</f>
        <v/>
      </c>
      <c r="P22" s="14">
        <f>IF($A22="","",IFERROR(IF(INDIRECT("'"&amp;$A22&amp;"'!B27")="","",INDIRECT("'"&amp;$A22&amp;"'!B27")),""))</f>
        <v/>
      </c>
    </row>
    <row r="23">
      <c r="A23" s="15">
        <f>'📊ダッシュボード'!A26&amp;""</f>
        <v/>
      </c>
      <c r="B23" s="14">
        <f>IF($A23="","",IFERROR(IF(INDIRECT("'"&amp;$A23&amp;"'!B4")="","",INDIRECT("'"&amp;$A23&amp;"'!B4")),""))</f>
        <v/>
      </c>
      <c r="C23" s="14">
        <f>IF($A23="","",IFERROR(IF(INDIRECT("'"&amp;$A23&amp;"'!B6")="","",INDIRECT("'"&amp;$A23&amp;"'!B6")),""))</f>
        <v/>
      </c>
      <c r="D23" s="14">
        <f>IF($A23="","",IFERROR(IF(INDIRECT("'"&amp;$A23&amp;"'!B7")="","",INDIRECT("'"&amp;$A23&amp;"'!B7")),""))</f>
        <v/>
      </c>
      <c r="E23" s="16">
        <f>IF($A23="","",IFERROR(IF(INDIRECT("'"&amp;$A23&amp;"'!B8")="","",INDIRECT("'"&amp;$A23&amp;"'!B8")),""))</f>
        <v/>
      </c>
      <c r="F23" s="14">
        <f>IF($A23="","",IFERROR(IF(INDIRECT("'"&amp;$A23&amp;"'!B9")="","",INDIRECT("'"&amp;$A23&amp;"'!B9")&amp;IF(INDIRECT("'"&amp;$A23&amp;"'!E9")="承諾",""," （"&amp;INDIRECT("'"&amp;$A23&amp;"'!E9")&amp;"）")),""))</f>
        <v/>
      </c>
      <c r="G23" s="14">
        <f>IF($A23="","",IFERROR(IF(INDIRECT("'"&amp;$A23&amp;"'!B10")="","",INDIRECT("'"&amp;$A23&amp;"'!B10")&amp;IF(INDIRECT("'"&amp;$A23&amp;"'!E10")="承諾",""," （"&amp;INDIRECT("'"&amp;$A23&amp;"'!E10")&amp;"）")),""))</f>
        <v/>
      </c>
      <c r="H23" s="14">
        <f>IF($A23="","",IFERROR(IF(INDIRECT("'"&amp;$A23&amp;"'!B11")="","",INDIRECT("'"&amp;$A23&amp;"'!B11")&amp;IF(INDIRECT("'"&amp;$A23&amp;"'!E11")="承諾",""," （"&amp;INDIRECT("'"&amp;$A23&amp;"'!E11")&amp;"）")),""))</f>
        <v/>
      </c>
      <c r="I23" s="14">
        <f>IF($A23="","",IFERROR(IF(INDIRECT("'"&amp;$A23&amp;"'!B12")="","",INDIRECT("'"&amp;$A23&amp;"'!B12")&amp;IF(INDIRECT("'"&amp;$A23&amp;"'!E12")="承諾",""," （"&amp;INDIRECT("'"&amp;$A23&amp;"'!E12")&amp;"）")),""))</f>
        <v/>
      </c>
      <c r="J23" s="14">
        <f>IF($A23="","",IFERROR(IF(INDIRECT("'"&amp;$A23&amp;"'!B13")="","",INDIRECT("'"&amp;$A23&amp;"'!B13")&amp;IF(INDIRECT("'"&amp;$A23&amp;"'!E13")="承諾",""," （"&amp;INDIRECT("'"&amp;$A23&amp;"'!E13")&amp;"）")),""))</f>
        <v/>
      </c>
      <c r="K23" s="14">
        <f>IF($A23="","",IFERROR(IF(INDIRECT("'"&amp;$A23&amp;"'!B14")="","",INDIRECT("'"&amp;$A23&amp;"'!B14")&amp;IF(INDIRECT("'"&amp;$A23&amp;"'!E14")="承諾",""," （"&amp;INDIRECT("'"&amp;$A23&amp;"'!E14")&amp;"）")),""))</f>
        <v/>
      </c>
      <c r="L23" s="14">
        <f>IF($A23="","",IFERROR(IF(INDIRECT("'"&amp;$A23&amp;"'!B15")="","",INDIRECT("'"&amp;$A23&amp;"'!B15")&amp;IF(INDIRECT("'"&amp;$A23&amp;"'!E15")="承諾",""," （"&amp;INDIRECT("'"&amp;$A23&amp;"'!E15")&amp;"）")),""))</f>
        <v/>
      </c>
      <c r="M23" s="14">
        <f>IF($A23="","",IFERROR(IF(INDIRECT("'"&amp;$A23&amp;"'!B16")="","",INDIRECT("'"&amp;$A23&amp;"'!B16")&amp;IF(INDIRECT("'"&amp;$A23&amp;"'!E16")="承諾",""," （"&amp;INDIRECT("'"&amp;$A23&amp;"'!E16")&amp;"）")),""))</f>
        <v/>
      </c>
      <c r="N23" s="14">
        <f>IF($A23="","",IFERROR(_xlfn.TEXTJOIN("、",TRUE,INDIRECT("'"&amp;$A23&amp;"'!B17:B20")),""))</f>
        <v/>
      </c>
      <c r="O23" s="14">
        <f>IF($A23="","",IFERROR(IF(INDIRECT("'"&amp;$A23&amp;"'!B21")="","",INDIRECT("'"&amp;$A23&amp;"'!B21")&amp;IF(INDIRECT("'"&amp;$A23&amp;"'!E21")="承諾",""," （"&amp;INDIRECT("'"&amp;$A23&amp;"'!E21")&amp;"）")),""))</f>
        <v/>
      </c>
      <c r="P23" s="14">
        <f>IF($A23="","",IFERROR(IF(INDIRECT("'"&amp;$A23&amp;"'!B27")="","",INDIRECT("'"&amp;$A23&amp;"'!B27")),""))</f>
        <v/>
      </c>
    </row>
    <row r="24">
      <c r="A24" s="15">
        <f>'📊ダッシュボード'!A27&amp;""</f>
        <v/>
      </c>
      <c r="B24" s="14">
        <f>IF($A24="","",IFERROR(IF(INDIRECT("'"&amp;$A24&amp;"'!B4")="","",INDIRECT("'"&amp;$A24&amp;"'!B4")),""))</f>
        <v/>
      </c>
      <c r="C24" s="14">
        <f>IF($A24="","",IFERROR(IF(INDIRECT("'"&amp;$A24&amp;"'!B6")="","",INDIRECT("'"&amp;$A24&amp;"'!B6")),""))</f>
        <v/>
      </c>
      <c r="D24" s="14">
        <f>IF($A24="","",IFERROR(IF(INDIRECT("'"&amp;$A24&amp;"'!B7")="","",INDIRECT("'"&amp;$A24&amp;"'!B7")),""))</f>
        <v/>
      </c>
      <c r="E24" s="16">
        <f>IF($A24="","",IFERROR(IF(INDIRECT("'"&amp;$A24&amp;"'!B8")="","",INDIRECT("'"&amp;$A24&amp;"'!B8")),""))</f>
        <v/>
      </c>
      <c r="F24" s="14">
        <f>IF($A24="","",IFERROR(IF(INDIRECT("'"&amp;$A24&amp;"'!B9")="","",INDIRECT("'"&amp;$A24&amp;"'!B9")&amp;IF(INDIRECT("'"&amp;$A24&amp;"'!E9")="承諾",""," （"&amp;INDIRECT("'"&amp;$A24&amp;"'!E9")&amp;"）")),""))</f>
        <v/>
      </c>
      <c r="G24" s="14">
        <f>IF($A24="","",IFERROR(IF(INDIRECT("'"&amp;$A24&amp;"'!B10")="","",INDIRECT("'"&amp;$A24&amp;"'!B10")&amp;IF(INDIRECT("'"&amp;$A24&amp;"'!E10")="承諾",""," （"&amp;INDIRECT("'"&amp;$A24&amp;"'!E10")&amp;"）")),""))</f>
        <v/>
      </c>
      <c r="H24" s="14">
        <f>IF($A24="","",IFERROR(IF(INDIRECT("'"&amp;$A24&amp;"'!B11")="","",INDIRECT("'"&amp;$A24&amp;"'!B11")&amp;IF(INDIRECT("'"&amp;$A24&amp;"'!E11")="承諾",""," （"&amp;INDIRECT("'"&amp;$A24&amp;"'!E11")&amp;"）")),""))</f>
        <v/>
      </c>
      <c r="I24" s="14">
        <f>IF($A24="","",IFERROR(IF(INDIRECT("'"&amp;$A24&amp;"'!B12")="","",INDIRECT("'"&amp;$A24&amp;"'!B12")&amp;IF(INDIRECT("'"&amp;$A24&amp;"'!E12")="承諾",""," （"&amp;INDIRECT("'"&amp;$A24&amp;"'!E12")&amp;"）")),""))</f>
        <v/>
      </c>
      <c r="J24" s="14">
        <f>IF($A24="","",IFERROR(IF(INDIRECT("'"&amp;$A24&amp;"'!B13")="","",INDIRECT("'"&amp;$A24&amp;"'!B13")&amp;IF(INDIRECT("'"&amp;$A24&amp;"'!E13")="承諾",""," （"&amp;INDIRECT("'"&amp;$A24&amp;"'!E13")&amp;"）")),""))</f>
        <v/>
      </c>
      <c r="K24" s="14">
        <f>IF($A24="","",IFERROR(IF(INDIRECT("'"&amp;$A24&amp;"'!B14")="","",INDIRECT("'"&amp;$A24&amp;"'!B14")&amp;IF(INDIRECT("'"&amp;$A24&amp;"'!E14")="承諾",""," （"&amp;INDIRECT("'"&amp;$A24&amp;"'!E14")&amp;"）")),""))</f>
        <v/>
      </c>
      <c r="L24" s="14">
        <f>IF($A24="","",IFERROR(IF(INDIRECT("'"&amp;$A24&amp;"'!B15")="","",INDIRECT("'"&amp;$A24&amp;"'!B15")&amp;IF(INDIRECT("'"&amp;$A24&amp;"'!E15")="承諾",""," （"&amp;INDIRECT("'"&amp;$A24&amp;"'!E15")&amp;"）")),""))</f>
        <v/>
      </c>
      <c r="M24" s="14">
        <f>IF($A24="","",IFERROR(IF(INDIRECT("'"&amp;$A24&amp;"'!B16")="","",INDIRECT("'"&amp;$A24&amp;"'!B16")&amp;IF(INDIRECT("'"&amp;$A24&amp;"'!E16")="承諾",""," （"&amp;INDIRECT("'"&amp;$A24&amp;"'!E16")&amp;"）")),""))</f>
        <v/>
      </c>
      <c r="N24" s="14">
        <f>IF($A24="","",IFERROR(_xlfn.TEXTJOIN("、",TRUE,INDIRECT("'"&amp;$A24&amp;"'!B17:B20")),""))</f>
        <v/>
      </c>
      <c r="O24" s="14">
        <f>IF($A24="","",IFERROR(IF(INDIRECT("'"&amp;$A24&amp;"'!B21")="","",INDIRECT("'"&amp;$A24&amp;"'!B21")&amp;IF(INDIRECT("'"&amp;$A24&amp;"'!E21")="承諾",""," （"&amp;INDIRECT("'"&amp;$A24&amp;"'!E21")&amp;"）")),""))</f>
        <v/>
      </c>
      <c r="P24" s="14">
        <f>IF($A24="","",IFERROR(IF(INDIRECT("'"&amp;$A24&amp;"'!B27")="","",INDIRECT("'"&amp;$A24&amp;"'!B27")),""))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週次推移（10/5スタート・月曜はじまり・13週＝年末まで）</t>
        </is>
      </c>
    </row>
    <row r="2">
      <c r="A2" s="2" t="inlineStr">
        <is>
          <t>開始日は『設定』シートで変更できます。黄色の列＝今週／まだ来ていない週は空欄／過ぎた週で0はオレンジ</t>
        </is>
      </c>
    </row>
    <row r="4">
      <c r="A4" s="17" t="inlineStr">
        <is>
          <t>■ 声かけ数（日次ログ）</t>
        </is>
      </c>
    </row>
    <row r="5">
      <c r="A5" s="8" t="inlineStr">
        <is>
          <t>週</t>
        </is>
      </c>
      <c r="B5" s="8" t="inlineStr">
        <is>
          <t>第1週</t>
        </is>
      </c>
      <c r="C5" s="8" t="inlineStr">
        <is>
          <t>第2週</t>
        </is>
      </c>
      <c r="D5" s="8" t="inlineStr">
        <is>
          <t>第3週</t>
        </is>
      </c>
      <c r="E5" s="8" t="inlineStr">
        <is>
          <t>第4週</t>
        </is>
      </c>
      <c r="F5" s="8" t="inlineStr">
        <is>
          <t>第5週</t>
        </is>
      </c>
      <c r="G5" s="8" t="inlineStr">
        <is>
          <t>第6週</t>
        </is>
      </c>
      <c r="H5" s="8" t="inlineStr">
        <is>
          <t>第7週</t>
        </is>
      </c>
      <c r="I5" s="8" t="inlineStr">
        <is>
          <t>第8週</t>
        </is>
      </c>
      <c r="J5" s="8" t="inlineStr">
        <is>
          <t>第9週</t>
        </is>
      </c>
      <c r="K5" s="8" t="inlineStr">
        <is>
          <t>第10週</t>
        </is>
      </c>
      <c r="L5" s="8" t="inlineStr">
        <is>
          <t>第11週</t>
        </is>
      </c>
      <c r="M5" s="8" t="inlineStr">
        <is>
          <t>第12週</t>
        </is>
      </c>
      <c r="N5" s="8" t="inlineStr">
        <is>
          <t>第13週</t>
        </is>
      </c>
      <c r="O5" s="8" t="inlineStr"/>
    </row>
    <row r="6">
      <c r="A6" s="8" t="inlineStr">
        <is>
          <t>ローンチ（LD名）</t>
        </is>
      </c>
      <c r="B6" s="18">
        <f>'設定'!$B$12+7*0</f>
        <v/>
      </c>
      <c r="C6" s="18">
        <f>'設定'!$B$12+7*1</f>
        <v/>
      </c>
      <c r="D6" s="18">
        <f>'設定'!$B$12+7*2</f>
        <v/>
      </c>
      <c r="E6" s="18">
        <f>'設定'!$B$12+7*3</f>
        <v/>
      </c>
      <c r="F6" s="18">
        <f>'設定'!$B$12+7*4</f>
        <v/>
      </c>
      <c r="G6" s="18">
        <f>'設定'!$B$12+7*5</f>
        <v/>
      </c>
      <c r="H6" s="18">
        <f>'設定'!$B$12+7*6</f>
        <v/>
      </c>
      <c r="I6" s="18">
        <f>'設定'!$B$12+7*7</f>
        <v/>
      </c>
      <c r="J6" s="18">
        <f>'設定'!$B$12+7*8</f>
        <v/>
      </c>
      <c r="K6" s="18">
        <f>'設定'!$B$12+7*9</f>
        <v/>
      </c>
      <c r="L6" s="18">
        <f>'設定'!$B$12+7*10</f>
        <v/>
      </c>
      <c r="M6" s="18">
        <f>'設定'!$B$12+7*11</f>
        <v/>
      </c>
      <c r="N6" s="18">
        <f>'設定'!$B$12+7*12</f>
        <v/>
      </c>
      <c r="O6" s="8" t="inlineStr">
        <is>
          <t>累計</t>
        </is>
      </c>
    </row>
    <row r="7">
      <c r="A7" s="15">
        <f>'📊ダッシュボード'!A8&amp;""</f>
        <v/>
      </c>
      <c r="B7" s="10">
        <f>IF(OR($A7="",B$6&gt;TODAY()),"",SUMIFS('日次ログ'!$D$5:$D$1504,'日次ログ'!$B$5:$B$1504,$A7,'日次ログ'!$A$5:$A$1504,"&gt;="&amp;B$6,'日次ログ'!$A$5:$A$1504,"&lt;"&amp;(B$6+7)))</f>
        <v/>
      </c>
      <c r="C7" s="10">
        <f>IF(OR($A7="",C$6&gt;TODAY()),"",SUMIFS('日次ログ'!$D$5:$D$1504,'日次ログ'!$B$5:$B$1504,$A7,'日次ログ'!$A$5:$A$1504,"&gt;="&amp;C$6,'日次ログ'!$A$5:$A$1504,"&lt;"&amp;(C$6+7)))</f>
        <v/>
      </c>
      <c r="D7" s="10">
        <f>IF(OR($A7="",D$6&gt;TODAY()),"",SUMIFS('日次ログ'!$D$5:$D$1504,'日次ログ'!$B$5:$B$1504,$A7,'日次ログ'!$A$5:$A$1504,"&gt;="&amp;D$6,'日次ログ'!$A$5:$A$1504,"&lt;"&amp;(D$6+7)))</f>
        <v/>
      </c>
      <c r="E7" s="10">
        <f>IF(OR($A7="",E$6&gt;TODAY()),"",SUMIFS('日次ログ'!$D$5:$D$1504,'日次ログ'!$B$5:$B$1504,$A7,'日次ログ'!$A$5:$A$1504,"&gt;="&amp;E$6,'日次ログ'!$A$5:$A$1504,"&lt;"&amp;(E$6+7)))</f>
        <v/>
      </c>
      <c r="F7" s="10">
        <f>IF(OR($A7="",F$6&gt;TODAY()),"",SUMIFS('日次ログ'!$D$5:$D$1504,'日次ログ'!$B$5:$B$1504,$A7,'日次ログ'!$A$5:$A$1504,"&gt;="&amp;F$6,'日次ログ'!$A$5:$A$1504,"&lt;"&amp;(F$6+7)))</f>
        <v/>
      </c>
      <c r="G7" s="10">
        <f>IF(OR($A7="",G$6&gt;TODAY()),"",SUMIFS('日次ログ'!$D$5:$D$1504,'日次ログ'!$B$5:$B$1504,$A7,'日次ログ'!$A$5:$A$1504,"&gt;="&amp;G$6,'日次ログ'!$A$5:$A$1504,"&lt;"&amp;(G$6+7)))</f>
        <v/>
      </c>
      <c r="H7" s="10">
        <f>IF(OR($A7="",H$6&gt;TODAY()),"",SUMIFS('日次ログ'!$D$5:$D$1504,'日次ログ'!$B$5:$B$1504,$A7,'日次ログ'!$A$5:$A$1504,"&gt;="&amp;H$6,'日次ログ'!$A$5:$A$1504,"&lt;"&amp;(H$6+7)))</f>
        <v/>
      </c>
      <c r="I7" s="10">
        <f>IF(OR($A7="",I$6&gt;TODAY()),"",SUMIFS('日次ログ'!$D$5:$D$1504,'日次ログ'!$B$5:$B$1504,$A7,'日次ログ'!$A$5:$A$1504,"&gt;="&amp;I$6,'日次ログ'!$A$5:$A$1504,"&lt;"&amp;(I$6+7)))</f>
        <v/>
      </c>
      <c r="J7" s="10">
        <f>IF(OR($A7="",J$6&gt;TODAY()),"",SUMIFS('日次ログ'!$D$5:$D$1504,'日次ログ'!$B$5:$B$1504,$A7,'日次ログ'!$A$5:$A$1504,"&gt;="&amp;J$6,'日次ログ'!$A$5:$A$1504,"&lt;"&amp;(J$6+7)))</f>
        <v/>
      </c>
      <c r="K7" s="10">
        <f>IF(OR($A7="",K$6&gt;TODAY()),"",SUMIFS('日次ログ'!$D$5:$D$1504,'日次ログ'!$B$5:$B$1504,$A7,'日次ログ'!$A$5:$A$1504,"&gt;="&amp;K$6,'日次ログ'!$A$5:$A$1504,"&lt;"&amp;(K$6+7)))</f>
        <v/>
      </c>
      <c r="L7" s="10">
        <f>IF(OR($A7="",L$6&gt;TODAY()),"",SUMIFS('日次ログ'!$D$5:$D$1504,'日次ログ'!$B$5:$B$1504,$A7,'日次ログ'!$A$5:$A$1504,"&gt;="&amp;L$6,'日次ログ'!$A$5:$A$1504,"&lt;"&amp;(L$6+7)))</f>
        <v/>
      </c>
      <c r="M7" s="10">
        <f>IF(OR($A7="",M$6&gt;TODAY()),"",SUMIFS('日次ログ'!$D$5:$D$1504,'日次ログ'!$B$5:$B$1504,$A7,'日次ログ'!$A$5:$A$1504,"&gt;="&amp;M$6,'日次ログ'!$A$5:$A$1504,"&lt;"&amp;(M$6+7)))</f>
        <v/>
      </c>
      <c r="N7" s="10">
        <f>IF(OR($A7="",N$6&gt;TODAY()),"",SUMIFS('日次ログ'!$D$5:$D$1504,'日次ログ'!$B$5:$B$1504,$A7,'日次ログ'!$A$5:$A$1504,"&gt;="&amp;N$6,'日次ログ'!$A$5:$A$1504,"&lt;"&amp;(N$6+7)))</f>
        <v/>
      </c>
      <c r="O7" s="19">
        <f>IF($A7="","",SUM(B7:N7))</f>
        <v/>
      </c>
    </row>
    <row r="8">
      <c r="A8" s="15">
        <f>'📊ダッシュボード'!A9&amp;""</f>
        <v/>
      </c>
      <c r="B8" s="10">
        <f>IF(OR($A8="",B$6&gt;TODAY()),"",SUMIFS('日次ログ'!$D$5:$D$1504,'日次ログ'!$B$5:$B$1504,$A8,'日次ログ'!$A$5:$A$1504,"&gt;="&amp;B$6,'日次ログ'!$A$5:$A$1504,"&lt;"&amp;(B$6+7)))</f>
        <v/>
      </c>
      <c r="C8" s="10">
        <f>IF(OR($A8="",C$6&gt;TODAY()),"",SUMIFS('日次ログ'!$D$5:$D$1504,'日次ログ'!$B$5:$B$1504,$A8,'日次ログ'!$A$5:$A$1504,"&gt;="&amp;C$6,'日次ログ'!$A$5:$A$1504,"&lt;"&amp;(C$6+7)))</f>
        <v/>
      </c>
      <c r="D8" s="10">
        <f>IF(OR($A8="",D$6&gt;TODAY()),"",SUMIFS('日次ログ'!$D$5:$D$1504,'日次ログ'!$B$5:$B$1504,$A8,'日次ログ'!$A$5:$A$1504,"&gt;="&amp;D$6,'日次ログ'!$A$5:$A$1504,"&lt;"&amp;(D$6+7)))</f>
        <v/>
      </c>
      <c r="E8" s="10">
        <f>IF(OR($A8="",E$6&gt;TODAY()),"",SUMIFS('日次ログ'!$D$5:$D$1504,'日次ログ'!$B$5:$B$1504,$A8,'日次ログ'!$A$5:$A$1504,"&gt;="&amp;E$6,'日次ログ'!$A$5:$A$1504,"&lt;"&amp;(E$6+7)))</f>
        <v/>
      </c>
      <c r="F8" s="10">
        <f>IF(OR($A8="",F$6&gt;TODAY()),"",SUMIFS('日次ログ'!$D$5:$D$1504,'日次ログ'!$B$5:$B$1504,$A8,'日次ログ'!$A$5:$A$1504,"&gt;="&amp;F$6,'日次ログ'!$A$5:$A$1504,"&lt;"&amp;(F$6+7)))</f>
        <v/>
      </c>
      <c r="G8" s="10">
        <f>IF(OR($A8="",G$6&gt;TODAY()),"",SUMIFS('日次ログ'!$D$5:$D$1504,'日次ログ'!$B$5:$B$1504,$A8,'日次ログ'!$A$5:$A$1504,"&gt;="&amp;G$6,'日次ログ'!$A$5:$A$1504,"&lt;"&amp;(G$6+7)))</f>
        <v/>
      </c>
      <c r="H8" s="10">
        <f>IF(OR($A8="",H$6&gt;TODAY()),"",SUMIFS('日次ログ'!$D$5:$D$1504,'日次ログ'!$B$5:$B$1504,$A8,'日次ログ'!$A$5:$A$1504,"&gt;="&amp;H$6,'日次ログ'!$A$5:$A$1504,"&lt;"&amp;(H$6+7)))</f>
        <v/>
      </c>
      <c r="I8" s="10">
        <f>IF(OR($A8="",I$6&gt;TODAY()),"",SUMIFS('日次ログ'!$D$5:$D$1504,'日次ログ'!$B$5:$B$1504,$A8,'日次ログ'!$A$5:$A$1504,"&gt;="&amp;I$6,'日次ログ'!$A$5:$A$1504,"&lt;"&amp;(I$6+7)))</f>
        <v/>
      </c>
      <c r="J8" s="10">
        <f>IF(OR($A8="",J$6&gt;TODAY()),"",SUMIFS('日次ログ'!$D$5:$D$1504,'日次ログ'!$B$5:$B$1504,$A8,'日次ログ'!$A$5:$A$1504,"&gt;="&amp;J$6,'日次ログ'!$A$5:$A$1504,"&lt;"&amp;(J$6+7)))</f>
        <v/>
      </c>
      <c r="K8" s="10">
        <f>IF(OR($A8="",K$6&gt;TODAY()),"",SUMIFS('日次ログ'!$D$5:$D$1504,'日次ログ'!$B$5:$B$1504,$A8,'日次ログ'!$A$5:$A$1504,"&gt;="&amp;K$6,'日次ログ'!$A$5:$A$1504,"&lt;"&amp;(K$6+7)))</f>
        <v/>
      </c>
      <c r="L8" s="10">
        <f>IF(OR($A8="",L$6&gt;TODAY()),"",SUMIFS('日次ログ'!$D$5:$D$1504,'日次ログ'!$B$5:$B$1504,$A8,'日次ログ'!$A$5:$A$1504,"&gt;="&amp;L$6,'日次ログ'!$A$5:$A$1504,"&lt;"&amp;(L$6+7)))</f>
        <v/>
      </c>
      <c r="M8" s="10">
        <f>IF(OR($A8="",M$6&gt;TODAY()),"",SUMIFS('日次ログ'!$D$5:$D$1504,'日次ログ'!$B$5:$B$1504,$A8,'日次ログ'!$A$5:$A$1504,"&gt;="&amp;M$6,'日次ログ'!$A$5:$A$1504,"&lt;"&amp;(M$6+7)))</f>
        <v/>
      </c>
      <c r="N8" s="10">
        <f>IF(OR($A8="",N$6&gt;TODAY()),"",SUMIFS('日次ログ'!$D$5:$D$1504,'日次ログ'!$B$5:$B$1504,$A8,'日次ログ'!$A$5:$A$1504,"&gt;="&amp;N$6,'日次ログ'!$A$5:$A$1504,"&lt;"&amp;(N$6+7)))</f>
        <v/>
      </c>
      <c r="O8" s="19">
        <f>IF($A8="","",SUM(B8:N8))</f>
        <v/>
      </c>
    </row>
    <row r="9">
      <c r="A9" s="15">
        <f>'📊ダッシュボード'!A10&amp;""</f>
        <v/>
      </c>
      <c r="B9" s="10">
        <f>IF(OR($A9="",B$6&gt;TODAY()),"",SUMIFS('日次ログ'!$D$5:$D$1504,'日次ログ'!$B$5:$B$1504,$A9,'日次ログ'!$A$5:$A$1504,"&gt;="&amp;B$6,'日次ログ'!$A$5:$A$1504,"&lt;"&amp;(B$6+7)))</f>
        <v/>
      </c>
      <c r="C9" s="10">
        <f>IF(OR($A9="",C$6&gt;TODAY()),"",SUMIFS('日次ログ'!$D$5:$D$1504,'日次ログ'!$B$5:$B$1504,$A9,'日次ログ'!$A$5:$A$1504,"&gt;="&amp;C$6,'日次ログ'!$A$5:$A$1504,"&lt;"&amp;(C$6+7)))</f>
        <v/>
      </c>
      <c r="D9" s="10">
        <f>IF(OR($A9="",D$6&gt;TODAY()),"",SUMIFS('日次ログ'!$D$5:$D$1504,'日次ログ'!$B$5:$B$1504,$A9,'日次ログ'!$A$5:$A$1504,"&gt;="&amp;D$6,'日次ログ'!$A$5:$A$1504,"&lt;"&amp;(D$6+7)))</f>
        <v/>
      </c>
      <c r="E9" s="10">
        <f>IF(OR($A9="",E$6&gt;TODAY()),"",SUMIFS('日次ログ'!$D$5:$D$1504,'日次ログ'!$B$5:$B$1504,$A9,'日次ログ'!$A$5:$A$1504,"&gt;="&amp;E$6,'日次ログ'!$A$5:$A$1504,"&lt;"&amp;(E$6+7)))</f>
        <v/>
      </c>
      <c r="F9" s="10">
        <f>IF(OR($A9="",F$6&gt;TODAY()),"",SUMIFS('日次ログ'!$D$5:$D$1504,'日次ログ'!$B$5:$B$1504,$A9,'日次ログ'!$A$5:$A$1504,"&gt;="&amp;F$6,'日次ログ'!$A$5:$A$1504,"&lt;"&amp;(F$6+7)))</f>
        <v/>
      </c>
      <c r="G9" s="10">
        <f>IF(OR($A9="",G$6&gt;TODAY()),"",SUMIFS('日次ログ'!$D$5:$D$1504,'日次ログ'!$B$5:$B$1504,$A9,'日次ログ'!$A$5:$A$1504,"&gt;="&amp;G$6,'日次ログ'!$A$5:$A$1504,"&lt;"&amp;(G$6+7)))</f>
        <v/>
      </c>
      <c r="H9" s="10">
        <f>IF(OR($A9="",H$6&gt;TODAY()),"",SUMIFS('日次ログ'!$D$5:$D$1504,'日次ログ'!$B$5:$B$1504,$A9,'日次ログ'!$A$5:$A$1504,"&gt;="&amp;H$6,'日次ログ'!$A$5:$A$1504,"&lt;"&amp;(H$6+7)))</f>
        <v/>
      </c>
      <c r="I9" s="10">
        <f>IF(OR($A9="",I$6&gt;TODAY()),"",SUMIFS('日次ログ'!$D$5:$D$1504,'日次ログ'!$B$5:$B$1504,$A9,'日次ログ'!$A$5:$A$1504,"&gt;="&amp;I$6,'日次ログ'!$A$5:$A$1504,"&lt;"&amp;(I$6+7)))</f>
        <v/>
      </c>
      <c r="J9" s="10">
        <f>IF(OR($A9="",J$6&gt;TODAY()),"",SUMIFS('日次ログ'!$D$5:$D$1504,'日次ログ'!$B$5:$B$1504,$A9,'日次ログ'!$A$5:$A$1504,"&gt;="&amp;J$6,'日次ログ'!$A$5:$A$1504,"&lt;"&amp;(J$6+7)))</f>
        <v/>
      </c>
      <c r="K9" s="10">
        <f>IF(OR($A9="",K$6&gt;TODAY()),"",SUMIFS('日次ログ'!$D$5:$D$1504,'日次ログ'!$B$5:$B$1504,$A9,'日次ログ'!$A$5:$A$1504,"&gt;="&amp;K$6,'日次ログ'!$A$5:$A$1504,"&lt;"&amp;(K$6+7)))</f>
        <v/>
      </c>
      <c r="L9" s="10">
        <f>IF(OR($A9="",L$6&gt;TODAY()),"",SUMIFS('日次ログ'!$D$5:$D$1504,'日次ログ'!$B$5:$B$1504,$A9,'日次ログ'!$A$5:$A$1504,"&gt;="&amp;L$6,'日次ログ'!$A$5:$A$1504,"&lt;"&amp;(L$6+7)))</f>
        <v/>
      </c>
      <c r="M9" s="10">
        <f>IF(OR($A9="",M$6&gt;TODAY()),"",SUMIFS('日次ログ'!$D$5:$D$1504,'日次ログ'!$B$5:$B$1504,$A9,'日次ログ'!$A$5:$A$1504,"&gt;="&amp;M$6,'日次ログ'!$A$5:$A$1504,"&lt;"&amp;(M$6+7)))</f>
        <v/>
      </c>
      <c r="N9" s="10">
        <f>IF(OR($A9="",N$6&gt;TODAY()),"",SUMIFS('日次ログ'!$D$5:$D$1504,'日次ログ'!$B$5:$B$1504,$A9,'日次ログ'!$A$5:$A$1504,"&gt;="&amp;N$6,'日次ログ'!$A$5:$A$1504,"&lt;"&amp;(N$6+7)))</f>
        <v/>
      </c>
      <c r="O9" s="19">
        <f>IF($A9="","",SUM(B9:N9))</f>
        <v/>
      </c>
    </row>
    <row r="10">
      <c r="A10" s="15">
        <f>'📊ダッシュボード'!A11&amp;""</f>
        <v/>
      </c>
      <c r="B10" s="10">
        <f>IF(OR($A10="",B$6&gt;TODAY()),"",SUMIFS('日次ログ'!$D$5:$D$1504,'日次ログ'!$B$5:$B$1504,$A10,'日次ログ'!$A$5:$A$1504,"&gt;="&amp;B$6,'日次ログ'!$A$5:$A$1504,"&lt;"&amp;(B$6+7)))</f>
        <v/>
      </c>
      <c r="C10" s="10">
        <f>IF(OR($A10="",C$6&gt;TODAY()),"",SUMIFS('日次ログ'!$D$5:$D$1504,'日次ログ'!$B$5:$B$1504,$A10,'日次ログ'!$A$5:$A$1504,"&gt;="&amp;C$6,'日次ログ'!$A$5:$A$1504,"&lt;"&amp;(C$6+7)))</f>
        <v/>
      </c>
      <c r="D10" s="10">
        <f>IF(OR($A10="",D$6&gt;TODAY()),"",SUMIFS('日次ログ'!$D$5:$D$1504,'日次ログ'!$B$5:$B$1504,$A10,'日次ログ'!$A$5:$A$1504,"&gt;="&amp;D$6,'日次ログ'!$A$5:$A$1504,"&lt;"&amp;(D$6+7)))</f>
        <v/>
      </c>
      <c r="E10" s="10">
        <f>IF(OR($A10="",E$6&gt;TODAY()),"",SUMIFS('日次ログ'!$D$5:$D$1504,'日次ログ'!$B$5:$B$1504,$A10,'日次ログ'!$A$5:$A$1504,"&gt;="&amp;E$6,'日次ログ'!$A$5:$A$1504,"&lt;"&amp;(E$6+7)))</f>
        <v/>
      </c>
      <c r="F10" s="10">
        <f>IF(OR($A10="",F$6&gt;TODAY()),"",SUMIFS('日次ログ'!$D$5:$D$1504,'日次ログ'!$B$5:$B$1504,$A10,'日次ログ'!$A$5:$A$1504,"&gt;="&amp;F$6,'日次ログ'!$A$5:$A$1504,"&lt;"&amp;(F$6+7)))</f>
        <v/>
      </c>
      <c r="G10" s="10">
        <f>IF(OR($A10="",G$6&gt;TODAY()),"",SUMIFS('日次ログ'!$D$5:$D$1504,'日次ログ'!$B$5:$B$1504,$A10,'日次ログ'!$A$5:$A$1504,"&gt;="&amp;G$6,'日次ログ'!$A$5:$A$1504,"&lt;"&amp;(G$6+7)))</f>
        <v/>
      </c>
      <c r="H10" s="10">
        <f>IF(OR($A10="",H$6&gt;TODAY()),"",SUMIFS('日次ログ'!$D$5:$D$1504,'日次ログ'!$B$5:$B$1504,$A10,'日次ログ'!$A$5:$A$1504,"&gt;="&amp;H$6,'日次ログ'!$A$5:$A$1504,"&lt;"&amp;(H$6+7)))</f>
        <v/>
      </c>
      <c r="I10" s="10">
        <f>IF(OR($A10="",I$6&gt;TODAY()),"",SUMIFS('日次ログ'!$D$5:$D$1504,'日次ログ'!$B$5:$B$1504,$A10,'日次ログ'!$A$5:$A$1504,"&gt;="&amp;I$6,'日次ログ'!$A$5:$A$1504,"&lt;"&amp;(I$6+7)))</f>
        <v/>
      </c>
      <c r="J10" s="10">
        <f>IF(OR($A10="",J$6&gt;TODAY()),"",SUMIFS('日次ログ'!$D$5:$D$1504,'日次ログ'!$B$5:$B$1504,$A10,'日次ログ'!$A$5:$A$1504,"&gt;="&amp;J$6,'日次ログ'!$A$5:$A$1504,"&lt;"&amp;(J$6+7)))</f>
        <v/>
      </c>
      <c r="K10" s="10">
        <f>IF(OR($A10="",K$6&gt;TODAY()),"",SUMIFS('日次ログ'!$D$5:$D$1504,'日次ログ'!$B$5:$B$1504,$A10,'日次ログ'!$A$5:$A$1504,"&gt;="&amp;K$6,'日次ログ'!$A$5:$A$1504,"&lt;"&amp;(K$6+7)))</f>
        <v/>
      </c>
      <c r="L10" s="10">
        <f>IF(OR($A10="",L$6&gt;TODAY()),"",SUMIFS('日次ログ'!$D$5:$D$1504,'日次ログ'!$B$5:$B$1504,$A10,'日次ログ'!$A$5:$A$1504,"&gt;="&amp;L$6,'日次ログ'!$A$5:$A$1504,"&lt;"&amp;(L$6+7)))</f>
        <v/>
      </c>
      <c r="M10" s="10">
        <f>IF(OR($A10="",M$6&gt;TODAY()),"",SUMIFS('日次ログ'!$D$5:$D$1504,'日次ログ'!$B$5:$B$1504,$A10,'日次ログ'!$A$5:$A$1504,"&gt;="&amp;M$6,'日次ログ'!$A$5:$A$1504,"&lt;"&amp;(M$6+7)))</f>
        <v/>
      </c>
      <c r="N10" s="10">
        <f>IF(OR($A10="",N$6&gt;TODAY()),"",SUMIFS('日次ログ'!$D$5:$D$1504,'日次ログ'!$B$5:$B$1504,$A10,'日次ログ'!$A$5:$A$1504,"&gt;="&amp;N$6,'日次ログ'!$A$5:$A$1504,"&lt;"&amp;(N$6+7)))</f>
        <v/>
      </c>
      <c r="O10" s="19">
        <f>IF($A10="","",SUM(B10:N10))</f>
        <v/>
      </c>
    </row>
    <row r="11">
      <c r="A11" s="15">
        <f>'📊ダッシュボード'!A12&amp;""</f>
        <v/>
      </c>
      <c r="B11" s="10">
        <f>IF(OR($A11="",B$6&gt;TODAY()),"",SUMIFS('日次ログ'!$D$5:$D$1504,'日次ログ'!$B$5:$B$1504,$A11,'日次ログ'!$A$5:$A$1504,"&gt;="&amp;B$6,'日次ログ'!$A$5:$A$1504,"&lt;"&amp;(B$6+7)))</f>
        <v/>
      </c>
      <c r="C11" s="10">
        <f>IF(OR($A11="",C$6&gt;TODAY()),"",SUMIFS('日次ログ'!$D$5:$D$1504,'日次ログ'!$B$5:$B$1504,$A11,'日次ログ'!$A$5:$A$1504,"&gt;="&amp;C$6,'日次ログ'!$A$5:$A$1504,"&lt;"&amp;(C$6+7)))</f>
        <v/>
      </c>
      <c r="D11" s="10">
        <f>IF(OR($A11="",D$6&gt;TODAY()),"",SUMIFS('日次ログ'!$D$5:$D$1504,'日次ログ'!$B$5:$B$1504,$A11,'日次ログ'!$A$5:$A$1504,"&gt;="&amp;D$6,'日次ログ'!$A$5:$A$1504,"&lt;"&amp;(D$6+7)))</f>
        <v/>
      </c>
      <c r="E11" s="10">
        <f>IF(OR($A11="",E$6&gt;TODAY()),"",SUMIFS('日次ログ'!$D$5:$D$1504,'日次ログ'!$B$5:$B$1504,$A11,'日次ログ'!$A$5:$A$1504,"&gt;="&amp;E$6,'日次ログ'!$A$5:$A$1504,"&lt;"&amp;(E$6+7)))</f>
        <v/>
      </c>
      <c r="F11" s="10">
        <f>IF(OR($A11="",F$6&gt;TODAY()),"",SUMIFS('日次ログ'!$D$5:$D$1504,'日次ログ'!$B$5:$B$1504,$A11,'日次ログ'!$A$5:$A$1504,"&gt;="&amp;F$6,'日次ログ'!$A$5:$A$1504,"&lt;"&amp;(F$6+7)))</f>
        <v/>
      </c>
      <c r="G11" s="10">
        <f>IF(OR($A11="",G$6&gt;TODAY()),"",SUMIFS('日次ログ'!$D$5:$D$1504,'日次ログ'!$B$5:$B$1504,$A11,'日次ログ'!$A$5:$A$1504,"&gt;="&amp;G$6,'日次ログ'!$A$5:$A$1504,"&lt;"&amp;(G$6+7)))</f>
        <v/>
      </c>
      <c r="H11" s="10">
        <f>IF(OR($A11="",H$6&gt;TODAY()),"",SUMIFS('日次ログ'!$D$5:$D$1504,'日次ログ'!$B$5:$B$1504,$A11,'日次ログ'!$A$5:$A$1504,"&gt;="&amp;H$6,'日次ログ'!$A$5:$A$1504,"&lt;"&amp;(H$6+7)))</f>
        <v/>
      </c>
      <c r="I11" s="10">
        <f>IF(OR($A11="",I$6&gt;TODAY()),"",SUMIFS('日次ログ'!$D$5:$D$1504,'日次ログ'!$B$5:$B$1504,$A11,'日次ログ'!$A$5:$A$1504,"&gt;="&amp;I$6,'日次ログ'!$A$5:$A$1504,"&lt;"&amp;(I$6+7)))</f>
        <v/>
      </c>
      <c r="J11" s="10">
        <f>IF(OR($A11="",J$6&gt;TODAY()),"",SUMIFS('日次ログ'!$D$5:$D$1504,'日次ログ'!$B$5:$B$1504,$A11,'日次ログ'!$A$5:$A$1504,"&gt;="&amp;J$6,'日次ログ'!$A$5:$A$1504,"&lt;"&amp;(J$6+7)))</f>
        <v/>
      </c>
      <c r="K11" s="10">
        <f>IF(OR($A11="",K$6&gt;TODAY()),"",SUMIFS('日次ログ'!$D$5:$D$1504,'日次ログ'!$B$5:$B$1504,$A11,'日次ログ'!$A$5:$A$1504,"&gt;="&amp;K$6,'日次ログ'!$A$5:$A$1504,"&lt;"&amp;(K$6+7)))</f>
        <v/>
      </c>
      <c r="L11" s="10">
        <f>IF(OR($A11="",L$6&gt;TODAY()),"",SUMIFS('日次ログ'!$D$5:$D$1504,'日次ログ'!$B$5:$B$1504,$A11,'日次ログ'!$A$5:$A$1504,"&gt;="&amp;L$6,'日次ログ'!$A$5:$A$1504,"&lt;"&amp;(L$6+7)))</f>
        <v/>
      </c>
      <c r="M11" s="10">
        <f>IF(OR($A11="",M$6&gt;TODAY()),"",SUMIFS('日次ログ'!$D$5:$D$1504,'日次ログ'!$B$5:$B$1504,$A11,'日次ログ'!$A$5:$A$1504,"&gt;="&amp;M$6,'日次ログ'!$A$5:$A$1504,"&lt;"&amp;(M$6+7)))</f>
        <v/>
      </c>
      <c r="N11" s="10">
        <f>IF(OR($A11="",N$6&gt;TODAY()),"",SUMIFS('日次ログ'!$D$5:$D$1504,'日次ログ'!$B$5:$B$1504,$A11,'日次ログ'!$A$5:$A$1504,"&gt;="&amp;N$6,'日次ログ'!$A$5:$A$1504,"&lt;"&amp;(N$6+7)))</f>
        <v/>
      </c>
      <c r="O11" s="19">
        <f>IF($A11="","",SUM(B11:N11))</f>
        <v/>
      </c>
    </row>
    <row r="12">
      <c r="A12" s="15">
        <f>'📊ダッシュボード'!A13&amp;""</f>
        <v/>
      </c>
      <c r="B12" s="10">
        <f>IF(OR($A12="",B$6&gt;TODAY()),"",SUMIFS('日次ログ'!$D$5:$D$1504,'日次ログ'!$B$5:$B$1504,$A12,'日次ログ'!$A$5:$A$1504,"&gt;="&amp;B$6,'日次ログ'!$A$5:$A$1504,"&lt;"&amp;(B$6+7)))</f>
        <v/>
      </c>
      <c r="C12" s="10">
        <f>IF(OR($A12="",C$6&gt;TODAY()),"",SUMIFS('日次ログ'!$D$5:$D$1504,'日次ログ'!$B$5:$B$1504,$A12,'日次ログ'!$A$5:$A$1504,"&gt;="&amp;C$6,'日次ログ'!$A$5:$A$1504,"&lt;"&amp;(C$6+7)))</f>
        <v/>
      </c>
      <c r="D12" s="10">
        <f>IF(OR($A12="",D$6&gt;TODAY()),"",SUMIFS('日次ログ'!$D$5:$D$1504,'日次ログ'!$B$5:$B$1504,$A12,'日次ログ'!$A$5:$A$1504,"&gt;="&amp;D$6,'日次ログ'!$A$5:$A$1504,"&lt;"&amp;(D$6+7)))</f>
        <v/>
      </c>
      <c r="E12" s="10">
        <f>IF(OR($A12="",E$6&gt;TODAY()),"",SUMIFS('日次ログ'!$D$5:$D$1504,'日次ログ'!$B$5:$B$1504,$A12,'日次ログ'!$A$5:$A$1504,"&gt;="&amp;E$6,'日次ログ'!$A$5:$A$1504,"&lt;"&amp;(E$6+7)))</f>
        <v/>
      </c>
      <c r="F12" s="10">
        <f>IF(OR($A12="",F$6&gt;TODAY()),"",SUMIFS('日次ログ'!$D$5:$D$1504,'日次ログ'!$B$5:$B$1504,$A12,'日次ログ'!$A$5:$A$1504,"&gt;="&amp;F$6,'日次ログ'!$A$5:$A$1504,"&lt;"&amp;(F$6+7)))</f>
        <v/>
      </c>
      <c r="G12" s="10">
        <f>IF(OR($A12="",G$6&gt;TODAY()),"",SUMIFS('日次ログ'!$D$5:$D$1504,'日次ログ'!$B$5:$B$1504,$A12,'日次ログ'!$A$5:$A$1504,"&gt;="&amp;G$6,'日次ログ'!$A$5:$A$1504,"&lt;"&amp;(G$6+7)))</f>
        <v/>
      </c>
      <c r="H12" s="10">
        <f>IF(OR($A12="",H$6&gt;TODAY()),"",SUMIFS('日次ログ'!$D$5:$D$1504,'日次ログ'!$B$5:$B$1504,$A12,'日次ログ'!$A$5:$A$1504,"&gt;="&amp;H$6,'日次ログ'!$A$5:$A$1504,"&lt;"&amp;(H$6+7)))</f>
        <v/>
      </c>
      <c r="I12" s="10">
        <f>IF(OR($A12="",I$6&gt;TODAY()),"",SUMIFS('日次ログ'!$D$5:$D$1504,'日次ログ'!$B$5:$B$1504,$A12,'日次ログ'!$A$5:$A$1504,"&gt;="&amp;I$6,'日次ログ'!$A$5:$A$1504,"&lt;"&amp;(I$6+7)))</f>
        <v/>
      </c>
      <c r="J12" s="10">
        <f>IF(OR($A12="",J$6&gt;TODAY()),"",SUMIFS('日次ログ'!$D$5:$D$1504,'日次ログ'!$B$5:$B$1504,$A12,'日次ログ'!$A$5:$A$1504,"&gt;="&amp;J$6,'日次ログ'!$A$5:$A$1504,"&lt;"&amp;(J$6+7)))</f>
        <v/>
      </c>
      <c r="K12" s="10">
        <f>IF(OR($A12="",K$6&gt;TODAY()),"",SUMIFS('日次ログ'!$D$5:$D$1504,'日次ログ'!$B$5:$B$1504,$A12,'日次ログ'!$A$5:$A$1504,"&gt;="&amp;K$6,'日次ログ'!$A$5:$A$1504,"&lt;"&amp;(K$6+7)))</f>
        <v/>
      </c>
      <c r="L12" s="10">
        <f>IF(OR($A12="",L$6&gt;TODAY()),"",SUMIFS('日次ログ'!$D$5:$D$1504,'日次ログ'!$B$5:$B$1504,$A12,'日次ログ'!$A$5:$A$1504,"&gt;="&amp;L$6,'日次ログ'!$A$5:$A$1504,"&lt;"&amp;(L$6+7)))</f>
        <v/>
      </c>
      <c r="M12" s="10">
        <f>IF(OR($A12="",M$6&gt;TODAY()),"",SUMIFS('日次ログ'!$D$5:$D$1504,'日次ログ'!$B$5:$B$1504,$A12,'日次ログ'!$A$5:$A$1504,"&gt;="&amp;M$6,'日次ログ'!$A$5:$A$1504,"&lt;"&amp;(M$6+7)))</f>
        <v/>
      </c>
      <c r="N12" s="10">
        <f>IF(OR($A12="",N$6&gt;TODAY()),"",SUMIFS('日次ログ'!$D$5:$D$1504,'日次ログ'!$B$5:$B$1504,$A12,'日次ログ'!$A$5:$A$1504,"&gt;="&amp;N$6,'日次ログ'!$A$5:$A$1504,"&lt;"&amp;(N$6+7)))</f>
        <v/>
      </c>
      <c r="O12" s="19">
        <f>IF($A12="","",SUM(B12:N12))</f>
        <v/>
      </c>
    </row>
    <row r="13">
      <c r="A13" s="15">
        <f>'📊ダッシュボード'!A14&amp;""</f>
        <v/>
      </c>
      <c r="B13" s="10">
        <f>IF(OR($A13="",B$6&gt;TODAY()),"",SUMIFS('日次ログ'!$D$5:$D$1504,'日次ログ'!$B$5:$B$1504,$A13,'日次ログ'!$A$5:$A$1504,"&gt;="&amp;B$6,'日次ログ'!$A$5:$A$1504,"&lt;"&amp;(B$6+7)))</f>
        <v/>
      </c>
      <c r="C13" s="10">
        <f>IF(OR($A13="",C$6&gt;TODAY()),"",SUMIFS('日次ログ'!$D$5:$D$1504,'日次ログ'!$B$5:$B$1504,$A13,'日次ログ'!$A$5:$A$1504,"&gt;="&amp;C$6,'日次ログ'!$A$5:$A$1504,"&lt;"&amp;(C$6+7)))</f>
        <v/>
      </c>
      <c r="D13" s="10">
        <f>IF(OR($A13="",D$6&gt;TODAY()),"",SUMIFS('日次ログ'!$D$5:$D$1504,'日次ログ'!$B$5:$B$1504,$A13,'日次ログ'!$A$5:$A$1504,"&gt;="&amp;D$6,'日次ログ'!$A$5:$A$1504,"&lt;"&amp;(D$6+7)))</f>
        <v/>
      </c>
      <c r="E13" s="10">
        <f>IF(OR($A13="",E$6&gt;TODAY()),"",SUMIFS('日次ログ'!$D$5:$D$1504,'日次ログ'!$B$5:$B$1504,$A13,'日次ログ'!$A$5:$A$1504,"&gt;="&amp;E$6,'日次ログ'!$A$5:$A$1504,"&lt;"&amp;(E$6+7)))</f>
        <v/>
      </c>
      <c r="F13" s="10">
        <f>IF(OR($A13="",F$6&gt;TODAY()),"",SUMIFS('日次ログ'!$D$5:$D$1504,'日次ログ'!$B$5:$B$1504,$A13,'日次ログ'!$A$5:$A$1504,"&gt;="&amp;F$6,'日次ログ'!$A$5:$A$1504,"&lt;"&amp;(F$6+7)))</f>
        <v/>
      </c>
      <c r="G13" s="10">
        <f>IF(OR($A13="",G$6&gt;TODAY()),"",SUMIFS('日次ログ'!$D$5:$D$1504,'日次ログ'!$B$5:$B$1504,$A13,'日次ログ'!$A$5:$A$1504,"&gt;="&amp;G$6,'日次ログ'!$A$5:$A$1504,"&lt;"&amp;(G$6+7)))</f>
        <v/>
      </c>
      <c r="H13" s="10">
        <f>IF(OR($A13="",H$6&gt;TODAY()),"",SUMIFS('日次ログ'!$D$5:$D$1504,'日次ログ'!$B$5:$B$1504,$A13,'日次ログ'!$A$5:$A$1504,"&gt;="&amp;H$6,'日次ログ'!$A$5:$A$1504,"&lt;"&amp;(H$6+7)))</f>
        <v/>
      </c>
      <c r="I13" s="10">
        <f>IF(OR($A13="",I$6&gt;TODAY()),"",SUMIFS('日次ログ'!$D$5:$D$1504,'日次ログ'!$B$5:$B$1504,$A13,'日次ログ'!$A$5:$A$1504,"&gt;="&amp;I$6,'日次ログ'!$A$5:$A$1504,"&lt;"&amp;(I$6+7)))</f>
        <v/>
      </c>
      <c r="J13" s="10">
        <f>IF(OR($A13="",J$6&gt;TODAY()),"",SUMIFS('日次ログ'!$D$5:$D$1504,'日次ログ'!$B$5:$B$1504,$A13,'日次ログ'!$A$5:$A$1504,"&gt;="&amp;J$6,'日次ログ'!$A$5:$A$1504,"&lt;"&amp;(J$6+7)))</f>
        <v/>
      </c>
      <c r="K13" s="10">
        <f>IF(OR($A13="",K$6&gt;TODAY()),"",SUMIFS('日次ログ'!$D$5:$D$1504,'日次ログ'!$B$5:$B$1504,$A13,'日次ログ'!$A$5:$A$1504,"&gt;="&amp;K$6,'日次ログ'!$A$5:$A$1504,"&lt;"&amp;(K$6+7)))</f>
        <v/>
      </c>
      <c r="L13" s="10">
        <f>IF(OR($A13="",L$6&gt;TODAY()),"",SUMIFS('日次ログ'!$D$5:$D$1504,'日次ログ'!$B$5:$B$1504,$A13,'日次ログ'!$A$5:$A$1504,"&gt;="&amp;L$6,'日次ログ'!$A$5:$A$1504,"&lt;"&amp;(L$6+7)))</f>
        <v/>
      </c>
      <c r="M13" s="10">
        <f>IF(OR($A13="",M$6&gt;TODAY()),"",SUMIFS('日次ログ'!$D$5:$D$1504,'日次ログ'!$B$5:$B$1504,$A13,'日次ログ'!$A$5:$A$1504,"&gt;="&amp;M$6,'日次ログ'!$A$5:$A$1504,"&lt;"&amp;(M$6+7)))</f>
        <v/>
      </c>
      <c r="N13" s="10">
        <f>IF(OR($A13="",N$6&gt;TODAY()),"",SUMIFS('日次ログ'!$D$5:$D$1504,'日次ログ'!$B$5:$B$1504,$A13,'日次ログ'!$A$5:$A$1504,"&gt;="&amp;N$6,'日次ログ'!$A$5:$A$1504,"&lt;"&amp;(N$6+7)))</f>
        <v/>
      </c>
      <c r="O13" s="19">
        <f>IF($A13="","",SUM(B13:N13))</f>
        <v/>
      </c>
    </row>
    <row r="14">
      <c r="A14" s="15">
        <f>'📊ダッシュボード'!A15&amp;""</f>
        <v/>
      </c>
      <c r="B14" s="10">
        <f>IF(OR($A14="",B$6&gt;TODAY()),"",SUMIFS('日次ログ'!$D$5:$D$1504,'日次ログ'!$B$5:$B$1504,$A14,'日次ログ'!$A$5:$A$1504,"&gt;="&amp;B$6,'日次ログ'!$A$5:$A$1504,"&lt;"&amp;(B$6+7)))</f>
        <v/>
      </c>
      <c r="C14" s="10">
        <f>IF(OR($A14="",C$6&gt;TODAY()),"",SUMIFS('日次ログ'!$D$5:$D$1504,'日次ログ'!$B$5:$B$1504,$A14,'日次ログ'!$A$5:$A$1504,"&gt;="&amp;C$6,'日次ログ'!$A$5:$A$1504,"&lt;"&amp;(C$6+7)))</f>
        <v/>
      </c>
      <c r="D14" s="10">
        <f>IF(OR($A14="",D$6&gt;TODAY()),"",SUMIFS('日次ログ'!$D$5:$D$1504,'日次ログ'!$B$5:$B$1504,$A14,'日次ログ'!$A$5:$A$1504,"&gt;="&amp;D$6,'日次ログ'!$A$5:$A$1504,"&lt;"&amp;(D$6+7)))</f>
        <v/>
      </c>
      <c r="E14" s="10">
        <f>IF(OR($A14="",E$6&gt;TODAY()),"",SUMIFS('日次ログ'!$D$5:$D$1504,'日次ログ'!$B$5:$B$1504,$A14,'日次ログ'!$A$5:$A$1504,"&gt;="&amp;E$6,'日次ログ'!$A$5:$A$1504,"&lt;"&amp;(E$6+7)))</f>
        <v/>
      </c>
      <c r="F14" s="10">
        <f>IF(OR($A14="",F$6&gt;TODAY()),"",SUMIFS('日次ログ'!$D$5:$D$1504,'日次ログ'!$B$5:$B$1504,$A14,'日次ログ'!$A$5:$A$1504,"&gt;="&amp;F$6,'日次ログ'!$A$5:$A$1504,"&lt;"&amp;(F$6+7)))</f>
        <v/>
      </c>
      <c r="G14" s="10">
        <f>IF(OR($A14="",G$6&gt;TODAY()),"",SUMIFS('日次ログ'!$D$5:$D$1504,'日次ログ'!$B$5:$B$1504,$A14,'日次ログ'!$A$5:$A$1504,"&gt;="&amp;G$6,'日次ログ'!$A$5:$A$1504,"&lt;"&amp;(G$6+7)))</f>
        <v/>
      </c>
      <c r="H14" s="10">
        <f>IF(OR($A14="",H$6&gt;TODAY()),"",SUMIFS('日次ログ'!$D$5:$D$1504,'日次ログ'!$B$5:$B$1504,$A14,'日次ログ'!$A$5:$A$1504,"&gt;="&amp;H$6,'日次ログ'!$A$5:$A$1504,"&lt;"&amp;(H$6+7)))</f>
        <v/>
      </c>
      <c r="I14" s="10">
        <f>IF(OR($A14="",I$6&gt;TODAY()),"",SUMIFS('日次ログ'!$D$5:$D$1504,'日次ログ'!$B$5:$B$1504,$A14,'日次ログ'!$A$5:$A$1504,"&gt;="&amp;I$6,'日次ログ'!$A$5:$A$1504,"&lt;"&amp;(I$6+7)))</f>
        <v/>
      </c>
      <c r="J14" s="10">
        <f>IF(OR($A14="",J$6&gt;TODAY()),"",SUMIFS('日次ログ'!$D$5:$D$1504,'日次ログ'!$B$5:$B$1504,$A14,'日次ログ'!$A$5:$A$1504,"&gt;="&amp;J$6,'日次ログ'!$A$5:$A$1504,"&lt;"&amp;(J$6+7)))</f>
        <v/>
      </c>
      <c r="K14" s="10">
        <f>IF(OR($A14="",K$6&gt;TODAY()),"",SUMIFS('日次ログ'!$D$5:$D$1504,'日次ログ'!$B$5:$B$1504,$A14,'日次ログ'!$A$5:$A$1504,"&gt;="&amp;K$6,'日次ログ'!$A$5:$A$1504,"&lt;"&amp;(K$6+7)))</f>
        <v/>
      </c>
      <c r="L14" s="10">
        <f>IF(OR($A14="",L$6&gt;TODAY()),"",SUMIFS('日次ログ'!$D$5:$D$1504,'日次ログ'!$B$5:$B$1504,$A14,'日次ログ'!$A$5:$A$1504,"&gt;="&amp;L$6,'日次ログ'!$A$5:$A$1504,"&lt;"&amp;(L$6+7)))</f>
        <v/>
      </c>
      <c r="M14" s="10">
        <f>IF(OR($A14="",M$6&gt;TODAY()),"",SUMIFS('日次ログ'!$D$5:$D$1504,'日次ログ'!$B$5:$B$1504,$A14,'日次ログ'!$A$5:$A$1504,"&gt;="&amp;M$6,'日次ログ'!$A$5:$A$1504,"&lt;"&amp;(M$6+7)))</f>
        <v/>
      </c>
      <c r="N14" s="10">
        <f>IF(OR($A14="",N$6&gt;TODAY()),"",SUMIFS('日次ログ'!$D$5:$D$1504,'日次ログ'!$B$5:$B$1504,$A14,'日次ログ'!$A$5:$A$1504,"&gt;="&amp;N$6,'日次ログ'!$A$5:$A$1504,"&lt;"&amp;(N$6+7)))</f>
        <v/>
      </c>
      <c r="O14" s="19">
        <f>IF($A14="","",SUM(B14:N14))</f>
        <v/>
      </c>
    </row>
    <row r="15">
      <c r="A15" s="15">
        <f>'📊ダッシュボード'!A16&amp;""</f>
        <v/>
      </c>
      <c r="B15" s="10">
        <f>IF(OR($A15="",B$6&gt;TODAY()),"",SUMIFS('日次ログ'!$D$5:$D$1504,'日次ログ'!$B$5:$B$1504,$A15,'日次ログ'!$A$5:$A$1504,"&gt;="&amp;B$6,'日次ログ'!$A$5:$A$1504,"&lt;"&amp;(B$6+7)))</f>
        <v/>
      </c>
      <c r="C15" s="10">
        <f>IF(OR($A15="",C$6&gt;TODAY()),"",SUMIFS('日次ログ'!$D$5:$D$1504,'日次ログ'!$B$5:$B$1504,$A15,'日次ログ'!$A$5:$A$1504,"&gt;="&amp;C$6,'日次ログ'!$A$5:$A$1504,"&lt;"&amp;(C$6+7)))</f>
        <v/>
      </c>
      <c r="D15" s="10">
        <f>IF(OR($A15="",D$6&gt;TODAY()),"",SUMIFS('日次ログ'!$D$5:$D$1504,'日次ログ'!$B$5:$B$1504,$A15,'日次ログ'!$A$5:$A$1504,"&gt;="&amp;D$6,'日次ログ'!$A$5:$A$1504,"&lt;"&amp;(D$6+7)))</f>
        <v/>
      </c>
      <c r="E15" s="10">
        <f>IF(OR($A15="",E$6&gt;TODAY()),"",SUMIFS('日次ログ'!$D$5:$D$1504,'日次ログ'!$B$5:$B$1504,$A15,'日次ログ'!$A$5:$A$1504,"&gt;="&amp;E$6,'日次ログ'!$A$5:$A$1504,"&lt;"&amp;(E$6+7)))</f>
        <v/>
      </c>
      <c r="F15" s="10">
        <f>IF(OR($A15="",F$6&gt;TODAY()),"",SUMIFS('日次ログ'!$D$5:$D$1504,'日次ログ'!$B$5:$B$1504,$A15,'日次ログ'!$A$5:$A$1504,"&gt;="&amp;F$6,'日次ログ'!$A$5:$A$1504,"&lt;"&amp;(F$6+7)))</f>
        <v/>
      </c>
      <c r="G15" s="10">
        <f>IF(OR($A15="",G$6&gt;TODAY()),"",SUMIFS('日次ログ'!$D$5:$D$1504,'日次ログ'!$B$5:$B$1504,$A15,'日次ログ'!$A$5:$A$1504,"&gt;="&amp;G$6,'日次ログ'!$A$5:$A$1504,"&lt;"&amp;(G$6+7)))</f>
        <v/>
      </c>
      <c r="H15" s="10">
        <f>IF(OR($A15="",H$6&gt;TODAY()),"",SUMIFS('日次ログ'!$D$5:$D$1504,'日次ログ'!$B$5:$B$1504,$A15,'日次ログ'!$A$5:$A$1504,"&gt;="&amp;H$6,'日次ログ'!$A$5:$A$1504,"&lt;"&amp;(H$6+7)))</f>
        <v/>
      </c>
      <c r="I15" s="10">
        <f>IF(OR($A15="",I$6&gt;TODAY()),"",SUMIFS('日次ログ'!$D$5:$D$1504,'日次ログ'!$B$5:$B$1504,$A15,'日次ログ'!$A$5:$A$1504,"&gt;="&amp;I$6,'日次ログ'!$A$5:$A$1504,"&lt;"&amp;(I$6+7)))</f>
        <v/>
      </c>
      <c r="J15" s="10">
        <f>IF(OR($A15="",J$6&gt;TODAY()),"",SUMIFS('日次ログ'!$D$5:$D$1504,'日次ログ'!$B$5:$B$1504,$A15,'日次ログ'!$A$5:$A$1504,"&gt;="&amp;J$6,'日次ログ'!$A$5:$A$1504,"&lt;"&amp;(J$6+7)))</f>
        <v/>
      </c>
      <c r="K15" s="10">
        <f>IF(OR($A15="",K$6&gt;TODAY()),"",SUMIFS('日次ログ'!$D$5:$D$1504,'日次ログ'!$B$5:$B$1504,$A15,'日次ログ'!$A$5:$A$1504,"&gt;="&amp;K$6,'日次ログ'!$A$5:$A$1504,"&lt;"&amp;(K$6+7)))</f>
        <v/>
      </c>
      <c r="L15" s="10">
        <f>IF(OR($A15="",L$6&gt;TODAY()),"",SUMIFS('日次ログ'!$D$5:$D$1504,'日次ログ'!$B$5:$B$1504,$A15,'日次ログ'!$A$5:$A$1504,"&gt;="&amp;L$6,'日次ログ'!$A$5:$A$1504,"&lt;"&amp;(L$6+7)))</f>
        <v/>
      </c>
      <c r="M15" s="10">
        <f>IF(OR($A15="",M$6&gt;TODAY()),"",SUMIFS('日次ログ'!$D$5:$D$1504,'日次ログ'!$B$5:$B$1504,$A15,'日次ログ'!$A$5:$A$1504,"&gt;="&amp;M$6,'日次ログ'!$A$5:$A$1504,"&lt;"&amp;(M$6+7)))</f>
        <v/>
      </c>
      <c r="N15" s="10">
        <f>IF(OR($A15="",N$6&gt;TODAY()),"",SUMIFS('日次ログ'!$D$5:$D$1504,'日次ログ'!$B$5:$B$1504,$A15,'日次ログ'!$A$5:$A$1504,"&gt;="&amp;N$6,'日次ログ'!$A$5:$A$1504,"&lt;"&amp;(N$6+7)))</f>
        <v/>
      </c>
      <c r="O15" s="19">
        <f>IF($A15="","",SUM(B15:N15))</f>
        <v/>
      </c>
    </row>
    <row r="16">
      <c r="A16" s="15">
        <f>'📊ダッシュボード'!A17&amp;""</f>
        <v/>
      </c>
      <c r="B16" s="10">
        <f>IF(OR($A16="",B$6&gt;TODAY()),"",SUMIFS('日次ログ'!$D$5:$D$1504,'日次ログ'!$B$5:$B$1504,$A16,'日次ログ'!$A$5:$A$1504,"&gt;="&amp;B$6,'日次ログ'!$A$5:$A$1504,"&lt;"&amp;(B$6+7)))</f>
        <v/>
      </c>
      <c r="C16" s="10">
        <f>IF(OR($A16="",C$6&gt;TODAY()),"",SUMIFS('日次ログ'!$D$5:$D$1504,'日次ログ'!$B$5:$B$1504,$A16,'日次ログ'!$A$5:$A$1504,"&gt;="&amp;C$6,'日次ログ'!$A$5:$A$1504,"&lt;"&amp;(C$6+7)))</f>
        <v/>
      </c>
      <c r="D16" s="10">
        <f>IF(OR($A16="",D$6&gt;TODAY()),"",SUMIFS('日次ログ'!$D$5:$D$1504,'日次ログ'!$B$5:$B$1504,$A16,'日次ログ'!$A$5:$A$1504,"&gt;="&amp;D$6,'日次ログ'!$A$5:$A$1504,"&lt;"&amp;(D$6+7)))</f>
        <v/>
      </c>
      <c r="E16" s="10">
        <f>IF(OR($A16="",E$6&gt;TODAY()),"",SUMIFS('日次ログ'!$D$5:$D$1504,'日次ログ'!$B$5:$B$1504,$A16,'日次ログ'!$A$5:$A$1504,"&gt;="&amp;E$6,'日次ログ'!$A$5:$A$1504,"&lt;"&amp;(E$6+7)))</f>
        <v/>
      </c>
      <c r="F16" s="10">
        <f>IF(OR($A16="",F$6&gt;TODAY()),"",SUMIFS('日次ログ'!$D$5:$D$1504,'日次ログ'!$B$5:$B$1504,$A16,'日次ログ'!$A$5:$A$1504,"&gt;="&amp;F$6,'日次ログ'!$A$5:$A$1504,"&lt;"&amp;(F$6+7)))</f>
        <v/>
      </c>
      <c r="G16" s="10">
        <f>IF(OR($A16="",G$6&gt;TODAY()),"",SUMIFS('日次ログ'!$D$5:$D$1504,'日次ログ'!$B$5:$B$1504,$A16,'日次ログ'!$A$5:$A$1504,"&gt;="&amp;G$6,'日次ログ'!$A$5:$A$1504,"&lt;"&amp;(G$6+7)))</f>
        <v/>
      </c>
      <c r="H16" s="10">
        <f>IF(OR($A16="",H$6&gt;TODAY()),"",SUMIFS('日次ログ'!$D$5:$D$1504,'日次ログ'!$B$5:$B$1504,$A16,'日次ログ'!$A$5:$A$1504,"&gt;="&amp;H$6,'日次ログ'!$A$5:$A$1504,"&lt;"&amp;(H$6+7)))</f>
        <v/>
      </c>
      <c r="I16" s="10">
        <f>IF(OR($A16="",I$6&gt;TODAY()),"",SUMIFS('日次ログ'!$D$5:$D$1504,'日次ログ'!$B$5:$B$1504,$A16,'日次ログ'!$A$5:$A$1504,"&gt;="&amp;I$6,'日次ログ'!$A$5:$A$1504,"&lt;"&amp;(I$6+7)))</f>
        <v/>
      </c>
      <c r="J16" s="10">
        <f>IF(OR($A16="",J$6&gt;TODAY()),"",SUMIFS('日次ログ'!$D$5:$D$1504,'日次ログ'!$B$5:$B$1504,$A16,'日次ログ'!$A$5:$A$1504,"&gt;="&amp;J$6,'日次ログ'!$A$5:$A$1504,"&lt;"&amp;(J$6+7)))</f>
        <v/>
      </c>
      <c r="K16" s="10">
        <f>IF(OR($A16="",K$6&gt;TODAY()),"",SUMIFS('日次ログ'!$D$5:$D$1504,'日次ログ'!$B$5:$B$1504,$A16,'日次ログ'!$A$5:$A$1504,"&gt;="&amp;K$6,'日次ログ'!$A$5:$A$1504,"&lt;"&amp;(K$6+7)))</f>
        <v/>
      </c>
      <c r="L16" s="10">
        <f>IF(OR($A16="",L$6&gt;TODAY()),"",SUMIFS('日次ログ'!$D$5:$D$1504,'日次ログ'!$B$5:$B$1504,$A16,'日次ログ'!$A$5:$A$1504,"&gt;="&amp;L$6,'日次ログ'!$A$5:$A$1504,"&lt;"&amp;(L$6+7)))</f>
        <v/>
      </c>
      <c r="M16" s="10">
        <f>IF(OR($A16="",M$6&gt;TODAY()),"",SUMIFS('日次ログ'!$D$5:$D$1504,'日次ログ'!$B$5:$B$1504,$A16,'日次ログ'!$A$5:$A$1504,"&gt;="&amp;M$6,'日次ログ'!$A$5:$A$1504,"&lt;"&amp;(M$6+7)))</f>
        <v/>
      </c>
      <c r="N16" s="10">
        <f>IF(OR($A16="",N$6&gt;TODAY()),"",SUMIFS('日次ログ'!$D$5:$D$1504,'日次ログ'!$B$5:$B$1504,$A16,'日次ログ'!$A$5:$A$1504,"&gt;="&amp;N$6,'日次ログ'!$A$5:$A$1504,"&lt;"&amp;(N$6+7)))</f>
        <v/>
      </c>
      <c r="O16" s="19">
        <f>IF($A16="","",SUM(B16:N16))</f>
        <v/>
      </c>
    </row>
    <row r="17">
      <c r="A17" s="15">
        <f>'📊ダッシュボード'!A18&amp;""</f>
        <v/>
      </c>
      <c r="B17" s="10">
        <f>IF(OR($A17="",B$6&gt;TODAY()),"",SUMIFS('日次ログ'!$D$5:$D$1504,'日次ログ'!$B$5:$B$1504,$A17,'日次ログ'!$A$5:$A$1504,"&gt;="&amp;B$6,'日次ログ'!$A$5:$A$1504,"&lt;"&amp;(B$6+7)))</f>
        <v/>
      </c>
      <c r="C17" s="10">
        <f>IF(OR($A17="",C$6&gt;TODAY()),"",SUMIFS('日次ログ'!$D$5:$D$1504,'日次ログ'!$B$5:$B$1504,$A17,'日次ログ'!$A$5:$A$1504,"&gt;="&amp;C$6,'日次ログ'!$A$5:$A$1504,"&lt;"&amp;(C$6+7)))</f>
        <v/>
      </c>
      <c r="D17" s="10">
        <f>IF(OR($A17="",D$6&gt;TODAY()),"",SUMIFS('日次ログ'!$D$5:$D$1504,'日次ログ'!$B$5:$B$1504,$A17,'日次ログ'!$A$5:$A$1504,"&gt;="&amp;D$6,'日次ログ'!$A$5:$A$1504,"&lt;"&amp;(D$6+7)))</f>
        <v/>
      </c>
      <c r="E17" s="10">
        <f>IF(OR($A17="",E$6&gt;TODAY()),"",SUMIFS('日次ログ'!$D$5:$D$1504,'日次ログ'!$B$5:$B$1504,$A17,'日次ログ'!$A$5:$A$1504,"&gt;="&amp;E$6,'日次ログ'!$A$5:$A$1504,"&lt;"&amp;(E$6+7)))</f>
        <v/>
      </c>
      <c r="F17" s="10">
        <f>IF(OR($A17="",F$6&gt;TODAY()),"",SUMIFS('日次ログ'!$D$5:$D$1504,'日次ログ'!$B$5:$B$1504,$A17,'日次ログ'!$A$5:$A$1504,"&gt;="&amp;F$6,'日次ログ'!$A$5:$A$1504,"&lt;"&amp;(F$6+7)))</f>
        <v/>
      </c>
      <c r="G17" s="10">
        <f>IF(OR($A17="",G$6&gt;TODAY()),"",SUMIFS('日次ログ'!$D$5:$D$1504,'日次ログ'!$B$5:$B$1504,$A17,'日次ログ'!$A$5:$A$1504,"&gt;="&amp;G$6,'日次ログ'!$A$5:$A$1504,"&lt;"&amp;(G$6+7)))</f>
        <v/>
      </c>
      <c r="H17" s="10">
        <f>IF(OR($A17="",H$6&gt;TODAY()),"",SUMIFS('日次ログ'!$D$5:$D$1504,'日次ログ'!$B$5:$B$1504,$A17,'日次ログ'!$A$5:$A$1504,"&gt;="&amp;H$6,'日次ログ'!$A$5:$A$1504,"&lt;"&amp;(H$6+7)))</f>
        <v/>
      </c>
      <c r="I17" s="10">
        <f>IF(OR($A17="",I$6&gt;TODAY()),"",SUMIFS('日次ログ'!$D$5:$D$1504,'日次ログ'!$B$5:$B$1504,$A17,'日次ログ'!$A$5:$A$1504,"&gt;="&amp;I$6,'日次ログ'!$A$5:$A$1504,"&lt;"&amp;(I$6+7)))</f>
        <v/>
      </c>
      <c r="J17" s="10">
        <f>IF(OR($A17="",J$6&gt;TODAY()),"",SUMIFS('日次ログ'!$D$5:$D$1504,'日次ログ'!$B$5:$B$1504,$A17,'日次ログ'!$A$5:$A$1504,"&gt;="&amp;J$6,'日次ログ'!$A$5:$A$1504,"&lt;"&amp;(J$6+7)))</f>
        <v/>
      </c>
      <c r="K17" s="10">
        <f>IF(OR($A17="",K$6&gt;TODAY()),"",SUMIFS('日次ログ'!$D$5:$D$1504,'日次ログ'!$B$5:$B$1504,$A17,'日次ログ'!$A$5:$A$1504,"&gt;="&amp;K$6,'日次ログ'!$A$5:$A$1504,"&lt;"&amp;(K$6+7)))</f>
        <v/>
      </c>
      <c r="L17" s="10">
        <f>IF(OR($A17="",L$6&gt;TODAY()),"",SUMIFS('日次ログ'!$D$5:$D$1504,'日次ログ'!$B$5:$B$1504,$A17,'日次ログ'!$A$5:$A$1504,"&gt;="&amp;L$6,'日次ログ'!$A$5:$A$1504,"&lt;"&amp;(L$6+7)))</f>
        <v/>
      </c>
      <c r="M17" s="10">
        <f>IF(OR($A17="",M$6&gt;TODAY()),"",SUMIFS('日次ログ'!$D$5:$D$1504,'日次ログ'!$B$5:$B$1504,$A17,'日次ログ'!$A$5:$A$1504,"&gt;="&amp;M$6,'日次ログ'!$A$5:$A$1504,"&lt;"&amp;(M$6+7)))</f>
        <v/>
      </c>
      <c r="N17" s="10">
        <f>IF(OR($A17="",N$6&gt;TODAY()),"",SUMIFS('日次ログ'!$D$5:$D$1504,'日次ログ'!$B$5:$B$1504,$A17,'日次ログ'!$A$5:$A$1504,"&gt;="&amp;N$6,'日次ログ'!$A$5:$A$1504,"&lt;"&amp;(N$6+7)))</f>
        <v/>
      </c>
      <c r="O17" s="19">
        <f>IF($A17="","",SUM(B17:N17))</f>
        <v/>
      </c>
    </row>
    <row r="18">
      <c r="A18" s="15">
        <f>'📊ダッシュボード'!A19&amp;""</f>
        <v/>
      </c>
      <c r="B18" s="10">
        <f>IF(OR($A18="",B$6&gt;TODAY()),"",SUMIFS('日次ログ'!$D$5:$D$1504,'日次ログ'!$B$5:$B$1504,$A18,'日次ログ'!$A$5:$A$1504,"&gt;="&amp;B$6,'日次ログ'!$A$5:$A$1504,"&lt;"&amp;(B$6+7)))</f>
        <v/>
      </c>
      <c r="C18" s="10">
        <f>IF(OR($A18="",C$6&gt;TODAY()),"",SUMIFS('日次ログ'!$D$5:$D$1504,'日次ログ'!$B$5:$B$1504,$A18,'日次ログ'!$A$5:$A$1504,"&gt;="&amp;C$6,'日次ログ'!$A$5:$A$1504,"&lt;"&amp;(C$6+7)))</f>
        <v/>
      </c>
      <c r="D18" s="10">
        <f>IF(OR($A18="",D$6&gt;TODAY()),"",SUMIFS('日次ログ'!$D$5:$D$1504,'日次ログ'!$B$5:$B$1504,$A18,'日次ログ'!$A$5:$A$1504,"&gt;="&amp;D$6,'日次ログ'!$A$5:$A$1504,"&lt;"&amp;(D$6+7)))</f>
        <v/>
      </c>
      <c r="E18" s="10">
        <f>IF(OR($A18="",E$6&gt;TODAY()),"",SUMIFS('日次ログ'!$D$5:$D$1504,'日次ログ'!$B$5:$B$1504,$A18,'日次ログ'!$A$5:$A$1504,"&gt;="&amp;E$6,'日次ログ'!$A$5:$A$1504,"&lt;"&amp;(E$6+7)))</f>
        <v/>
      </c>
      <c r="F18" s="10">
        <f>IF(OR($A18="",F$6&gt;TODAY()),"",SUMIFS('日次ログ'!$D$5:$D$1504,'日次ログ'!$B$5:$B$1504,$A18,'日次ログ'!$A$5:$A$1504,"&gt;="&amp;F$6,'日次ログ'!$A$5:$A$1504,"&lt;"&amp;(F$6+7)))</f>
        <v/>
      </c>
      <c r="G18" s="10">
        <f>IF(OR($A18="",G$6&gt;TODAY()),"",SUMIFS('日次ログ'!$D$5:$D$1504,'日次ログ'!$B$5:$B$1504,$A18,'日次ログ'!$A$5:$A$1504,"&gt;="&amp;G$6,'日次ログ'!$A$5:$A$1504,"&lt;"&amp;(G$6+7)))</f>
        <v/>
      </c>
      <c r="H18" s="10">
        <f>IF(OR($A18="",H$6&gt;TODAY()),"",SUMIFS('日次ログ'!$D$5:$D$1504,'日次ログ'!$B$5:$B$1504,$A18,'日次ログ'!$A$5:$A$1504,"&gt;="&amp;H$6,'日次ログ'!$A$5:$A$1504,"&lt;"&amp;(H$6+7)))</f>
        <v/>
      </c>
      <c r="I18" s="10">
        <f>IF(OR($A18="",I$6&gt;TODAY()),"",SUMIFS('日次ログ'!$D$5:$D$1504,'日次ログ'!$B$5:$B$1504,$A18,'日次ログ'!$A$5:$A$1504,"&gt;="&amp;I$6,'日次ログ'!$A$5:$A$1504,"&lt;"&amp;(I$6+7)))</f>
        <v/>
      </c>
      <c r="J18" s="10">
        <f>IF(OR($A18="",J$6&gt;TODAY()),"",SUMIFS('日次ログ'!$D$5:$D$1504,'日次ログ'!$B$5:$B$1504,$A18,'日次ログ'!$A$5:$A$1504,"&gt;="&amp;J$6,'日次ログ'!$A$5:$A$1504,"&lt;"&amp;(J$6+7)))</f>
        <v/>
      </c>
      <c r="K18" s="10">
        <f>IF(OR($A18="",K$6&gt;TODAY()),"",SUMIFS('日次ログ'!$D$5:$D$1504,'日次ログ'!$B$5:$B$1504,$A18,'日次ログ'!$A$5:$A$1504,"&gt;="&amp;K$6,'日次ログ'!$A$5:$A$1504,"&lt;"&amp;(K$6+7)))</f>
        <v/>
      </c>
      <c r="L18" s="10">
        <f>IF(OR($A18="",L$6&gt;TODAY()),"",SUMIFS('日次ログ'!$D$5:$D$1504,'日次ログ'!$B$5:$B$1504,$A18,'日次ログ'!$A$5:$A$1504,"&gt;="&amp;L$6,'日次ログ'!$A$5:$A$1504,"&lt;"&amp;(L$6+7)))</f>
        <v/>
      </c>
      <c r="M18" s="10">
        <f>IF(OR($A18="",M$6&gt;TODAY()),"",SUMIFS('日次ログ'!$D$5:$D$1504,'日次ログ'!$B$5:$B$1504,$A18,'日次ログ'!$A$5:$A$1504,"&gt;="&amp;M$6,'日次ログ'!$A$5:$A$1504,"&lt;"&amp;(M$6+7)))</f>
        <v/>
      </c>
      <c r="N18" s="10">
        <f>IF(OR($A18="",N$6&gt;TODAY()),"",SUMIFS('日次ログ'!$D$5:$D$1504,'日次ログ'!$B$5:$B$1504,$A18,'日次ログ'!$A$5:$A$1504,"&gt;="&amp;N$6,'日次ログ'!$A$5:$A$1504,"&lt;"&amp;(N$6+7)))</f>
        <v/>
      </c>
      <c r="O18" s="19">
        <f>IF($A18="","",SUM(B18:N18))</f>
        <v/>
      </c>
    </row>
    <row r="19">
      <c r="A19" s="15">
        <f>'📊ダッシュボード'!A20&amp;""</f>
        <v/>
      </c>
      <c r="B19" s="10">
        <f>IF(OR($A19="",B$6&gt;TODAY()),"",SUMIFS('日次ログ'!$D$5:$D$1504,'日次ログ'!$B$5:$B$1504,$A19,'日次ログ'!$A$5:$A$1504,"&gt;="&amp;B$6,'日次ログ'!$A$5:$A$1504,"&lt;"&amp;(B$6+7)))</f>
        <v/>
      </c>
      <c r="C19" s="10">
        <f>IF(OR($A19="",C$6&gt;TODAY()),"",SUMIFS('日次ログ'!$D$5:$D$1504,'日次ログ'!$B$5:$B$1504,$A19,'日次ログ'!$A$5:$A$1504,"&gt;="&amp;C$6,'日次ログ'!$A$5:$A$1504,"&lt;"&amp;(C$6+7)))</f>
        <v/>
      </c>
      <c r="D19" s="10">
        <f>IF(OR($A19="",D$6&gt;TODAY()),"",SUMIFS('日次ログ'!$D$5:$D$1504,'日次ログ'!$B$5:$B$1504,$A19,'日次ログ'!$A$5:$A$1504,"&gt;="&amp;D$6,'日次ログ'!$A$5:$A$1504,"&lt;"&amp;(D$6+7)))</f>
        <v/>
      </c>
      <c r="E19" s="10">
        <f>IF(OR($A19="",E$6&gt;TODAY()),"",SUMIFS('日次ログ'!$D$5:$D$1504,'日次ログ'!$B$5:$B$1504,$A19,'日次ログ'!$A$5:$A$1504,"&gt;="&amp;E$6,'日次ログ'!$A$5:$A$1504,"&lt;"&amp;(E$6+7)))</f>
        <v/>
      </c>
      <c r="F19" s="10">
        <f>IF(OR($A19="",F$6&gt;TODAY()),"",SUMIFS('日次ログ'!$D$5:$D$1504,'日次ログ'!$B$5:$B$1504,$A19,'日次ログ'!$A$5:$A$1504,"&gt;="&amp;F$6,'日次ログ'!$A$5:$A$1504,"&lt;"&amp;(F$6+7)))</f>
        <v/>
      </c>
      <c r="G19" s="10">
        <f>IF(OR($A19="",G$6&gt;TODAY()),"",SUMIFS('日次ログ'!$D$5:$D$1504,'日次ログ'!$B$5:$B$1504,$A19,'日次ログ'!$A$5:$A$1504,"&gt;="&amp;G$6,'日次ログ'!$A$5:$A$1504,"&lt;"&amp;(G$6+7)))</f>
        <v/>
      </c>
      <c r="H19" s="10">
        <f>IF(OR($A19="",H$6&gt;TODAY()),"",SUMIFS('日次ログ'!$D$5:$D$1504,'日次ログ'!$B$5:$B$1504,$A19,'日次ログ'!$A$5:$A$1504,"&gt;="&amp;H$6,'日次ログ'!$A$5:$A$1504,"&lt;"&amp;(H$6+7)))</f>
        <v/>
      </c>
      <c r="I19" s="10">
        <f>IF(OR($A19="",I$6&gt;TODAY()),"",SUMIFS('日次ログ'!$D$5:$D$1504,'日次ログ'!$B$5:$B$1504,$A19,'日次ログ'!$A$5:$A$1504,"&gt;="&amp;I$6,'日次ログ'!$A$5:$A$1504,"&lt;"&amp;(I$6+7)))</f>
        <v/>
      </c>
      <c r="J19" s="10">
        <f>IF(OR($A19="",J$6&gt;TODAY()),"",SUMIFS('日次ログ'!$D$5:$D$1504,'日次ログ'!$B$5:$B$1504,$A19,'日次ログ'!$A$5:$A$1504,"&gt;="&amp;J$6,'日次ログ'!$A$5:$A$1504,"&lt;"&amp;(J$6+7)))</f>
        <v/>
      </c>
      <c r="K19" s="10">
        <f>IF(OR($A19="",K$6&gt;TODAY()),"",SUMIFS('日次ログ'!$D$5:$D$1504,'日次ログ'!$B$5:$B$1504,$A19,'日次ログ'!$A$5:$A$1504,"&gt;="&amp;K$6,'日次ログ'!$A$5:$A$1504,"&lt;"&amp;(K$6+7)))</f>
        <v/>
      </c>
      <c r="L19" s="10">
        <f>IF(OR($A19="",L$6&gt;TODAY()),"",SUMIFS('日次ログ'!$D$5:$D$1504,'日次ログ'!$B$5:$B$1504,$A19,'日次ログ'!$A$5:$A$1504,"&gt;="&amp;L$6,'日次ログ'!$A$5:$A$1504,"&lt;"&amp;(L$6+7)))</f>
        <v/>
      </c>
      <c r="M19" s="10">
        <f>IF(OR($A19="",M$6&gt;TODAY()),"",SUMIFS('日次ログ'!$D$5:$D$1504,'日次ログ'!$B$5:$B$1504,$A19,'日次ログ'!$A$5:$A$1504,"&gt;="&amp;M$6,'日次ログ'!$A$5:$A$1504,"&lt;"&amp;(M$6+7)))</f>
        <v/>
      </c>
      <c r="N19" s="10">
        <f>IF(OR($A19="",N$6&gt;TODAY()),"",SUMIFS('日次ログ'!$D$5:$D$1504,'日次ログ'!$B$5:$B$1504,$A19,'日次ログ'!$A$5:$A$1504,"&gt;="&amp;N$6,'日次ログ'!$A$5:$A$1504,"&lt;"&amp;(N$6+7)))</f>
        <v/>
      </c>
      <c r="O19" s="19">
        <f>IF($A19="","",SUM(B19:N19))</f>
        <v/>
      </c>
    </row>
    <row r="20">
      <c r="A20" s="15">
        <f>'📊ダッシュボード'!A21&amp;""</f>
        <v/>
      </c>
      <c r="B20" s="10">
        <f>IF(OR($A20="",B$6&gt;TODAY()),"",SUMIFS('日次ログ'!$D$5:$D$1504,'日次ログ'!$B$5:$B$1504,$A20,'日次ログ'!$A$5:$A$1504,"&gt;="&amp;B$6,'日次ログ'!$A$5:$A$1504,"&lt;"&amp;(B$6+7)))</f>
        <v/>
      </c>
      <c r="C20" s="10">
        <f>IF(OR($A20="",C$6&gt;TODAY()),"",SUMIFS('日次ログ'!$D$5:$D$1504,'日次ログ'!$B$5:$B$1504,$A20,'日次ログ'!$A$5:$A$1504,"&gt;="&amp;C$6,'日次ログ'!$A$5:$A$1504,"&lt;"&amp;(C$6+7)))</f>
        <v/>
      </c>
      <c r="D20" s="10">
        <f>IF(OR($A20="",D$6&gt;TODAY()),"",SUMIFS('日次ログ'!$D$5:$D$1504,'日次ログ'!$B$5:$B$1504,$A20,'日次ログ'!$A$5:$A$1504,"&gt;="&amp;D$6,'日次ログ'!$A$5:$A$1504,"&lt;"&amp;(D$6+7)))</f>
        <v/>
      </c>
      <c r="E20" s="10">
        <f>IF(OR($A20="",E$6&gt;TODAY()),"",SUMIFS('日次ログ'!$D$5:$D$1504,'日次ログ'!$B$5:$B$1504,$A20,'日次ログ'!$A$5:$A$1504,"&gt;="&amp;E$6,'日次ログ'!$A$5:$A$1504,"&lt;"&amp;(E$6+7)))</f>
        <v/>
      </c>
      <c r="F20" s="10">
        <f>IF(OR($A20="",F$6&gt;TODAY()),"",SUMIFS('日次ログ'!$D$5:$D$1504,'日次ログ'!$B$5:$B$1504,$A20,'日次ログ'!$A$5:$A$1504,"&gt;="&amp;F$6,'日次ログ'!$A$5:$A$1504,"&lt;"&amp;(F$6+7)))</f>
        <v/>
      </c>
      <c r="G20" s="10">
        <f>IF(OR($A20="",G$6&gt;TODAY()),"",SUMIFS('日次ログ'!$D$5:$D$1504,'日次ログ'!$B$5:$B$1504,$A20,'日次ログ'!$A$5:$A$1504,"&gt;="&amp;G$6,'日次ログ'!$A$5:$A$1504,"&lt;"&amp;(G$6+7)))</f>
        <v/>
      </c>
      <c r="H20" s="10">
        <f>IF(OR($A20="",H$6&gt;TODAY()),"",SUMIFS('日次ログ'!$D$5:$D$1504,'日次ログ'!$B$5:$B$1504,$A20,'日次ログ'!$A$5:$A$1504,"&gt;="&amp;H$6,'日次ログ'!$A$5:$A$1504,"&lt;"&amp;(H$6+7)))</f>
        <v/>
      </c>
      <c r="I20" s="10">
        <f>IF(OR($A20="",I$6&gt;TODAY()),"",SUMIFS('日次ログ'!$D$5:$D$1504,'日次ログ'!$B$5:$B$1504,$A20,'日次ログ'!$A$5:$A$1504,"&gt;="&amp;I$6,'日次ログ'!$A$5:$A$1504,"&lt;"&amp;(I$6+7)))</f>
        <v/>
      </c>
      <c r="J20" s="10">
        <f>IF(OR($A20="",J$6&gt;TODAY()),"",SUMIFS('日次ログ'!$D$5:$D$1504,'日次ログ'!$B$5:$B$1504,$A20,'日次ログ'!$A$5:$A$1504,"&gt;="&amp;J$6,'日次ログ'!$A$5:$A$1504,"&lt;"&amp;(J$6+7)))</f>
        <v/>
      </c>
      <c r="K20" s="10">
        <f>IF(OR($A20="",K$6&gt;TODAY()),"",SUMIFS('日次ログ'!$D$5:$D$1504,'日次ログ'!$B$5:$B$1504,$A20,'日次ログ'!$A$5:$A$1504,"&gt;="&amp;K$6,'日次ログ'!$A$5:$A$1504,"&lt;"&amp;(K$6+7)))</f>
        <v/>
      </c>
      <c r="L20" s="10">
        <f>IF(OR($A20="",L$6&gt;TODAY()),"",SUMIFS('日次ログ'!$D$5:$D$1504,'日次ログ'!$B$5:$B$1504,$A20,'日次ログ'!$A$5:$A$1504,"&gt;="&amp;L$6,'日次ログ'!$A$5:$A$1504,"&lt;"&amp;(L$6+7)))</f>
        <v/>
      </c>
      <c r="M20" s="10">
        <f>IF(OR($A20="",M$6&gt;TODAY()),"",SUMIFS('日次ログ'!$D$5:$D$1504,'日次ログ'!$B$5:$B$1504,$A20,'日次ログ'!$A$5:$A$1504,"&gt;="&amp;M$6,'日次ログ'!$A$5:$A$1504,"&lt;"&amp;(M$6+7)))</f>
        <v/>
      </c>
      <c r="N20" s="10">
        <f>IF(OR($A20="",N$6&gt;TODAY()),"",SUMIFS('日次ログ'!$D$5:$D$1504,'日次ログ'!$B$5:$B$1504,$A20,'日次ログ'!$A$5:$A$1504,"&gt;="&amp;N$6,'日次ログ'!$A$5:$A$1504,"&lt;"&amp;(N$6+7)))</f>
        <v/>
      </c>
      <c r="O20" s="19">
        <f>IF($A20="","",SUM(B20:N20))</f>
        <v/>
      </c>
    </row>
    <row r="21">
      <c r="A21" s="15">
        <f>'📊ダッシュボード'!A22&amp;""</f>
        <v/>
      </c>
      <c r="B21" s="10">
        <f>IF(OR($A21="",B$6&gt;TODAY()),"",SUMIFS('日次ログ'!$D$5:$D$1504,'日次ログ'!$B$5:$B$1504,$A21,'日次ログ'!$A$5:$A$1504,"&gt;="&amp;B$6,'日次ログ'!$A$5:$A$1504,"&lt;"&amp;(B$6+7)))</f>
        <v/>
      </c>
      <c r="C21" s="10">
        <f>IF(OR($A21="",C$6&gt;TODAY()),"",SUMIFS('日次ログ'!$D$5:$D$1504,'日次ログ'!$B$5:$B$1504,$A21,'日次ログ'!$A$5:$A$1504,"&gt;="&amp;C$6,'日次ログ'!$A$5:$A$1504,"&lt;"&amp;(C$6+7)))</f>
        <v/>
      </c>
      <c r="D21" s="10">
        <f>IF(OR($A21="",D$6&gt;TODAY()),"",SUMIFS('日次ログ'!$D$5:$D$1504,'日次ログ'!$B$5:$B$1504,$A21,'日次ログ'!$A$5:$A$1504,"&gt;="&amp;D$6,'日次ログ'!$A$5:$A$1504,"&lt;"&amp;(D$6+7)))</f>
        <v/>
      </c>
      <c r="E21" s="10">
        <f>IF(OR($A21="",E$6&gt;TODAY()),"",SUMIFS('日次ログ'!$D$5:$D$1504,'日次ログ'!$B$5:$B$1504,$A21,'日次ログ'!$A$5:$A$1504,"&gt;="&amp;E$6,'日次ログ'!$A$5:$A$1504,"&lt;"&amp;(E$6+7)))</f>
        <v/>
      </c>
      <c r="F21" s="10">
        <f>IF(OR($A21="",F$6&gt;TODAY()),"",SUMIFS('日次ログ'!$D$5:$D$1504,'日次ログ'!$B$5:$B$1504,$A21,'日次ログ'!$A$5:$A$1504,"&gt;="&amp;F$6,'日次ログ'!$A$5:$A$1504,"&lt;"&amp;(F$6+7)))</f>
        <v/>
      </c>
      <c r="G21" s="10">
        <f>IF(OR($A21="",G$6&gt;TODAY()),"",SUMIFS('日次ログ'!$D$5:$D$1504,'日次ログ'!$B$5:$B$1504,$A21,'日次ログ'!$A$5:$A$1504,"&gt;="&amp;G$6,'日次ログ'!$A$5:$A$1504,"&lt;"&amp;(G$6+7)))</f>
        <v/>
      </c>
      <c r="H21" s="10">
        <f>IF(OR($A21="",H$6&gt;TODAY()),"",SUMIFS('日次ログ'!$D$5:$D$1504,'日次ログ'!$B$5:$B$1504,$A21,'日次ログ'!$A$5:$A$1504,"&gt;="&amp;H$6,'日次ログ'!$A$5:$A$1504,"&lt;"&amp;(H$6+7)))</f>
        <v/>
      </c>
      <c r="I21" s="10">
        <f>IF(OR($A21="",I$6&gt;TODAY()),"",SUMIFS('日次ログ'!$D$5:$D$1504,'日次ログ'!$B$5:$B$1504,$A21,'日次ログ'!$A$5:$A$1504,"&gt;="&amp;I$6,'日次ログ'!$A$5:$A$1504,"&lt;"&amp;(I$6+7)))</f>
        <v/>
      </c>
      <c r="J21" s="10">
        <f>IF(OR($A21="",J$6&gt;TODAY()),"",SUMIFS('日次ログ'!$D$5:$D$1504,'日次ログ'!$B$5:$B$1504,$A21,'日次ログ'!$A$5:$A$1504,"&gt;="&amp;J$6,'日次ログ'!$A$5:$A$1504,"&lt;"&amp;(J$6+7)))</f>
        <v/>
      </c>
      <c r="K21" s="10">
        <f>IF(OR($A21="",K$6&gt;TODAY()),"",SUMIFS('日次ログ'!$D$5:$D$1504,'日次ログ'!$B$5:$B$1504,$A21,'日次ログ'!$A$5:$A$1504,"&gt;="&amp;K$6,'日次ログ'!$A$5:$A$1504,"&lt;"&amp;(K$6+7)))</f>
        <v/>
      </c>
      <c r="L21" s="10">
        <f>IF(OR($A21="",L$6&gt;TODAY()),"",SUMIFS('日次ログ'!$D$5:$D$1504,'日次ログ'!$B$5:$B$1504,$A21,'日次ログ'!$A$5:$A$1504,"&gt;="&amp;L$6,'日次ログ'!$A$5:$A$1504,"&lt;"&amp;(L$6+7)))</f>
        <v/>
      </c>
      <c r="M21" s="10">
        <f>IF(OR($A21="",M$6&gt;TODAY()),"",SUMIFS('日次ログ'!$D$5:$D$1504,'日次ログ'!$B$5:$B$1504,$A21,'日次ログ'!$A$5:$A$1504,"&gt;="&amp;M$6,'日次ログ'!$A$5:$A$1504,"&lt;"&amp;(M$6+7)))</f>
        <v/>
      </c>
      <c r="N21" s="10">
        <f>IF(OR($A21="",N$6&gt;TODAY()),"",SUMIFS('日次ログ'!$D$5:$D$1504,'日次ログ'!$B$5:$B$1504,$A21,'日次ログ'!$A$5:$A$1504,"&gt;="&amp;N$6,'日次ログ'!$A$5:$A$1504,"&lt;"&amp;(N$6+7)))</f>
        <v/>
      </c>
      <c r="O21" s="19">
        <f>IF($A21="","",SUM(B21:N21))</f>
        <v/>
      </c>
    </row>
    <row r="22">
      <c r="A22" s="15">
        <f>'📊ダッシュボード'!A23&amp;""</f>
        <v/>
      </c>
      <c r="B22" s="10">
        <f>IF(OR($A22="",B$6&gt;TODAY()),"",SUMIFS('日次ログ'!$D$5:$D$1504,'日次ログ'!$B$5:$B$1504,$A22,'日次ログ'!$A$5:$A$1504,"&gt;="&amp;B$6,'日次ログ'!$A$5:$A$1504,"&lt;"&amp;(B$6+7)))</f>
        <v/>
      </c>
      <c r="C22" s="10">
        <f>IF(OR($A22="",C$6&gt;TODAY()),"",SUMIFS('日次ログ'!$D$5:$D$1504,'日次ログ'!$B$5:$B$1504,$A22,'日次ログ'!$A$5:$A$1504,"&gt;="&amp;C$6,'日次ログ'!$A$5:$A$1504,"&lt;"&amp;(C$6+7)))</f>
        <v/>
      </c>
      <c r="D22" s="10">
        <f>IF(OR($A22="",D$6&gt;TODAY()),"",SUMIFS('日次ログ'!$D$5:$D$1504,'日次ログ'!$B$5:$B$1504,$A22,'日次ログ'!$A$5:$A$1504,"&gt;="&amp;D$6,'日次ログ'!$A$5:$A$1504,"&lt;"&amp;(D$6+7)))</f>
        <v/>
      </c>
      <c r="E22" s="10">
        <f>IF(OR($A22="",E$6&gt;TODAY()),"",SUMIFS('日次ログ'!$D$5:$D$1504,'日次ログ'!$B$5:$B$1504,$A22,'日次ログ'!$A$5:$A$1504,"&gt;="&amp;E$6,'日次ログ'!$A$5:$A$1504,"&lt;"&amp;(E$6+7)))</f>
        <v/>
      </c>
      <c r="F22" s="10">
        <f>IF(OR($A22="",F$6&gt;TODAY()),"",SUMIFS('日次ログ'!$D$5:$D$1504,'日次ログ'!$B$5:$B$1504,$A22,'日次ログ'!$A$5:$A$1504,"&gt;="&amp;F$6,'日次ログ'!$A$5:$A$1504,"&lt;"&amp;(F$6+7)))</f>
        <v/>
      </c>
      <c r="G22" s="10">
        <f>IF(OR($A22="",G$6&gt;TODAY()),"",SUMIFS('日次ログ'!$D$5:$D$1504,'日次ログ'!$B$5:$B$1504,$A22,'日次ログ'!$A$5:$A$1504,"&gt;="&amp;G$6,'日次ログ'!$A$5:$A$1504,"&lt;"&amp;(G$6+7)))</f>
        <v/>
      </c>
      <c r="H22" s="10">
        <f>IF(OR($A22="",H$6&gt;TODAY()),"",SUMIFS('日次ログ'!$D$5:$D$1504,'日次ログ'!$B$5:$B$1504,$A22,'日次ログ'!$A$5:$A$1504,"&gt;="&amp;H$6,'日次ログ'!$A$5:$A$1504,"&lt;"&amp;(H$6+7)))</f>
        <v/>
      </c>
      <c r="I22" s="10">
        <f>IF(OR($A22="",I$6&gt;TODAY()),"",SUMIFS('日次ログ'!$D$5:$D$1504,'日次ログ'!$B$5:$B$1504,$A22,'日次ログ'!$A$5:$A$1504,"&gt;="&amp;I$6,'日次ログ'!$A$5:$A$1504,"&lt;"&amp;(I$6+7)))</f>
        <v/>
      </c>
      <c r="J22" s="10">
        <f>IF(OR($A22="",J$6&gt;TODAY()),"",SUMIFS('日次ログ'!$D$5:$D$1504,'日次ログ'!$B$5:$B$1504,$A22,'日次ログ'!$A$5:$A$1504,"&gt;="&amp;J$6,'日次ログ'!$A$5:$A$1504,"&lt;"&amp;(J$6+7)))</f>
        <v/>
      </c>
      <c r="K22" s="10">
        <f>IF(OR($A22="",K$6&gt;TODAY()),"",SUMIFS('日次ログ'!$D$5:$D$1504,'日次ログ'!$B$5:$B$1504,$A22,'日次ログ'!$A$5:$A$1504,"&gt;="&amp;K$6,'日次ログ'!$A$5:$A$1504,"&lt;"&amp;(K$6+7)))</f>
        <v/>
      </c>
      <c r="L22" s="10">
        <f>IF(OR($A22="",L$6&gt;TODAY()),"",SUMIFS('日次ログ'!$D$5:$D$1504,'日次ログ'!$B$5:$B$1504,$A22,'日次ログ'!$A$5:$A$1504,"&gt;="&amp;L$6,'日次ログ'!$A$5:$A$1504,"&lt;"&amp;(L$6+7)))</f>
        <v/>
      </c>
      <c r="M22" s="10">
        <f>IF(OR($A22="",M$6&gt;TODAY()),"",SUMIFS('日次ログ'!$D$5:$D$1504,'日次ログ'!$B$5:$B$1504,$A22,'日次ログ'!$A$5:$A$1504,"&gt;="&amp;M$6,'日次ログ'!$A$5:$A$1504,"&lt;"&amp;(M$6+7)))</f>
        <v/>
      </c>
      <c r="N22" s="10">
        <f>IF(OR($A22="",N$6&gt;TODAY()),"",SUMIFS('日次ログ'!$D$5:$D$1504,'日次ログ'!$B$5:$B$1504,$A22,'日次ログ'!$A$5:$A$1504,"&gt;="&amp;N$6,'日次ログ'!$A$5:$A$1504,"&lt;"&amp;(N$6+7)))</f>
        <v/>
      </c>
      <c r="O22" s="19">
        <f>IF($A22="","",SUM(B22:N22))</f>
        <v/>
      </c>
    </row>
    <row r="23">
      <c r="A23" s="15">
        <f>'📊ダッシュボード'!A24&amp;""</f>
        <v/>
      </c>
      <c r="B23" s="10">
        <f>IF(OR($A23="",B$6&gt;TODAY()),"",SUMIFS('日次ログ'!$D$5:$D$1504,'日次ログ'!$B$5:$B$1504,$A23,'日次ログ'!$A$5:$A$1504,"&gt;="&amp;B$6,'日次ログ'!$A$5:$A$1504,"&lt;"&amp;(B$6+7)))</f>
        <v/>
      </c>
      <c r="C23" s="10">
        <f>IF(OR($A23="",C$6&gt;TODAY()),"",SUMIFS('日次ログ'!$D$5:$D$1504,'日次ログ'!$B$5:$B$1504,$A23,'日次ログ'!$A$5:$A$1504,"&gt;="&amp;C$6,'日次ログ'!$A$5:$A$1504,"&lt;"&amp;(C$6+7)))</f>
        <v/>
      </c>
      <c r="D23" s="10">
        <f>IF(OR($A23="",D$6&gt;TODAY()),"",SUMIFS('日次ログ'!$D$5:$D$1504,'日次ログ'!$B$5:$B$1504,$A23,'日次ログ'!$A$5:$A$1504,"&gt;="&amp;D$6,'日次ログ'!$A$5:$A$1504,"&lt;"&amp;(D$6+7)))</f>
        <v/>
      </c>
      <c r="E23" s="10">
        <f>IF(OR($A23="",E$6&gt;TODAY()),"",SUMIFS('日次ログ'!$D$5:$D$1504,'日次ログ'!$B$5:$B$1504,$A23,'日次ログ'!$A$5:$A$1504,"&gt;="&amp;E$6,'日次ログ'!$A$5:$A$1504,"&lt;"&amp;(E$6+7)))</f>
        <v/>
      </c>
      <c r="F23" s="10">
        <f>IF(OR($A23="",F$6&gt;TODAY()),"",SUMIFS('日次ログ'!$D$5:$D$1504,'日次ログ'!$B$5:$B$1504,$A23,'日次ログ'!$A$5:$A$1504,"&gt;="&amp;F$6,'日次ログ'!$A$5:$A$1504,"&lt;"&amp;(F$6+7)))</f>
        <v/>
      </c>
      <c r="G23" s="10">
        <f>IF(OR($A23="",G$6&gt;TODAY()),"",SUMIFS('日次ログ'!$D$5:$D$1504,'日次ログ'!$B$5:$B$1504,$A23,'日次ログ'!$A$5:$A$1504,"&gt;="&amp;G$6,'日次ログ'!$A$5:$A$1504,"&lt;"&amp;(G$6+7)))</f>
        <v/>
      </c>
      <c r="H23" s="10">
        <f>IF(OR($A23="",H$6&gt;TODAY()),"",SUMIFS('日次ログ'!$D$5:$D$1504,'日次ログ'!$B$5:$B$1504,$A23,'日次ログ'!$A$5:$A$1504,"&gt;="&amp;H$6,'日次ログ'!$A$5:$A$1504,"&lt;"&amp;(H$6+7)))</f>
        <v/>
      </c>
      <c r="I23" s="10">
        <f>IF(OR($A23="",I$6&gt;TODAY()),"",SUMIFS('日次ログ'!$D$5:$D$1504,'日次ログ'!$B$5:$B$1504,$A23,'日次ログ'!$A$5:$A$1504,"&gt;="&amp;I$6,'日次ログ'!$A$5:$A$1504,"&lt;"&amp;(I$6+7)))</f>
        <v/>
      </c>
      <c r="J23" s="10">
        <f>IF(OR($A23="",J$6&gt;TODAY()),"",SUMIFS('日次ログ'!$D$5:$D$1504,'日次ログ'!$B$5:$B$1504,$A23,'日次ログ'!$A$5:$A$1504,"&gt;="&amp;J$6,'日次ログ'!$A$5:$A$1504,"&lt;"&amp;(J$6+7)))</f>
        <v/>
      </c>
      <c r="K23" s="10">
        <f>IF(OR($A23="",K$6&gt;TODAY()),"",SUMIFS('日次ログ'!$D$5:$D$1504,'日次ログ'!$B$5:$B$1504,$A23,'日次ログ'!$A$5:$A$1504,"&gt;="&amp;K$6,'日次ログ'!$A$5:$A$1504,"&lt;"&amp;(K$6+7)))</f>
        <v/>
      </c>
      <c r="L23" s="10">
        <f>IF(OR($A23="",L$6&gt;TODAY()),"",SUMIFS('日次ログ'!$D$5:$D$1504,'日次ログ'!$B$5:$B$1504,$A23,'日次ログ'!$A$5:$A$1504,"&gt;="&amp;L$6,'日次ログ'!$A$5:$A$1504,"&lt;"&amp;(L$6+7)))</f>
        <v/>
      </c>
      <c r="M23" s="10">
        <f>IF(OR($A23="",M$6&gt;TODAY()),"",SUMIFS('日次ログ'!$D$5:$D$1504,'日次ログ'!$B$5:$B$1504,$A23,'日次ログ'!$A$5:$A$1504,"&gt;="&amp;M$6,'日次ログ'!$A$5:$A$1504,"&lt;"&amp;(M$6+7)))</f>
        <v/>
      </c>
      <c r="N23" s="10">
        <f>IF(OR($A23="",N$6&gt;TODAY()),"",SUMIFS('日次ログ'!$D$5:$D$1504,'日次ログ'!$B$5:$B$1504,$A23,'日次ログ'!$A$5:$A$1504,"&gt;="&amp;N$6,'日次ログ'!$A$5:$A$1504,"&lt;"&amp;(N$6+7)))</f>
        <v/>
      </c>
      <c r="O23" s="19">
        <f>IF($A23="","",SUM(B23:N23))</f>
        <v/>
      </c>
    </row>
    <row r="24">
      <c r="A24" s="15">
        <f>'📊ダッシュボード'!A25&amp;""</f>
        <v/>
      </c>
      <c r="B24" s="10">
        <f>IF(OR($A24="",B$6&gt;TODAY()),"",SUMIFS('日次ログ'!$D$5:$D$1504,'日次ログ'!$B$5:$B$1504,$A24,'日次ログ'!$A$5:$A$1504,"&gt;="&amp;B$6,'日次ログ'!$A$5:$A$1504,"&lt;"&amp;(B$6+7)))</f>
        <v/>
      </c>
      <c r="C24" s="10">
        <f>IF(OR($A24="",C$6&gt;TODAY()),"",SUMIFS('日次ログ'!$D$5:$D$1504,'日次ログ'!$B$5:$B$1504,$A24,'日次ログ'!$A$5:$A$1504,"&gt;="&amp;C$6,'日次ログ'!$A$5:$A$1504,"&lt;"&amp;(C$6+7)))</f>
        <v/>
      </c>
      <c r="D24" s="10">
        <f>IF(OR($A24="",D$6&gt;TODAY()),"",SUMIFS('日次ログ'!$D$5:$D$1504,'日次ログ'!$B$5:$B$1504,$A24,'日次ログ'!$A$5:$A$1504,"&gt;="&amp;D$6,'日次ログ'!$A$5:$A$1504,"&lt;"&amp;(D$6+7)))</f>
        <v/>
      </c>
      <c r="E24" s="10">
        <f>IF(OR($A24="",E$6&gt;TODAY()),"",SUMIFS('日次ログ'!$D$5:$D$1504,'日次ログ'!$B$5:$B$1504,$A24,'日次ログ'!$A$5:$A$1504,"&gt;="&amp;E$6,'日次ログ'!$A$5:$A$1504,"&lt;"&amp;(E$6+7)))</f>
        <v/>
      </c>
      <c r="F24" s="10">
        <f>IF(OR($A24="",F$6&gt;TODAY()),"",SUMIFS('日次ログ'!$D$5:$D$1504,'日次ログ'!$B$5:$B$1504,$A24,'日次ログ'!$A$5:$A$1504,"&gt;="&amp;F$6,'日次ログ'!$A$5:$A$1504,"&lt;"&amp;(F$6+7)))</f>
        <v/>
      </c>
      <c r="G24" s="10">
        <f>IF(OR($A24="",G$6&gt;TODAY()),"",SUMIFS('日次ログ'!$D$5:$D$1504,'日次ログ'!$B$5:$B$1504,$A24,'日次ログ'!$A$5:$A$1504,"&gt;="&amp;G$6,'日次ログ'!$A$5:$A$1504,"&lt;"&amp;(G$6+7)))</f>
        <v/>
      </c>
      <c r="H24" s="10">
        <f>IF(OR($A24="",H$6&gt;TODAY()),"",SUMIFS('日次ログ'!$D$5:$D$1504,'日次ログ'!$B$5:$B$1504,$A24,'日次ログ'!$A$5:$A$1504,"&gt;="&amp;H$6,'日次ログ'!$A$5:$A$1504,"&lt;"&amp;(H$6+7)))</f>
        <v/>
      </c>
      <c r="I24" s="10">
        <f>IF(OR($A24="",I$6&gt;TODAY()),"",SUMIFS('日次ログ'!$D$5:$D$1504,'日次ログ'!$B$5:$B$1504,$A24,'日次ログ'!$A$5:$A$1504,"&gt;="&amp;I$6,'日次ログ'!$A$5:$A$1504,"&lt;"&amp;(I$6+7)))</f>
        <v/>
      </c>
      <c r="J24" s="10">
        <f>IF(OR($A24="",J$6&gt;TODAY()),"",SUMIFS('日次ログ'!$D$5:$D$1504,'日次ログ'!$B$5:$B$1504,$A24,'日次ログ'!$A$5:$A$1504,"&gt;="&amp;J$6,'日次ログ'!$A$5:$A$1504,"&lt;"&amp;(J$6+7)))</f>
        <v/>
      </c>
      <c r="K24" s="10">
        <f>IF(OR($A24="",K$6&gt;TODAY()),"",SUMIFS('日次ログ'!$D$5:$D$1504,'日次ログ'!$B$5:$B$1504,$A24,'日次ログ'!$A$5:$A$1504,"&gt;="&amp;K$6,'日次ログ'!$A$5:$A$1504,"&lt;"&amp;(K$6+7)))</f>
        <v/>
      </c>
      <c r="L24" s="10">
        <f>IF(OR($A24="",L$6&gt;TODAY()),"",SUMIFS('日次ログ'!$D$5:$D$1504,'日次ログ'!$B$5:$B$1504,$A24,'日次ログ'!$A$5:$A$1504,"&gt;="&amp;L$6,'日次ログ'!$A$5:$A$1504,"&lt;"&amp;(L$6+7)))</f>
        <v/>
      </c>
      <c r="M24" s="10">
        <f>IF(OR($A24="",M$6&gt;TODAY()),"",SUMIFS('日次ログ'!$D$5:$D$1504,'日次ログ'!$B$5:$B$1504,$A24,'日次ログ'!$A$5:$A$1504,"&gt;="&amp;M$6,'日次ログ'!$A$5:$A$1504,"&lt;"&amp;(M$6+7)))</f>
        <v/>
      </c>
      <c r="N24" s="10">
        <f>IF(OR($A24="",N$6&gt;TODAY()),"",SUMIFS('日次ログ'!$D$5:$D$1504,'日次ログ'!$B$5:$B$1504,$A24,'日次ログ'!$A$5:$A$1504,"&gt;="&amp;N$6,'日次ログ'!$A$5:$A$1504,"&lt;"&amp;(N$6+7)))</f>
        <v/>
      </c>
      <c r="O24" s="19">
        <f>IF($A24="","",SUM(B24:N24))</f>
        <v/>
      </c>
    </row>
    <row r="25">
      <c r="A25" s="15">
        <f>'📊ダッシュボード'!A26&amp;""</f>
        <v/>
      </c>
      <c r="B25" s="10">
        <f>IF(OR($A25="",B$6&gt;TODAY()),"",SUMIFS('日次ログ'!$D$5:$D$1504,'日次ログ'!$B$5:$B$1504,$A25,'日次ログ'!$A$5:$A$1504,"&gt;="&amp;B$6,'日次ログ'!$A$5:$A$1504,"&lt;"&amp;(B$6+7)))</f>
        <v/>
      </c>
      <c r="C25" s="10">
        <f>IF(OR($A25="",C$6&gt;TODAY()),"",SUMIFS('日次ログ'!$D$5:$D$1504,'日次ログ'!$B$5:$B$1504,$A25,'日次ログ'!$A$5:$A$1504,"&gt;="&amp;C$6,'日次ログ'!$A$5:$A$1504,"&lt;"&amp;(C$6+7)))</f>
        <v/>
      </c>
      <c r="D25" s="10">
        <f>IF(OR($A25="",D$6&gt;TODAY()),"",SUMIFS('日次ログ'!$D$5:$D$1504,'日次ログ'!$B$5:$B$1504,$A25,'日次ログ'!$A$5:$A$1504,"&gt;="&amp;D$6,'日次ログ'!$A$5:$A$1504,"&lt;"&amp;(D$6+7)))</f>
        <v/>
      </c>
      <c r="E25" s="10">
        <f>IF(OR($A25="",E$6&gt;TODAY()),"",SUMIFS('日次ログ'!$D$5:$D$1504,'日次ログ'!$B$5:$B$1504,$A25,'日次ログ'!$A$5:$A$1504,"&gt;="&amp;E$6,'日次ログ'!$A$5:$A$1504,"&lt;"&amp;(E$6+7)))</f>
        <v/>
      </c>
      <c r="F25" s="10">
        <f>IF(OR($A25="",F$6&gt;TODAY()),"",SUMIFS('日次ログ'!$D$5:$D$1504,'日次ログ'!$B$5:$B$1504,$A25,'日次ログ'!$A$5:$A$1504,"&gt;="&amp;F$6,'日次ログ'!$A$5:$A$1504,"&lt;"&amp;(F$6+7)))</f>
        <v/>
      </c>
      <c r="G25" s="10">
        <f>IF(OR($A25="",G$6&gt;TODAY()),"",SUMIFS('日次ログ'!$D$5:$D$1504,'日次ログ'!$B$5:$B$1504,$A25,'日次ログ'!$A$5:$A$1504,"&gt;="&amp;G$6,'日次ログ'!$A$5:$A$1504,"&lt;"&amp;(G$6+7)))</f>
        <v/>
      </c>
      <c r="H25" s="10">
        <f>IF(OR($A25="",H$6&gt;TODAY()),"",SUMIFS('日次ログ'!$D$5:$D$1504,'日次ログ'!$B$5:$B$1504,$A25,'日次ログ'!$A$5:$A$1504,"&gt;="&amp;H$6,'日次ログ'!$A$5:$A$1504,"&lt;"&amp;(H$6+7)))</f>
        <v/>
      </c>
      <c r="I25" s="10">
        <f>IF(OR($A25="",I$6&gt;TODAY()),"",SUMIFS('日次ログ'!$D$5:$D$1504,'日次ログ'!$B$5:$B$1504,$A25,'日次ログ'!$A$5:$A$1504,"&gt;="&amp;I$6,'日次ログ'!$A$5:$A$1504,"&lt;"&amp;(I$6+7)))</f>
        <v/>
      </c>
      <c r="J25" s="10">
        <f>IF(OR($A25="",J$6&gt;TODAY()),"",SUMIFS('日次ログ'!$D$5:$D$1504,'日次ログ'!$B$5:$B$1504,$A25,'日次ログ'!$A$5:$A$1504,"&gt;="&amp;J$6,'日次ログ'!$A$5:$A$1504,"&lt;"&amp;(J$6+7)))</f>
        <v/>
      </c>
      <c r="K25" s="10">
        <f>IF(OR($A25="",K$6&gt;TODAY()),"",SUMIFS('日次ログ'!$D$5:$D$1504,'日次ログ'!$B$5:$B$1504,$A25,'日次ログ'!$A$5:$A$1504,"&gt;="&amp;K$6,'日次ログ'!$A$5:$A$1504,"&lt;"&amp;(K$6+7)))</f>
        <v/>
      </c>
      <c r="L25" s="10">
        <f>IF(OR($A25="",L$6&gt;TODAY()),"",SUMIFS('日次ログ'!$D$5:$D$1504,'日次ログ'!$B$5:$B$1504,$A25,'日次ログ'!$A$5:$A$1504,"&gt;="&amp;L$6,'日次ログ'!$A$5:$A$1504,"&lt;"&amp;(L$6+7)))</f>
        <v/>
      </c>
      <c r="M25" s="10">
        <f>IF(OR($A25="",M$6&gt;TODAY()),"",SUMIFS('日次ログ'!$D$5:$D$1504,'日次ログ'!$B$5:$B$1504,$A25,'日次ログ'!$A$5:$A$1504,"&gt;="&amp;M$6,'日次ログ'!$A$5:$A$1504,"&lt;"&amp;(M$6+7)))</f>
        <v/>
      </c>
      <c r="N25" s="10">
        <f>IF(OR($A25="",N$6&gt;TODAY()),"",SUMIFS('日次ログ'!$D$5:$D$1504,'日次ログ'!$B$5:$B$1504,$A25,'日次ログ'!$A$5:$A$1504,"&gt;="&amp;N$6,'日次ログ'!$A$5:$A$1504,"&lt;"&amp;(N$6+7)))</f>
        <v/>
      </c>
      <c r="O25" s="19">
        <f>IF($A25="","",SUM(B25:N25))</f>
        <v/>
      </c>
    </row>
    <row r="26">
      <c r="A26" s="15">
        <f>'📊ダッシュボード'!A27&amp;""</f>
        <v/>
      </c>
      <c r="B26" s="10">
        <f>IF(OR($A26="",B$6&gt;TODAY()),"",SUMIFS('日次ログ'!$D$5:$D$1504,'日次ログ'!$B$5:$B$1504,$A26,'日次ログ'!$A$5:$A$1504,"&gt;="&amp;B$6,'日次ログ'!$A$5:$A$1504,"&lt;"&amp;(B$6+7)))</f>
        <v/>
      </c>
      <c r="C26" s="10">
        <f>IF(OR($A26="",C$6&gt;TODAY()),"",SUMIFS('日次ログ'!$D$5:$D$1504,'日次ログ'!$B$5:$B$1504,$A26,'日次ログ'!$A$5:$A$1504,"&gt;="&amp;C$6,'日次ログ'!$A$5:$A$1504,"&lt;"&amp;(C$6+7)))</f>
        <v/>
      </c>
      <c r="D26" s="10">
        <f>IF(OR($A26="",D$6&gt;TODAY()),"",SUMIFS('日次ログ'!$D$5:$D$1504,'日次ログ'!$B$5:$B$1504,$A26,'日次ログ'!$A$5:$A$1504,"&gt;="&amp;D$6,'日次ログ'!$A$5:$A$1504,"&lt;"&amp;(D$6+7)))</f>
        <v/>
      </c>
      <c r="E26" s="10">
        <f>IF(OR($A26="",E$6&gt;TODAY()),"",SUMIFS('日次ログ'!$D$5:$D$1504,'日次ログ'!$B$5:$B$1504,$A26,'日次ログ'!$A$5:$A$1504,"&gt;="&amp;E$6,'日次ログ'!$A$5:$A$1504,"&lt;"&amp;(E$6+7)))</f>
        <v/>
      </c>
      <c r="F26" s="10">
        <f>IF(OR($A26="",F$6&gt;TODAY()),"",SUMIFS('日次ログ'!$D$5:$D$1504,'日次ログ'!$B$5:$B$1504,$A26,'日次ログ'!$A$5:$A$1504,"&gt;="&amp;F$6,'日次ログ'!$A$5:$A$1504,"&lt;"&amp;(F$6+7)))</f>
        <v/>
      </c>
      <c r="G26" s="10">
        <f>IF(OR($A26="",G$6&gt;TODAY()),"",SUMIFS('日次ログ'!$D$5:$D$1504,'日次ログ'!$B$5:$B$1504,$A26,'日次ログ'!$A$5:$A$1504,"&gt;="&amp;G$6,'日次ログ'!$A$5:$A$1504,"&lt;"&amp;(G$6+7)))</f>
        <v/>
      </c>
      <c r="H26" s="10">
        <f>IF(OR($A26="",H$6&gt;TODAY()),"",SUMIFS('日次ログ'!$D$5:$D$1504,'日次ログ'!$B$5:$B$1504,$A26,'日次ログ'!$A$5:$A$1504,"&gt;="&amp;H$6,'日次ログ'!$A$5:$A$1504,"&lt;"&amp;(H$6+7)))</f>
        <v/>
      </c>
      <c r="I26" s="10">
        <f>IF(OR($A26="",I$6&gt;TODAY()),"",SUMIFS('日次ログ'!$D$5:$D$1504,'日次ログ'!$B$5:$B$1504,$A26,'日次ログ'!$A$5:$A$1504,"&gt;="&amp;I$6,'日次ログ'!$A$5:$A$1504,"&lt;"&amp;(I$6+7)))</f>
        <v/>
      </c>
      <c r="J26" s="10">
        <f>IF(OR($A26="",J$6&gt;TODAY()),"",SUMIFS('日次ログ'!$D$5:$D$1504,'日次ログ'!$B$5:$B$1504,$A26,'日次ログ'!$A$5:$A$1504,"&gt;="&amp;J$6,'日次ログ'!$A$5:$A$1504,"&lt;"&amp;(J$6+7)))</f>
        <v/>
      </c>
      <c r="K26" s="10">
        <f>IF(OR($A26="",K$6&gt;TODAY()),"",SUMIFS('日次ログ'!$D$5:$D$1504,'日次ログ'!$B$5:$B$1504,$A26,'日次ログ'!$A$5:$A$1504,"&gt;="&amp;K$6,'日次ログ'!$A$5:$A$1504,"&lt;"&amp;(K$6+7)))</f>
        <v/>
      </c>
      <c r="L26" s="10">
        <f>IF(OR($A26="",L$6&gt;TODAY()),"",SUMIFS('日次ログ'!$D$5:$D$1504,'日次ログ'!$B$5:$B$1504,$A26,'日次ログ'!$A$5:$A$1504,"&gt;="&amp;L$6,'日次ログ'!$A$5:$A$1504,"&lt;"&amp;(L$6+7)))</f>
        <v/>
      </c>
      <c r="M26" s="10">
        <f>IF(OR($A26="",M$6&gt;TODAY()),"",SUMIFS('日次ログ'!$D$5:$D$1504,'日次ログ'!$B$5:$B$1504,$A26,'日次ログ'!$A$5:$A$1504,"&gt;="&amp;M$6,'日次ログ'!$A$5:$A$1504,"&lt;"&amp;(M$6+7)))</f>
        <v/>
      </c>
      <c r="N26" s="10">
        <f>IF(OR($A26="",N$6&gt;TODAY()),"",SUMIFS('日次ログ'!$D$5:$D$1504,'日次ログ'!$B$5:$B$1504,$A26,'日次ログ'!$A$5:$A$1504,"&gt;="&amp;N$6,'日次ログ'!$A$5:$A$1504,"&lt;"&amp;(N$6+7)))</f>
        <v/>
      </c>
      <c r="O26" s="19">
        <f>IF($A26="","",SUM(B26:N26))</f>
        <v/>
      </c>
    </row>
    <row r="27">
      <c r="A27" s="20" t="inlineStr">
        <is>
          <t>リージョン合計</t>
        </is>
      </c>
      <c r="B27" s="21">
        <f>IF(B$6&gt;TODAY(),"",SUM(B7:B26))</f>
        <v/>
      </c>
      <c r="C27" s="21">
        <f>IF(C$6&gt;TODAY(),"",SUM(C7:C26))</f>
        <v/>
      </c>
      <c r="D27" s="21">
        <f>IF(D$6&gt;TODAY(),"",SUM(D7:D26))</f>
        <v/>
      </c>
      <c r="E27" s="21">
        <f>IF(E$6&gt;TODAY(),"",SUM(E7:E26))</f>
        <v/>
      </c>
      <c r="F27" s="21">
        <f>IF(F$6&gt;TODAY(),"",SUM(F7:F26))</f>
        <v/>
      </c>
      <c r="G27" s="21">
        <f>IF(G$6&gt;TODAY(),"",SUM(G7:G26))</f>
        <v/>
      </c>
      <c r="H27" s="21">
        <f>IF(H$6&gt;TODAY(),"",SUM(H7:H26))</f>
        <v/>
      </c>
      <c r="I27" s="21">
        <f>IF(I$6&gt;TODAY(),"",SUM(I7:I26))</f>
        <v/>
      </c>
      <c r="J27" s="21">
        <f>IF(J$6&gt;TODAY(),"",SUM(J7:J26))</f>
        <v/>
      </c>
      <c r="K27" s="21">
        <f>IF(K$6&gt;TODAY(),"",SUM(K7:K26))</f>
        <v/>
      </c>
      <c r="L27" s="21">
        <f>IF(L$6&gt;TODAY(),"",SUM(L7:L26))</f>
        <v/>
      </c>
      <c r="M27" s="21">
        <f>IF(M$6&gt;TODAY(),"",SUM(M7:M26))</f>
        <v/>
      </c>
      <c r="N27" s="21">
        <f>IF(N$6&gt;TODAY(),"",SUM(N7:N26))</f>
        <v/>
      </c>
      <c r="O27" s="21">
        <f>SUM(O7:O26)</f>
        <v/>
      </c>
    </row>
    <row r="30">
      <c r="A30" s="17" t="inlineStr">
        <is>
          <t>■ 面談実施（日次ログ）</t>
        </is>
      </c>
    </row>
    <row r="31">
      <c r="A31" s="8" t="inlineStr">
        <is>
          <t>週</t>
        </is>
      </c>
      <c r="B31" s="8" t="inlineStr">
        <is>
          <t>第1週</t>
        </is>
      </c>
      <c r="C31" s="8" t="inlineStr">
        <is>
          <t>第2週</t>
        </is>
      </c>
      <c r="D31" s="8" t="inlineStr">
        <is>
          <t>第3週</t>
        </is>
      </c>
      <c r="E31" s="8" t="inlineStr">
        <is>
          <t>第4週</t>
        </is>
      </c>
      <c r="F31" s="8" t="inlineStr">
        <is>
          <t>第5週</t>
        </is>
      </c>
      <c r="G31" s="8" t="inlineStr">
        <is>
          <t>第6週</t>
        </is>
      </c>
      <c r="H31" s="8" t="inlineStr">
        <is>
          <t>第7週</t>
        </is>
      </c>
      <c r="I31" s="8" t="inlineStr">
        <is>
          <t>第8週</t>
        </is>
      </c>
      <c r="J31" s="8" t="inlineStr">
        <is>
          <t>第9週</t>
        </is>
      </c>
      <c r="K31" s="8" t="inlineStr">
        <is>
          <t>第10週</t>
        </is>
      </c>
      <c r="L31" s="8" t="inlineStr">
        <is>
          <t>第11週</t>
        </is>
      </c>
      <c r="M31" s="8" t="inlineStr">
        <is>
          <t>第12週</t>
        </is>
      </c>
      <c r="N31" s="8" t="inlineStr">
        <is>
          <t>第13週</t>
        </is>
      </c>
      <c r="O31" s="8" t="inlineStr"/>
    </row>
    <row r="32">
      <c r="A32" s="8" t="inlineStr">
        <is>
          <t>ローンチ（LD名）</t>
        </is>
      </c>
      <c r="B32" s="18">
        <f>'設定'!$B$12+7*0</f>
        <v/>
      </c>
      <c r="C32" s="18">
        <f>'設定'!$B$12+7*1</f>
        <v/>
      </c>
      <c r="D32" s="18">
        <f>'設定'!$B$12+7*2</f>
        <v/>
      </c>
      <c r="E32" s="18">
        <f>'設定'!$B$12+7*3</f>
        <v/>
      </c>
      <c r="F32" s="18">
        <f>'設定'!$B$12+7*4</f>
        <v/>
      </c>
      <c r="G32" s="18">
        <f>'設定'!$B$12+7*5</f>
        <v/>
      </c>
      <c r="H32" s="18">
        <f>'設定'!$B$12+7*6</f>
        <v/>
      </c>
      <c r="I32" s="18">
        <f>'設定'!$B$12+7*7</f>
        <v/>
      </c>
      <c r="J32" s="18">
        <f>'設定'!$B$12+7*8</f>
        <v/>
      </c>
      <c r="K32" s="18">
        <f>'設定'!$B$12+7*9</f>
        <v/>
      </c>
      <c r="L32" s="18">
        <f>'設定'!$B$12+7*10</f>
        <v/>
      </c>
      <c r="M32" s="18">
        <f>'設定'!$B$12+7*11</f>
        <v/>
      </c>
      <c r="N32" s="18">
        <f>'設定'!$B$12+7*12</f>
        <v/>
      </c>
      <c r="O32" s="8" t="inlineStr">
        <is>
          <t>累計</t>
        </is>
      </c>
    </row>
    <row r="33">
      <c r="A33" s="15">
        <f>'📊ダッシュボード'!A8&amp;""</f>
        <v/>
      </c>
      <c r="B33" s="10">
        <f>IF(OR($A33="",B$32&gt;TODAY()),"",SUMIFS('日次ログ'!$F$5:$F$1504,'日次ログ'!$B$5:$B$1504,$A33,'日次ログ'!$A$5:$A$1504,"&gt;="&amp;B$32,'日次ログ'!$A$5:$A$1504,"&lt;"&amp;(B$32+7)))</f>
        <v/>
      </c>
      <c r="C33" s="10">
        <f>IF(OR($A33="",C$32&gt;TODAY()),"",SUMIFS('日次ログ'!$F$5:$F$1504,'日次ログ'!$B$5:$B$1504,$A33,'日次ログ'!$A$5:$A$1504,"&gt;="&amp;C$32,'日次ログ'!$A$5:$A$1504,"&lt;"&amp;(C$32+7)))</f>
        <v/>
      </c>
      <c r="D33" s="10">
        <f>IF(OR($A33="",D$32&gt;TODAY()),"",SUMIFS('日次ログ'!$F$5:$F$1504,'日次ログ'!$B$5:$B$1504,$A33,'日次ログ'!$A$5:$A$1504,"&gt;="&amp;D$32,'日次ログ'!$A$5:$A$1504,"&lt;"&amp;(D$32+7)))</f>
        <v/>
      </c>
      <c r="E33" s="10">
        <f>IF(OR($A33="",E$32&gt;TODAY()),"",SUMIFS('日次ログ'!$F$5:$F$1504,'日次ログ'!$B$5:$B$1504,$A33,'日次ログ'!$A$5:$A$1504,"&gt;="&amp;E$32,'日次ログ'!$A$5:$A$1504,"&lt;"&amp;(E$32+7)))</f>
        <v/>
      </c>
      <c r="F33" s="10">
        <f>IF(OR($A33="",F$32&gt;TODAY()),"",SUMIFS('日次ログ'!$F$5:$F$1504,'日次ログ'!$B$5:$B$1504,$A33,'日次ログ'!$A$5:$A$1504,"&gt;="&amp;F$32,'日次ログ'!$A$5:$A$1504,"&lt;"&amp;(F$32+7)))</f>
        <v/>
      </c>
      <c r="G33" s="10">
        <f>IF(OR($A33="",G$32&gt;TODAY()),"",SUMIFS('日次ログ'!$F$5:$F$1504,'日次ログ'!$B$5:$B$1504,$A33,'日次ログ'!$A$5:$A$1504,"&gt;="&amp;G$32,'日次ログ'!$A$5:$A$1504,"&lt;"&amp;(G$32+7)))</f>
        <v/>
      </c>
      <c r="H33" s="10">
        <f>IF(OR($A33="",H$32&gt;TODAY()),"",SUMIFS('日次ログ'!$F$5:$F$1504,'日次ログ'!$B$5:$B$1504,$A33,'日次ログ'!$A$5:$A$1504,"&gt;="&amp;H$32,'日次ログ'!$A$5:$A$1504,"&lt;"&amp;(H$32+7)))</f>
        <v/>
      </c>
      <c r="I33" s="10">
        <f>IF(OR($A33="",I$32&gt;TODAY()),"",SUMIFS('日次ログ'!$F$5:$F$1504,'日次ログ'!$B$5:$B$1504,$A33,'日次ログ'!$A$5:$A$1504,"&gt;="&amp;I$32,'日次ログ'!$A$5:$A$1504,"&lt;"&amp;(I$32+7)))</f>
        <v/>
      </c>
      <c r="J33" s="10">
        <f>IF(OR($A33="",J$32&gt;TODAY()),"",SUMIFS('日次ログ'!$F$5:$F$1504,'日次ログ'!$B$5:$B$1504,$A33,'日次ログ'!$A$5:$A$1504,"&gt;="&amp;J$32,'日次ログ'!$A$5:$A$1504,"&lt;"&amp;(J$32+7)))</f>
        <v/>
      </c>
      <c r="K33" s="10">
        <f>IF(OR($A33="",K$32&gt;TODAY()),"",SUMIFS('日次ログ'!$F$5:$F$1504,'日次ログ'!$B$5:$B$1504,$A33,'日次ログ'!$A$5:$A$1504,"&gt;="&amp;K$32,'日次ログ'!$A$5:$A$1504,"&lt;"&amp;(K$32+7)))</f>
        <v/>
      </c>
      <c r="L33" s="10">
        <f>IF(OR($A33="",L$32&gt;TODAY()),"",SUMIFS('日次ログ'!$F$5:$F$1504,'日次ログ'!$B$5:$B$1504,$A33,'日次ログ'!$A$5:$A$1504,"&gt;="&amp;L$32,'日次ログ'!$A$5:$A$1504,"&lt;"&amp;(L$32+7)))</f>
        <v/>
      </c>
      <c r="M33" s="10">
        <f>IF(OR($A33="",M$32&gt;TODAY()),"",SUMIFS('日次ログ'!$F$5:$F$1504,'日次ログ'!$B$5:$B$1504,$A33,'日次ログ'!$A$5:$A$1504,"&gt;="&amp;M$32,'日次ログ'!$A$5:$A$1504,"&lt;"&amp;(M$32+7)))</f>
        <v/>
      </c>
      <c r="N33" s="10">
        <f>IF(OR($A33="",N$32&gt;TODAY()),"",SUMIFS('日次ログ'!$F$5:$F$1504,'日次ログ'!$B$5:$B$1504,$A33,'日次ログ'!$A$5:$A$1504,"&gt;="&amp;N$32,'日次ログ'!$A$5:$A$1504,"&lt;"&amp;(N$32+7)))</f>
        <v/>
      </c>
      <c r="O33" s="19">
        <f>IF($A33="","",SUM(B33:N33))</f>
        <v/>
      </c>
    </row>
    <row r="34">
      <c r="A34" s="15">
        <f>'📊ダッシュボード'!A9&amp;""</f>
        <v/>
      </c>
      <c r="B34" s="10">
        <f>IF(OR($A34="",B$32&gt;TODAY()),"",SUMIFS('日次ログ'!$F$5:$F$1504,'日次ログ'!$B$5:$B$1504,$A34,'日次ログ'!$A$5:$A$1504,"&gt;="&amp;B$32,'日次ログ'!$A$5:$A$1504,"&lt;"&amp;(B$32+7)))</f>
        <v/>
      </c>
      <c r="C34" s="10">
        <f>IF(OR($A34="",C$32&gt;TODAY()),"",SUMIFS('日次ログ'!$F$5:$F$1504,'日次ログ'!$B$5:$B$1504,$A34,'日次ログ'!$A$5:$A$1504,"&gt;="&amp;C$32,'日次ログ'!$A$5:$A$1504,"&lt;"&amp;(C$32+7)))</f>
        <v/>
      </c>
      <c r="D34" s="10">
        <f>IF(OR($A34="",D$32&gt;TODAY()),"",SUMIFS('日次ログ'!$F$5:$F$1504,'日次ログ'!$B$5:$B$1504,$A34,'日次ログ'!$A$5:$A$1504,"&gt;="&amp;D$32,'日次ログ'!$A$5:$A$1504,"&lt;"&amp;(D$32+7)))</f>
        <v/>
      </c>
      <c r="E34" s="10">
        <f>IF(OR($A34="",E$32&gt;TODAY()),"",SUMIFS('日次ログ'!$F$5:$F$1504,'日次ログ'!$B$5:$B$1504,$A34,'日次ログ'!$A$5:$A$1504,"&gt;="&amp;E$32,'日次ログ'!$A$5:$A$1504,"&lt;"&amp;(E$32+7)))</f>
        <v/>
      </c>
      <c r="F34" s="10">
        <f>IF(OR($A34="",F$32&gt;TODAY()),"",SUMIFS('日次ログ'!$F$5:$F$1504,'日次ログ'!$B$5:$B$1504,$A34,'日次ログ'!$A$5:$A$1504,"&gt;="&amp;F$32,'日次ログ'!$A$5:$A$1504,"&lt;"&amp;(F$32+7)))</f>
        <v/>
      </c>
      <c r="G34" s="10">
        <f>IF(OR($A34="",G$32&gt;TODAY()),"",SUMIFS('日次ログ'!$F$5:$F$1504,'日次ログ'!$B$5:$B$1504,$A34,'日次ログ'!$A$5:$A$1504,"&gt;="&amp;G$32,'日次ログ'!$A$5:$A$1504,"&lt;"&amp;(G$32+7)))</f>
        <v/>
      </c>
      <c r="H34" s="10">
        <f>IF(OR($A34="",H$32&gt;TODAY()),"",SUMIFS('日次ログ'!$F$5:$F$1504,'日次ログ'!$B$5:$B$1504,$A34,'日次ログ'!$A$5:$A$1504,"&gt;="&amp;H$32,'日次ログ'!$A$5:$A$1504,"&lt;"&amp;(H$32+7)))</f>
        <v/>
      </c>
      <c r="I34" s="10">
        <f>IF(OR($A34="",I$32&gt;TODAY()),"",SUMIFS('日次ログ'!$F$5:$F$1504,'日次ログ'!$B$5:$B$1504,$A34,'日次ログ'!$A$5:$A$1504,"&gt;="&amp;I$32,'日次ログ'!$A$5:$A$1504,"&lt;"&amp;(I$32+7)))</f>
        <v/>
      </c>
      <c r="J34" s="10">
        <f>IF(OR($A34="",J$32&gt;TODAY()),"",SUMIFS('日次ログ'!$F$5:$F$1504,'日次ログ'!$B$5:$B$1504,$A34,'日次ログ'!$A$5:$A$1504,"&gt;="&amp;J$32,'日次ログ'!$A$5:$A$1504,"&lt;"&amp;(J$32+7)))</f>
        <v/>
      </c>
      <c r="K34" s="10">
        <f>IF(OR($A34="",K$32&gt;TODAY()),"",SUMIFS('日次ログ'!$F$5:$F$1504,'日次ログ'!$B$5:$B$1504,$A34,'日次ログ'!$A$5:$A$1504,"&gt;="&amp;K$32,'日次ログ'!$A$5:$A$1504,"&lt;"&amp;(K$32+7)))</f>
        <v/>
      </c>
      <c r="L34" s="10">
        <f>IF(OR($A34="",L$32&gt;TODAY()),"",SUMIFS('日次ログ'!$F$5:$F$1504,'日次ログ'!$B$5:$B$1504,$A34,'日次ログ'!$A$5:$A$1504,"&gt;="&amp;L$32,'日次ログ'!$A$5:$A$1504,"&lt;"&amp;(L$32+7)))</f>
        <v/>
      </c>
      <c r="M34" s="10">
        <f>IF(OR($A34="",M$32&gt;TODAY()),"",SUMIFS('日次ログ'!$F$5:$F$1504,'日次ログ'!$B$5:$B$1504,$A34,'日次ログ'!$A$5:$A$1504,"&gt;="&amp;M$32,'日次ログ'!$A$5:$A$1504,"&lt;"&amp;(M$32+7)))</f>
        <v/>
      </c>
      <c r="N34" s="10">
        <f>IF(OR($A34="",N$32&gt;TODAY()),"",SUMIFS('日次ログ'!$F$5:$F$1504,'日次ログ'!$B$5:$B$1504,$A34,'日次ログ'!$A$5:$A$1504,"&gt;="&amp;N$32,'日次ログ'!$A$5:$A$1504,"&lt;"&amp;(N$32+7)))</f>
        <v/>
      </c>
      <c r="O34" s="19">
        <f>IF($A34="","",SUM(B34:N34))</f>
        <v/>
      </c>
    </row>
    <row r="35">
      <c r="A35" s="15">
        <f>'📊ダッシュボード'!A10&amp;""</f>
        <v/>
      </c>
      <c r="B35" s="10">
        <f>IF(OR($A35="",B$32&gt;TODAY()),"",SUMIFS('日次ログ'!$F$5:$F$1504,'日次ログ'!$B$5:$B$1504,$A35,'日次ログ'!$A$5:$A$1504,"&gt;="&amp;B$32,'日次ログ'!$A$5:$A$1504,"&lt;"&amp;(B$32+7)))</f>
        <v/>
      </c>
      <c r="C35" s="10">
        <f>IF(OR($A35="",C$32&gt;TODAY()),"",SUMIFS('日次ログ'!$F$5:$F$1504,'日次ログ'!$B$5:$B$1504,$A35,'日次ログ'!$A$5:$A$1504,"&gt;="&amp;C$32,'日次ログ'!$A$5:$A$1504,"&lt;"&amp;(C$32+7)))</f>
        <v/>
      </c>
      <c r="D35" s="10">
        <f>IF(OR($A35="",D$32&gt;TODAY()),"",SUMIFS('日次ログ'!$F$5:$F$1504,'日次ログ'!$B$5:$B$1504,$A35,'日次ログ'!$A$5:$A$1504,"&gt;="&amp;D$32,'日次ログ'!$A$5:$A$1504,"&lt;"&amp;(D$32+7)))</f>
        <v/>
      </c>
      <c r="E35" s="10">
        <f>IF(OR($A35="",E$32&gt;TODAY()),"",SUMIFS('日次ログ'!$F$5:$F$1504,'日次ログ'!$B$5:$B$1504,$A35,'日次ログ'!$A$5:$A$1504,"&gt;="&amp;E$32,'日次ログ'!$A$5:$A$1504,"&lt;"&amp;(E$32+7)))</f>
        <v/>
      </c>
      <c r="F35" s="10">
        <f>IF(OR($A35="",F$32&gt;TODAY()),"",SUMIFS('日次ログ'!$F$5:$F$1504,'日次ログ'!$B$5:$B$1504,$A35,'日次ログ'!$A$5:$A$1504,"&gt;="&amp;F$32,'日次ログ'!$A$5:$A$1504,"&lt;"&amp;(F$32+7)))</f>
        <v/>
      </c>
      <c r="G35" s="10">
        <f>IF(OR($A35="",G$32&gt;TODAY()),"",SUMIFS('日次ログ'!$F$5:$F$1504,'日次ログ'!$B$5:$B$1504,$A35,'日次ログ'!$A$5:$A$1504,"&gt;="&amp;G$32,'日次ログ'!$A$5:$A$1504,"&lt;"&amp;(G$32+7)))</f>
        <v/>
      </c>
      <c r="H35" s="10">
        <f>IF(OR($A35="",H$32&gt;TODAY()),"",SUMIFS('日次ログ'!$F$5:$F$1504,'日次ログ'!$B$5:$B$1504,$A35,'日次ログ'!$A$5:$A$1504,"&gt;="&amp;H$32,'日次ログ'!$A$5:$A$1504,"&lt;"&amp;(H$32+7)))</f>
        <v/>
      </c>
      <c r="I35" s="10">
        <f>IF(OR($A35="",I$32&gt;TODAY()),"",SUMIFS('日次ログ'!$F$5:$F$1504,'日次ログ'!$B$5:$B$1504,$A35,'日次ログ'!$A$5:$A$1504,"&gt;="&amp;I$32,'日次ログ'!$A$5:$A$1504,"&lt;"&amp;(I$32+7)))</f>
        <v/>
      </c>
      <c r="J35" s="10">
        <f>IF(OR($A35="",J$32&gt;TODAY()),"",SUMIFS('日次ログ'!$F$5:$F$1504,'日次ログ'!$B$5:$B$1504,$A35,'日次ログ'!$A$5:$A$1504,"&gt;="&amp;J$32,'日次ログ'!$A$5:$A$1504,"&lt;"&amp;(J$32+7)))</f>
        <v/>
      </c>
      <c r="K35" s="10">
        <f>IF(OR($A35="",K$32&gt;TODAY()),"",SUMIFS('日次ログ'!$F$5:$F$1504,'日次ログ'!$B$5:$B$1504,$A35,'日次ログ'!$A$5:$A$1504,"&gt;="&amp;K$32,'日次ログ'!$A$5:$A$1504,"&lt;"&amp;(K$32+7)))</f>
        <v/>
      </c>
      <c r="L35" s="10">
        <f>IF(OR($A35="",L$32&gt;TODAY()),"",SUMIFS('日次ログ'!$F$5:$F$1504,'日次ログ'!$B$5:$B$1504,$A35,'日次ログ'!$A$5:$A$1504,"&gt;="&amp;L$32,'日次ログ'!$A$5:$A$1504,"&lt;"&amp;(L$32+7)))</f>
        <v/>
      </c>
      <c r="M35" s="10">
        <f>IF(OR($A35="",M$32&gt;TODAY()),"",SUMIFS('日次ログ'!$F$5:$F$1504,'日次ログ'!$B$5:$B$1504,$A35,'日次ログ'!$A$5:$A$1504,"&gt;="&amp;M$32,'日次ログ'!$A$5:$A$1504,"&lt;"&amp;(M$32+7)))</f>
        <v/>
      </c>
      <c r="N35" s="10">
        <f>IF(OR($A35="",N$32&gt;TODAY()),"",SUMIFS('日次ログ'!$F$5:$F$1504,'日次ログ'!$B$5:$B$1504,$A35,'日次ログ'!$A$5:$A$1504,"&gt;="&amp;N$32,'日次ログ'!$A$5:$A$1504,"&lt;"&amp;(N$32+7)))</f>
        <v/>
      </c>
      <c r="O35" s="19">
        <f>IF($A35="","",SUM(B35:N35))</f>
        <v/>
      </c>
    </row>
    <row r="36">
      <c r="A36" s="15">
        <f>'📊ダッシュボード'!A11&amp;""</f>
        <v/>
      </c>
      <c r="B36" s="10">
        <f>IF(OR($A36="",B$32&gt;TODAY()),"",SUMIFS('日次ログ'!$F$5:$F$1504,'日次ログ'!$B$5:$B$1504,$A36,'日次ログ'!$A$5:$A$1504,"&gt;="&amp;B$32,'日次ログ'!$A$5:$A$1504,"&lt;"&amp;(B$32+7)))</f>
        <v/>
      </c>
      <c r="C36" s="10">
        <f>IF(OR($A36="",C$32&gt;TODAY()),"",SUMIFS('日次ログ'!$F$5:$F$1504,'日次ログ'!$B$5:$B$1504,$A36,'日次ログ'!$A$5:$A$1504,"&gt;="&amp;C$32,'日次ログ'!$A$5:$A$1504,"&lt;"&amp;(C$32+7)))</f>
        <v/>
      </c>
      <c r="D36" s="10">
        <f>IF(OR($A36="",D$32&gt;TODAY()),"",SUMIFS('日次ログ'!$F$5:$F$1504,'日次ログ'!$B$5:$B$1504,$A36,'日次ログ'!$A$5:$A$1504,"&gt;="&amp;D$32,'日次ログ'!$A$5:$A$1504,"&lt;"&amp;(D$32+7)))</f>
        <v/>
      </c>
      <c r="E36" s="10">
        <f>IF(OR($A36="",E$32&gt;TODAY()),"",SUMIFS('日次ログ'!$F$5:$F$1504,'日次ログ'!$B$5:$B$1504,$A36,'日次ログ'!$A$5:$A$1504,"&gt;="&amp;E$32,'日次ログ'!$A$5:$A$1504,"&lt;"&amp;(E$32+7)))</f>
        <v/>
      </c>
      <c r="F36" s="10">
        <f>IF(OR($A36="",F$32&gt;TODAY()),"",SUMIFS('日次ログ'!$F$5:$F$1504,'日次ログ'!$B$5:$B$1504,$A36,'日次ログ'!$A$5:$A$1504,"&gt;="&amp;F$32,'日次ログ'!$A$5:$A$1504,"&lt;"&amp;(F$32+7)))</f>
        <v/>
      </c>
      <c r="G36" s="10">
        <f>IF(OR($A36="",G$32&gt;TODAY()),"",SUMIFS('日次ログ'!$F$5:$F$1504,'日次ログ'!$B$5:$B$1504,$A36,'日次ログ'!$A$5:$A$1504,"&gt;="&amp;G$32,'日次ログ'!$A$5:$A$1504,"&lt;"&amp;(G$32+7)))</f>
        <v/>
      </c>
      <c r="H36" s="10">
        <f>IF(OR($A36="",H$32&gt;TODAY()),"",SUMIFS('日次ログ'!$F$5:$F$1504,'日次ログ'!$B$5:$B$1504,$A36,'日次ログ'!$A$5:$A$1504,"&gt;="&amp;H$32,'日次ログ'!$A$5:$A$1504,"&lt;"&amp;(H$32+7)))</f>
        <v/>
      </c>
      <c r="I36" s="10">
        <f>IF(OR($A36="",I$32&gt;TODAY()),"",SUMIFS('日次ログ'!$F$5:$F$1504,'日次ログ'!$B$5:$B$1504,$A36,'日次ログ'!$A$5:$A$1504,"&gt;="&amp;I$32,'日次ログ'!$A$5:$A$1504,"&lt;"&amp;(I$32+7)))</f>
        <v/>
      </c>
      <c r="J36" s="10">
        <f>IF(OR($A36="",J$32&gt;TODAY()),"",SUMIFS('日次ログ'!$F$5:$F$1504,'日次ログ'!$B$5:$B$1504,$A36,'日次ログ'!$A$5:$A$1504,"&gt;="&amp;J$32,'日次ログ'!$A$5:$A$1504,"&lt;"&amp;(J$32+7)))</f>
        <v/>
      </c>
      <c r="K36" s="10">
        <f>IF(OR($A36="",K$32&gt;TODAY()),"",SUMIFS('日次ログ'!$F$5:$F$1504,'日次ログ'!$B$5:$B$1504,$A36,'日次ログ'!$A$5:$A$1504,"&gt;="&amp;K$32,'日次ログ'!$A$5:$A$1504,"&lt;"&amp;(K$32+7)))</f>
        <v/>
      </c>
      <c r="L36" s="10">
        <f>IF(OR($A36="",L$32&gt;TODAY()),"",SUMIFS('日次ログ'!$F$5:$F$1504,'日次ログ'!$B$5:$B$1504,$A36,'日次ログ'!$A$5:$A$1504,"&gt;="&amp;L$32,'日次ログ'!$A$5:$A$1504,"&lt;"&amp;(L$32+7)))</f>
        <v/>
      </c>
      <c r="M36" s="10">
        <f>IF(OR($A36="",M$32&gt;TODAY()),"",SUMIFS('日次ログ'!$F$5:$F$1504,'日次ログ'!$B$5:$B$1504,$A36,'日次ログ'!$A$5:$A$1504,"&gt;="&amp;M$32,'日次ログ'!$A$5:$A$1504,"&lt;"&amp;(M$32+7)))</f>
        <v/>
      </c>
      <c r="N36" s="10">
        <f>IF(OR($A36="",N$32&gt;TODAY()),"",SUMIFS('日次ログ'!$F$5:$F$1504,'日次ログ'!$B$5:$B$1504,$A36,'日次ログ'!$A$5:$A$1504,"&gt;="&amp;N$32,'日次ログ'!$A$5:$A$1504,"&lt;"&amp;(N$32+7)))</f>
        <v/>
      </c>
      <c r="O36" s="19">
        <f>IF($A36="","",SUM(B36:N36))</f>
        <v/>
      </c>
    </row>
    <row r="37">
      <c r="A37" s="15">
        <f>'📊ダッシュボード'!A12&amp;""</f>
        <v/>
      </c>
      <c r="B37" s="10">
        <f>IF(OR($A37="",B$32&gt;TODAY()),"",SUMIFS('日次ログ'!$F$5:$F$1504,'日次ログ'!$B$5:$B$1504,$A37,'日次ログ'!$A$5:$A$1504,"&gt;="&amp;B$32,'日次ログ'!$A$5:$A$1504,"&lt;"&amp;(B$32+7)))</f>
        <v/>
      </c>
      <c r="C37" s="10">
        <f>IF(OR($A37="",C$32&gt;TODAY()),"",SUMIFS('日次ログ'!$F$5:$F$1504,'日次ログ'!$B$5:$B$1504,$A37,'日次ログ'!$A$5:$A$1504,"&gt;="&amp;C$32,'日次ログ'!$A$5:$A$1504,"&lt;"&amp;(C$32+7)))</f>
        <v/>
      </c>
      <c r="D37" s="10">
        <f>IF(OR($A37="",D$32&gt;TODAY()),"",SUMIFS('日次ログ'!$F$5:$F$1504,'日次ログ'!$B$5:$B$1504,$A37,'日次ログ'!$A$5:$A$1504,"&gt;="&amp;D$32,'日次ログ'!$A$5:$A$1504,"&lt;"&amp;(D$32+7)))</f>
        <v/>
      </c>
      <c r="E37" s="10">
        <f>IF(OR($A37="",E$32&gt;TODAY()),"",SUMIFS('日次ログ'!$F$5:$F$1504,'日次ログ'!$B$5:$B$1504,$A37,'日次ログ'!$A$5:$A$1504,"&gt;="&amp;E$32,'日次ログ'!$A$5:$A$1504,"&lt;"&amp;(E$32+7)))</f>
        <v/>
      </c>
      <c r="F37" s="10">
        <f>IF(OR($A37="",F$32&gt;TODAY()),"",SUMIFS('日次ログ'!$F$5:$F$1504,'日次ログ'!$B$5:$B$1504,$A37,'日次ログ'!$A$5:$A$1504,"&gt;="&amp;F$32,'日次ログ'!$A$5:$A$1504,"&lt;"&amp;(F$32+7)))</f>
        <v/>
      </c>
      <c r="G37" s="10">
        <f>IF(OR($A37="",G$32&gt;TODAY()),"",SUMIFS('日次ログ'!$F$5:$F$1504,'日次ログ'!$B$5:$B$1504,$A37,'日次ログ'!$A$5:$A$1504,"&gt;="&amp;G$32,'日次ログ'!$A$5:$A$1504,"&lt;"&amp;(G$32+7)))</f>
        <v/>
      </c>
      <c r="H37" s="10">
        <f>IF(OR($A37="",H$32&gt;TODAY()),"",SUMIFS('日次ログ'!$F$5:$F$1504,'日次ログ'!$B$5:$B$1504,$A37,'日次ログ'!$A$5:$A$1504,"&gt;="&amp;H$32,'日次ログ'!$A$5:$A$1504,"&lt;"&amp;(H$32+7)))</f>
        <v/>
      </c>
      <c r="I37" s="10">
        <f>IF(OR($A37="",I$32&gt;TODAY()),"",SUMIFS('日次ログ'!$F$5:$F$1504,'日次ログ'!$B$5:$B$1504,$A37,'日次ログ'!$A$5:$A$1504,"&gt;="&amp;I$32,'日次ログ'!$A$5:$A$1504,"&lt;"&amp;(I$32+7)))</f>
        <v/>
      </c>
      <c r="J37" s="10">
        <f>IF(OR($A37="",J$32&gt;TODAY()),"",SUMIFS('日次ログ'!$F$5:$F$1504,'日次ログ'!$B$5:$B$1504,$A37,'日次ログ'!$A$5:$A$1504,"&gt;="&amp;J$32,'日次ログ'!$A$5:$A$1504,"&lt;"&amp;(J$32+7)))</f>
        <v/>
      </c>
      <c r="K37" s="10">
        <f>IF(OR($A37="",K$32&gt;TODAY()),"",SUMIFS('日次ログ'!$F$5:$F$1504,'日次ログ'!$B$5:$B$1504,$A37,'日次ログ'!$A$5:$A$1504,"&gt;="&amp;K$32,'日次ログ'!$A$5:$A$1504,"&lt;"&amp;(K$32+7)))</f>
        <v/>
      </c>
      <c r="L37" s="10">
        <f>IF(OR($A37="",L$32&gt;TODAY()),"",SUMIFS('日次ログ'!$F$5:$F$1504,'日次ログ'!$B$5:$B$1504,$A37,'日次ログ'!$A$5:$A$1504,"&gt;="&amp;L$32,'日次ログ'!$A$5:$A$1504,"&lt;"&amp;(L$32+7)))</f>
        <v/>
      </c>
      <c r="M37" s="10">
        <f>IF(OR($A37="",M$32&gt;TODAY()),"",SUMIFS('日次ログ'!$F$5:$F$1504,'日次ログ'!$B$5:$B$1504,$A37,'日次ログ'!$A$5:$A$1504,"&gt;="&amp;M$32,'日次ログ'!$A$5:$A$1504,"&lt;"&amp;(M$32+7)))</f>
        <v/>
      </c>
      <c r="N37" s="10">
        <f>IF(OR($A37="",N$32&gt;TODAY()),"",SUMIFS('日次ログ'!$F$5:$F$1504,'日次ログ'!$B$5:$B$1504,$A37,'日次ログ'!$A$5:$A$1504,"&gt;="&amp;N$32,'日次ログ'!$A$5:$A$1504,"&lt;"&amp;(N$32+7)))</f>
        <v/>
      </c>
      <c r="O37" s="19">
        <f>IF($A37="","",SUM(B37:N37))</f>
        <v/>
      </c>
    </row>
    <row r="38">
      <c r="A38" s="15">
        <f>'📊ダッシュボード'!A13&amp;""</f>
        <v/>
      </c>
      <c r="B38" s="10">
        <f>IF(OR($A38="",B$32&gt;TODAY()),"",SUMIFS('日次ログ'!$F$5:$F$1504,'日次ログ'!$B$5:$B$1504,$A38,'日次ログ'!$A$5:$A$1504,"&gt;="&amp;B$32,'日次ログ'!$A$5:$A$1504,"&lt;"&amp;(B$32+7)))</f>
        <v/>
      </c>
      <c r="C38" s="10">
        <f>IF(OR($A38="",C$32&gt;TODAY()),"",SUMIFS('日次ログ'!$F$5:$F$1504,'日次ログ'!$B$5:$B$1504,$A38,'日次ログ'!$A$5:$A$1504,"&gt;="&amp;C$32,'日次ログ'!$A$5:$A$1504,"&lt;"&amp;(C$32+7)))</f>
        <v/>
      </c>
      <c r="D38" s="10">
        <f>IF(OR($A38="",D$32&gt;TODAY()),"",SUMIFS('日次ログ'!$F$5:$F$1504,'日次ログ'!$B$5:$B$1504,$A38,'日次ログ'!$A$5:$A$1504,"&gt;="&amp;D$32,'日次ログ'!$A$5:$A$1504,"&lt;"&amp;(D$32+7)))</f>
        <v/>
      </c>
      <c r="E38" s="10">
        <f>IF(OR($A38="",E$32&gt;TODAY()),"",SUMIFS('日次ログ'!$F$5:$F$1504,'日次ログ'!$B$5:$B$1504,$A38,'日次ログ'!$A$5:$A$1504,"&gt;="&amp;E$32,'日次ログ'!$A$5:$A$1504,"&lt;"&amp;(E$32+7)))</f>
        <v/>
      </c>
      <c r="F38" s="10">
        <f>IF(OR($A38="",F$32&gt;TODAY()),"",SUMIFS('日次ログ'!$F$5:$F$1504,'日次ログ'!$B$5:$B$1504,$A38,'日次ログ'!$A$5:$A$1504,"&gt;="&amp;F$32,'日次ログ'!$A$5:$A$1504,"&lt;"&amp;(F$32+7)))</f>
        <v/>
      </c>
      <c r="G38" s="10">
        <f>IF(OR($A38="",G$32&gt;TODAY()),"",SUMIFS('日次ログ'!$F$5:$F$1504,'日次ログ'!$B$5:$B$1504,$A38,'日次ログ'!$A$5:$A$1504,"&gt;="&amp;G$32,'日次ログ'!$A$5:$A$1504,"&lt;"&amp;(G$32+7)))</f>
        <v/>
      </c>
      <c r="H38" s="10">
        <f>IF(OR($A38="",H$32&gt;TODAY()),"",SUMIFS('日次ログ'!$F$5:$F$1504,'日次ログ'!$B$5:$B$1504,$A38,'日次ログ'!$A$5:$A$1504,"&gt;="&amp;H$32,'日次ログ'!$A$5:$A$1504,"&lt;"&amp;(H$32+7)))</f>
        <v/>
      </c>
      <c r="I38" s="10">
        <f>IF(OR($A38="",I$32&gt;TODAY()),"",SUMIFS('日次ログ'!$F$5:$F$1504,'日次ログ'!$B$5:$B$1504,$A38,'日次ログ'!$A$5:$A$1504,"&gt;="&amp;I$32,'日次ログ'!$A$5:$A$1504,"&lt;"&amp;(I$32+7)))</f>
        <v/>
      </c>
      <c r="J38" s="10">
        <f>IF(OR($A38="",J$32&gt;TODAY()),"",SUMIFS('日次ログ'!$F$5:$F$1504,'日次ログ'!$B$5:$B$1504,$A38,'日次ログ'!$A$5:$A$1504,"&gt;="&amp;J$32,'日次ログ'!$A$5:$A$1504,"&lt;"&amp;(J$32+7)))</f>
        <v/>
      </c>
      <c r="K38" s="10">
        <f>IF(OR($A38="",K$32&gt;TODAY()),"",SUMIFS('日次ログ'!$F$5:$F$1504,'日次ログ'!$B$5:$B$1504,$A38,'日次ログ'!$A$5:$A$1504,"&gt;="&amp;K$32,'日次ログ'!$A$5:$A$1504,"&lt;"&amp;(K$32+7)))</f>
        <v/>
      </c>
      <c r="L38" s="10">
        <f>IF(OR($A38="",L$32&gt;TODAY()),"",SUMIFS('日次ログ'!$F$5:$F$1504,'日次ログ'!$B$5:$B$1504,$A38,'日次ログ'!$A$5:$A$1504,"&gt;="&amp;L$32,'日次ログ'!$A$5:$A$1504,"&lt;"&amp;(L$32+7)))</f>
        <v/>
      </c>
      <c r="M38" s="10">
        <f>IF(OR($A38="",M$32&gt;TODAY()),"",SUMIFS('日次ログ'!$F$5:$F$1504,'日次ログ'!$B$5:$B$1504,$A38,'日次ログ'!$A$5:$A$1504,"&gt;="&amp;M$32,'日次ログ'!$A$5:$A$1504,"&lt;"&amp;(M$32+7)))</f>
        <v/>
      </c>
      <c r="N38" s="10">
        <f>IF(OR($A38="",N$32&gt;TODAY()),"",SUMIFS('日次ログ'!$F$5:$F$1504,'日次ログ'!$B$5:$B$1504,$A38,'日次ログ'!$A$5:$A$1504,"&gt;="&amp;N$32,'日次ログ'!$A$5:$A$1504,"&lt;"&amp;(N$32+7)))</f>
        <v/>
      </c>
      <c r="O38" s="19">
        <f>IF($A38="","",SUM(B38:N38))</f>
        <v/>
      </c>
    </row>
    <row r="39">
      <c r="A39" s="15">
        <f>'📊ダッシュボード'!A14&amp;""</f>
        <v/>
      </c>
      <c r="B39" s="10">
        <f>IF(OR($A39="",B$32&gt;TODAY()),"",SUMIFS('日次ログ'!$F$5:$F$1504,'日次ログ'!$B$5:$B$1504,$A39,'日次ログ'!$A$5:$A$1504,"&gt;="&amp;B$32,'日次ログ'!$A$5:$A$1504,"&lt;"&amp;(B$32+7)))</f>
        <v/>
      </c>
      <c r="C39" s="10">
        <f>IF(OR($A39="",C$32&gt;TODAY()),"",SUMIFS('日次ログ'!$F$5:$F$1504,'日次ログ'!$B$5:$B$1504,$A39,'日次ログ'!$A$5:$A$1504,"&gt;="&amp;C$32,'日次ログ'!$A$5:$A$1504,"&lt;"&amp;(C$32+7)))</f>
        <v/>
      </c>
      <c r="D39" s="10">
        <f>IF(OR($A39="",D$32&gt;TODAY()),"",SUMIFS('日次ログ'!$F$5:$F$1504,'日次ログ'!$B$5:$B$1504,$A39,'日次ログ'!$A$5:$A$1504,"&gt;="&amp;D$32,'日次ログ'!$A$5:$A$1504,"&lt;"&amp;(D$32+7)))</f>
        <v/>
      </c>
      <c r="E39" s="10">
        <f>IF(OR($A39="",E$32&gt;TODAY()),"",SUMIFS('日次ログ'!$F$5:$F$1504,'日次ログ'!$B$5:$B$1504,$A39,'日次ログ'!$A$5:$A$1504,"&gt;="&amp;E$32,'日次ログ'!$A$5:$A$1504,"&lt;"&amp;(E$32+7)))</f>
        <v/>
      </c>
      <c r="F39" s="10">
        <f>IF(OR($A39="",F$32&gt;TODAY()),"",SUMIFS('日次ログ'!$F$5:$F$1504,'日次ログ'!$B$5:$B$1504,$A39,'日次ログ'!$A$5:$A$1504,"&gt;="&amp;F$32,'日次ログ'!$A$5:$A$1504,"&lt;"&amp;(F$32+7)))</f>
        <v/>
      </c>
      <c r="G39" s="10">
        <f>IF(OR($A39="",G$32&gt;TODAY()),"",SUMIFS('日次ログ'!$F$5:$F$1504,'日次ログ'!$B$5:$B$1504,$A39,'日次ログ'!$A$5:$A$1504,"&gt;="&amp;G$32,'日次ログ'!$A$5:$A$1504,"&lt;"&amp;(G$32+7)))</f>
        <v/>
      </c>
      <c r="H39" s="10">
        <f>IF(OR($A39="",H$32&gt;TODAY()),"",SUMIFS('日次ログ'!$F$5:$F$1504,'日次ログ'!$B$5:$B$1504,$A39,'日次ログ'!$A$5:$A$1504,"&gt;="&amp;H$32,'日次ログ'!$A$5:$A$1504,"&lt;"&amp;(H$32+7)))</f>
        <v/>
      </c>
      <c r="I39" s="10">
        <f>IF(OR($A39="",I$32&gt;TODAY()),"",SUMIFS('日次ログ'!$F$5:$F$1504,'日次ログ'!$B$5:$B$1504,$A39,'日次ログ'!$A$5:$A$1504,"&gt;="&amp;I$32,'日次ログ'!$A$5:$A$1504,"&lt;"&amp;(I$32+7)))</f>
        <v/>
      </c>
      <c r="J39" s="10">
        <f>IF(OR($A39="",J$32&gt;TODAY()),"",SUMIFS('日次ログ'!$F$5:$F$1504,'日次ログ'!$B$5:$B$1504,$A39,'日次ログ'!$A$5:$A$1504,"&gt;="&amp;J$32,'日次ログ'!$A$5:$A$1504,"&lt;"&amp;(J$32+7)))</f>
        <v/>
      </c>
      <c r="K39" s="10">
        <f>IF(OR($A39="",K$32&gt;TODAY()),"",SUMIFS('日次ログ'!$F$5:$F$1504,'日次ログ'!$B$5:$B$1504,$A39,'日次ログ'!$A$5:$A$1504,"&gt;="&amp;K$32,'日次ログ'!$A$5:$A$1504,"&lt;"&amp;(K$32+7)))</f>
        <v/>
      </c>
      <c r="L39" s="10">
        <f>IF(OR($A39="",L$32&gt;TODAY()),"",SUMIFS('日次ログ'!$F$5:$F$1504,'日次ログ'!$B$5:$B$1504,$A39,'日次ログ'!$A$5:$A$1504,"&gt;="&amp;L$32,'日次ログ'!$A$5:$A$1504,"&lt;"&amp;(L$32+7)))</f>
        <v/>
      </c>
      <c r="M39" s="10">
        <f>IF(OR($A39="",M$32&gt;TODAY()),"",SUMIFS('日次ログ'!$F$5:$F$1504,'日次ログ'!$B$5:$B$1504,$A39,'日次ログ'!$A$5:$A$1504,"&gt;="&amp;M$32,'日次ログ'!$A$5:$A$1504,"&lt;"&amp;(M$32+7)))</f>
        <v/>
      </c>
      <c r="N39" s="10">
        <f>IF(OR($A39="",N$32&gt;TODAY()),"",SUMIFS('日次ログ'!$F$5:$F$1504,'日次ログ'!$B$5:$B$1504,$A39,'日次ログ'!$A$5:$A$1504,"&gt;="&amp;N$32,'日次ログ'!$A$5:$A$1504,"&lt;"&amp;(N$32+7)))</f>
        <v/>
      </c>
      <c r="O39" s="19">
        <f>IF($A39="","",SUM(B39:N39))</f>
        <v/>
      </c>
    </row>
    <row r="40">
      <c r="A40" s="15">
        <f>'📊ダッシュボード'!A15&amp;""</f>
        <v/>
      </c>
      <c r="B40" s="10">
        <f>IF(OR($A40="",B$32&gt;TODAY()),"",SUMIFS('日次ログ'!$F$5:$F$1504,'日次ログ'!$B$5:$B$1504,$A40,'日次ログ'!$A$5:$A$1504,"&gt;="&amp;B$32,'日次ログ'!$A$5:$A$1504,"&lt;"&amp;(B$32+7)))</f>
        <v/>
      </c>
      <c r="C40" s="10">
        <f>IF(OR($A40="",C$32&gt;TODAY()),"",SUMIFS('日次ログ'!$F$5:$F$1504,'日次ログ'!$B$5:$B$1504,$A40,'日次ログ'!$A$5:$A$1504,"&gt;="&amp;C$32,'日次ログ'!$A$5:$A$1504,"&lt;"&amp;(C$32+7)))</f>
        <v/>
      </c>
      <c r="D40" s="10">
        <f>IF(OR($A40="",D$32&gt;TODAY()),"",SUMIFS('日次ログ'!$F$5:$F$1504,'日次ログ'!$B$5:$B$1504,$A40,'日次ログ'!$A$5:$A$1504,"&gt;="&amp;D$32,'日次ログ'!$A$5:$A$1504,"&lt;"&amp;(D$32+7)))</f>
        <v/>
      </c>
      <c r="E40" s="10">
        <f>IF(OR($A40="",E$32&gt;TODAY()),"",SUMIFS('日次ログ'!$F$5:$F$1504,'日次ログ'!$B$5:$B$1504,$A40,'日次ログ'!$A$5:$A$1504,"&gt;="&amp;E$32,'日次ログ'!$A$5:$A$1504,"&lt;"&amp;(E$32+7)))</f>
        <v/>
      </c>
      <c r="F40" s="10">
        <f>IF(OR($A40="",F$32&gt;TODAY()),"",SUMIFS('日次ログ'!$F$5:$F$1504,'日次ログ'!$B$5:$B$1504,$A40,'日次ログ'!$A$5:$A$1504,"&gt;="&amp;F$32,'日次ログ'!$A$5:$A$1504,"&lt;"&amp;(F$32+7)))</f>
        <v/>
      </c>
      <c r="G40" s="10">
        <f>IF(OR($A40="",G$32&gt;TODAY()),"",SUMIFS('日次ログ'!$F$5:$F$1504,'日次ログ'!$B$5:$B$1504,$A40,'日次ログ'!$A$5:$A$1504,"&gt;="&amp;G$32,'日次ログ'!$A$5:$A$1504,"&lt;"&amp;(G$32+7)))</f>
        <v/>
      </c>
      <c r="H40" s="10">
        <f>IF(OR($A40="",H$32&gt;TODAY()),"",SUMIFS('日次ログ'!$F$5:$F$1504,'日次ログ'!$B$5:$B$1504,$A40,'日次ログ'!$A$5:$A$1504,"&gt;="&amp;H$32,'日次ログ'!$A$5:$A$1504,"&lt;"&amp;(H$32+7)))</f>
        <v/>
      </c>
      <c r="I40" s="10">
        <f>IF(OR($A40="",I$32&gt;TODAY()),"",SUMIFS('日次ログ'!$F$5:$F$1504,'日次ログ'!$B$5:$B$1504,$A40,'日次ログ'!$A$5:$A$1504,"&gt;="&amp;I$32,'日次ログ'!$A$5:$A$1504,"&lt;"&amp;(I$32+7)))</f>
        <v/>
      </c>
      <c r="J40" s="10">
        <f>IF(OR($A40="",J$32&gt;TODAY()),"",SUMIFS('日次ログ'!$F$5:$F$1504,'日次ログ'!$B$5:$B$1504,$A40,'日次ログ'!$A$5:$A$1504,"&gt;="&amp;J$32,'日次ログ'!$A$5:$A$1504,"&lt;"&amp;(J$32+7)))</f>
        <v/>
      </c>
      <c r="K40" s="10">
        <f>IF(OR($A40="",K$32&gt;TODAY()),"",SUMIFS('日次ログ'!$F$5:$F$1504,'日次ログ'!$B$5:$B$1504,$A40,'日次ログ'!$A$5:$A$1504,"&gt;="&amp;K$32,'日次ログ'!$A$5:$A$1504,"&lt;"&amp;(K$32+7)))</f>
        <v/>
      </c>
      <c r="L40" s="10">
        <f>IF(OR($A40="",L$32&gt;TODAY()),"",SUMIFS('日次ログ'!$F$5:$F$1504,'日次ログ'!$B$5:$B$1504,$A40,'日次ログ'!$A$5:$A$1504,"&gt;="&amp;L$32,'日次ログ'!$A$5:$A$1504,"&lt;"&amp;(L$32+7)))</f>
        <v/>
      </c>
      <c r="M40" s="10">
        <f>IF(OR($A40="",M$32&gt;TODAY()),"",SUMIFS('日次ログ'!$F$5:$F$1504,'日次ログ'!$B$5:$B$1504,$A40,'日次ログ'!$A$5:$A$1504,"&gt;="&amp;M$32,'日次ログ'!$A$5:$A$1504,"&lt;"&amp;(M$32+7)))</f>
        <v/>
      </c>
      <c r="N40" s="10">
        <f>IF(OR($A40="",N$32&gt;TODAY()),"",SUMIFS('日次ログ'!$F$5:$F$1504,'日次ログ'!$B$5:$B$1504,$A40,'日次ログ'!$A$5:$A$1504,"&gt;="&amp;N$32,'日次ログ'!$A$5:$A$1504,"&lt;"&amp;(N$32+7)))</f>
        <v/>
      </c>
      <c r="O40" s="19">
        <f>IF($A40="","",SUM(B40:N40))</f>
        <v/>
      </c>
    </row>
    <row r="41">
      <c r="A41" s="15">
        <f>'📊ダッシュボード'!A16&amp;""</f>
        <v/>
      </c>
      <c r="B41" s="10">
        <f>IF(OR($A41="",B$32&gt;TODAY()),"",SUMIFS('日次ログ'!$F$5:$F$1504,'日次ログ'!$B$5:$B$1504,$A41,'日次ログ'!$A$5:$A$1504,"&gt;="&amp;B$32,'日次ログ'!$A$5:$A$1504,"&lt;"&amp;(B$32+7)))</f>
        <v/>
      </c>
      <c r="C41" s="10">
        <f>IF(OR($A41="",C$32&gt;TODAY()),"",SUMIFS('日次ログ'!$F$5:$F$1504,'日次ログ'!$B$5:$B$1504,$A41,'日次ログ'!$A$5:$A$1504,"&gt;="&amp;C$32,'日次ログ'!$A$5:$A$1504,"&lt;"&amp;(C$32+7)))</f>
        <v/>
      </c>
      <c r="D41" s="10">
        <f>IF(OR($A41="",D$32&gt;TODAY()),"",SUMIFS('日次ログ'!$F$5:$F$1504,'日次ログ'!$B$5:$B$1504,$A41,'日次ログ'!$A$5:$A$1504,"&gt;="&amp;D$32,'日次ログ'!$A$5:$A$1504,"&lt;"&amp;(D$32+7)))</f>
        <v/>
      </c>
      <c r="E41" s="10">
        <f>IF(OR($A41="",E$32&gt;TODAY()),"",SUMIFS('日次ログ'!$F$5:$F$1504,'日次ログ'!$B$5:$B$1504,$A41,'日次ログ'!$A$5:$A$1504,"&gt;="&amp;E$32,'日次ログ'!$A$5:$A$1504,"&lt;"&amp;(E$32+7)))</f>
        <v/>
      </c>
      <c r="F41" s="10">
        <f>IF(OR($A41="",F$32&gt;TODAY()),"",SUMIFS('日次ログ'!$F$5:$F$1504,'日次ログ'!$B$5:$B$1504,$A41,'日次ログ'!$A$5:$A$1504,"&gt;="&amp;F$32,'日次ログ'!$A$5:$A$1504,"&lt;"&amp;(F$32+7)))</f>
        <v/>
      </c>
      <c r="G41" s="10">
        <f>IF(OR($A41="",G$32&gt;TODAY()),"",SUMIFS('日次ログ'!$F$5:$F$1504,'日次ログ'!$B$5:$B$1504,$A41,'日次ログ'!$A$5:$A$1504,"&gt;="&amp;G$32,'日次ログ'!$A$5:$A$1504,"&lt;"&amp;(G$32+7)))</f>
        <v/>
      </c>
      <c r="H41" s="10">
        <f>IF(OR($A41="",H$32&gt;TODAY()),"",SUMIFS('日次ログ'!$F$5:$F$1504,'日次ログ'!$B$5:$B$1504,$A41,'日次ログ'!$A$5:$A$1504,"&gt;="&amp;H$32,'日次ログ'!$A$5:$A$1504,"&lt;"&amp;(H$32+7)))</f>
        <v/>
      </c>
      <c r="I41" s="10">
        <f>IF(OR($A41="",I$32&gt;TODAY()),"",SUMIFS('日次ログ'!$F$5:$F$1504,'日次ログ'!$B$5:$B$1504,$A41,'日次ログ'!$A$5:$A$1504,"&gt;="&amp;I$32,'日次ログ'!$A$5:$A$1504,"&lt;"&amp;(I$32+7)))</f>
        <v/>
      </c>
      <c r="J41" s="10">
        <f>IF(OR($A41="",J$32&gt;TODAY()),"",SUMIFS('日次ログ'!$F$5:$F$1504,'日次ログ'!$B$5:$B$1504,$A41,'日次ログ'!$A$5:$A$1504,"&gt;="&amp;J$32,'日次ログ'!$A$5:$A$1504,"&lt;"&amp;(J$32+7)))</f>
        <v/>
      </c>
      <c r="K41" s="10">
        <f>IF(OR($A41="",K$32&gt;TODAY()),"",SUMIFS('日次ログ'!$F$5:$F$1504,'日次ログ'!$B$5:$B$1504,$A41,'日次ログ'!$A$5:$A$1504,"&gt;="&amp;K$32,'日次ログ'!$A$5:$A$1504,"&lt;"&amp;(K$32+7)))</f>
        <v/>
      </c>
      <c r="L41" s="10">
        <f>IF(OR($A41="",L$32&gt;TODAY()),"",SUMIFS('日次ログ'!$F$5:$F$1504,'日次ログ'!$B$5:$B$1504,$A41,'日次ログ'!$A$5:$A$1504,"&gt;="&amp;L$32,'日次ログ'!$A$5:$A$1504,"&lt;"&amp;(L$32+7)))</f>
        <v/>
      </c>
      <c r="M41" s="10">
        <f>IF(OR($A41="",M$32&gt;TODAY()),"",SUMIFS('日次ログ'!$F$5:$F$1504,'日次ログ'!$B$5:$B$1504,$A41,'日次ログ'!$A$5:$A$1504,"&gt;="&amp;M$32,'日次ログ'!$A$5:$A$1504,"&lt;"&amp;(M$32+7)))</f>
        <v/>
      </c>
      <c r="N41" s="10">
        <f>IF(OR($A41="",N$32&gt;TODAY()),"",SUMIFS('日次ログ'!$F$5:$F$1504,'日次ログ'!$B$5:$B$1504,$A41,'日次ログ'!$A$5:$A$1504,"&gt;="&amp;N$32,'日次ログ'!$A$5:$A$1504,"&lt;"&amp;(N$32+7)))</f>
        <v/>
      </c>
      <c r="O41" s="19">
        <f>IF($A41="","",SUM(B41:N41))</f>
        <v/>
      </c>
    </row>
    <row r="42">
      <c r="A42" s="15">
        <f>'📊ダッシュボード'!A17&amp;""</f>
        <v/>
      </c>
      <c r="B42" s="10">
        <f>IF(OR($A42="",B$32&gt;TODAY()),"",SUMIFS('日次ログ'!$F$5:$F$1504,'日次ログ'!$B$5:$B$1504,$A42,'日次ログ'!$A$5:$A$1504,"&gt;="&amp;B$32,'日次ログ'!$A$5:$A$1504,"&lt;"&amp;(B$32+7)))</f>
        <v/>
      </c>
      <c r="C42" s="10">
        <f>IF(OR($A42="",C$32&gt;TODAY()),"",SUMIFS('日次ログ'!$F$5:$F$1504,'日次ログ'!$B$5:$B$1504,$A42,'日次ログ'!$A$5:$A$1504,"&gt;="&amp;C$32,'日次ログ'!$A$5:$A$1504,"&lt;"&amp;(C$32+7)))</f>
        <v/>
      </c>
      <c r="D42" s="10">
        <f>IF(OR($A42="",D$32&gt;TODAY()),"",SUMIFS('日次ログ'!$F$5:$F$1504,'日次ログ'!$B$5:$B$1504,$A42,'日次ログ'!$A$5:$A$1504,"&gt;="&amp;D$32,'日次ログ'!$A$5:$A$1504,"&lt;"&amp;(D$32+7)))</f>
        <v/>
      </c>
      <c r="E42" s="10">
        <f>IF(OR($A42="",E$32&gt;TODAY()),"",SUMIFS('日次ログ'!$F$5:$F$1504,'日次ログ'!$B$5:$B$1504,$A42,'日次ログ'!$A$5:$A$1504,"&gt;="&amp;E$32,'日次ログ'!$A$5:$A$1504,"&lt;"&amp;(E$32+7)))</f>
        <v/>
      </c>
      <c r="F42" s="10">
        <f>IF(OR($A42="",F$32&gt;TODAY()),"",SUMIFS('日次ログ'!$F$5:$F$1504,'日次ログ'!$B$5:$B$1504,$A42,'日次ログ'!$A$5:$A$1504,"&gt;="&amp;F$32,'日次ログ'!$A$5:$A$1504,"&lt;"&amp;(F$32+7)))</f>
        <v/>
      </c>
      <c r="G42" s="10">
        <f>IF(OR($A42="",G$32&gt;TODAY()),"",SUMIFS('日次ログ'!$F$5:$F$1504,'日次ログ'!$B$5:$B$1504,$A42,'日次ログ'!$A$5:$A$1504,"&gt;="&amp;G$32,'日次ログ'!$A$5:$A$1504,"&lt;"&amp;(G$32+7)))</f>
        <v/>
      </c>
      <c r="H42" s="10">
        <f>IF(OR($A42="",H$32&gt;TODAY()),"",SUMIFS('日次ログ'!$F$5:$F$1504,'日次ログ'!$B$5:$B$1504,$A42,'日次ログ'!$A$5:$A$1504,"&gt;="&amp;H$32,'日次ログ'!$A$5:$A$1504,"&lt;"&amp;(H$32+7)))</f>
        <v/>
      </c>
      <c r="I42" s="10">
        <f>IF(OR($A42="",I$32&gt;TODAY()),"",SUMIFS('日次ログ'!$F$5:$F$1504,'日次ログ'!$B$5:$B$1504,$A42,'日次ログ'!$A$5:$A$1504,"&gt;="&amp;I$32,'日次ログ'!$A$5:$A$1504,"&lt;"&amp;(I$32+7)))</f>
        <v/>
      </c>
      <c r="J42" s="10">
        <f>IF(OR($A42="",J$32&gt;TODAY()),"",SUMIFS('日次ログ'!$F$5:$F$1504,'日次ログ'!$B$5:$B$1504,$A42,'日次ログ'!$A$5:$A$1504,"&gt;="&amp;J$32,'日次ログ'!$A$5:$A$1504,"&lt;"&amp;(J$32+7)))</f>
        <v/>
      </c>
      <c r="K42" s="10">
        <f>IF(OR($A42="",K$32&gt;TODAY()),"",SUMIFS('日次ログ'!$F$5:$F$1504,'日次ログ'!$B$5:$B$1504,$A42,'日次ログ'!$A$5:$A$1504,"&gt;="&amp;K$32,'日次ログ'!$A$5:$A$1504,"&lt;"&amp;(K$32+7)))</f>
        <v/>
      </c>
      <c r="L42" s="10">
        <f>IF(OR($A42="",L$32&gt;TODAY()),"",SUMIFS('日次ログ'!$F$5:$F$1504,'日次ログ'!$B$5:$B$1504,$A42,'日次ログ'!$A$5:$A$1504,"&gt;="&amp;L$32,'日次ログ'!$A$5:$A$1504,"&lt;"&amp;(L$32+7)))</f>
        <v/>
      </c>
      <c r="M42" s="10">
        <f>IF(OR($A42="",M$32&gt;TODAY()),"",SUMIFS('日次ログ'!$F$5:$F$1504,'日次ログ'!$B$5:$B$1504,$A42,'日次ログ'!$A$5:$A$1504,"&gt;="&amp;M$32,'日次ログ'!$A$5:$A$1504,"&lt;"&amp;(M$32+7)))</f>
        <v/>
      </c>
      <c r="N42" s="10">
        <f>IF(OR($A42="",N$32&gt;TODAY()),"",SUMIFS('日次ログ'!$F$5:$F$1504,'日次ログ'!$B$5:$B$1504,$A42,'日次ログ'!$A$5:$A$1504,"&gt;="&amp;N$32,'日次ログ'!$A$5:$A$1504,"&lt;"&amp;(N$32+7)))</f>
        <v/>
      </c>
      <c r="O42" s="19">
        <f>IF($A42="","",SUM(B42:N42))</f>
        <v/>
      </c>
    </row>
    <row r="43">
      <c r="A43" s="15">
        <f>'📊ダッシュボード'!A18&amp;""</f>
        <v/>
      </c>
      <c r="B43" s="10">
        <f>IF(OR($A43="",B$32&gt;TODAY()),"",SUMIFS('日次ログ'!$F$5:$F$1504,'日次ログ'!$B$5:$B$1504,$A43,'日次ログ'!$A$5:$A$1504,"&gt;="&amp;B$32,'日次ログ'!$A$5:$A$1504,"&lt;"&amp;(B$32+7)))</f>
        <v/>
      </c>
      <c r="C43" s="10">
        <f>IF(OR($A43="",C$32&gt;TODAY()),"",SUMIFS('日次ログ'!$F$5:$F$1504,'日次ログ'!$B$5:$B$1504,$A43,'日次ログ'!$A$5:$A$1504,"&gt;="&amp;C$32,'日次ログ'!$A$5:$A$1504,"&lt;"&amp;(C$32+7)))</f>
        <v/>
      </c>
      <c r="D43" s="10">
        <f>IF(OR($A43="",D$32&gt;TODAY()),"",SUMIFS('日次ログ'!$F$5:$F$1504,'日次ログ'!$B$5:$B$1504,$A43,'日次ログ'!$A$5:$A$1504,"&gt;="&amp;D$32,'日次ログ'!$A$5:$A$1504,"&lt;"&amp;(D$32+7)))</f>
        <v/>
      </c>
      <c r="E43" s="10">
        <f>IF(OR($A43="",E$32&gt;TODAY()),"",SUMIFS('日次ログ'!$F$5:$F$1504,'日次ログ'!$B$5:$B$1504,$A43,'日次ログ'!$A$5:$A$1504,"&gt;="&amp;E$32,'日次ログ'!$A$5:$A$1504,"&lt;"&amp;(E$32+7)))</f>
        <v/>
      </c>
      <c r="F43" s="10">
        <f>IF(OR($A43="",F$32&gt;TODAY()),"",SUMIFS('日次ログ'!$F$5:$F$1504,'日次ログ'!$B$5:$B$1504,$A43,'日次ログ'!$A$5:$A$1504,"&gt;="&amp;F$32,'日次ログ'!$A$5:$A$1504,"&lt;"&amp;(F$32+7)))</f>
        <v/>
      </c>
      <c r="G43" s="10">
        <f>IF(OR($A43="",G$32&gt;TODAY()),"",SUMIFS('日次ログ'!$F$5:$F$1504,'日次ログ'!$B$5:$B$1504,$A43,'日次ログ'!$A$5:$A$1504,"&gt;="&amp;G$32,'日次ログ'!$A$5:$A$1504,"&lt;"&amp;(G$32+7)))</f>
        <v/>
      </c>
      <c r="H43" s="10">
        <f>IF(OR($A43="",H$32&gt;TODAY()),"",SUMIFS('日次ログ'!$F$5:$F$1504,'日次ログ'!$B$5:$B$1504,$A43,'日次ログ'!$A$5:$A$1504,"&gt;="&amp;H$32,'日次ログ'!$A$5:$A$1504,"&lt;"&amp;(H$32+7)))</f>
        <v/>
      </c>
      <c r="I43" s="10">
        <f>IF(OR($A43="",I$32&gt;TODAY()),"",SUMIFS('日次ログ'!$F$5:$F$1504,'日次ログ'!$B$5:$B$1504,$A43,'日次ログ'!$A$5:$A$1504,"&gt;="&amp;I$32,'日次ログ'!$A$5:$A$1504,"&lt;"&amp;(I$32+7)))</f>
        <v/>
      </c>
      <c r="J43" s="10">
        <f>IF(OR($A43="",J$32&gt;TODAY()),"",SUMIFS('日次ログ'!$F$5:$F$1504,'日次ログ'!$B$5:$B$1504,$A43,'日次ログ'!$A$5:$A$1504,"&gt;="&amp;J$32,'日次ログ'!$A$5:$A$1504,"&lt;"&amp;(J$32+7)))</f>
        <v/>
      </c>
      <c r="K43" s="10">
        <f>IF(OR($A43="",K$32&gt;TODAY()),"",SUMIFS('日次ログ'!$F$5:$F$1504,'日次ログ'!$B$5:$B$1504,$A43,'日次ログ'!$A$5:$A$1504,"&gt;="&amp;K$32,'日次ログ'!$A$5:$A$1504,"&lt;"&amp;(K$32+7)))</f>
        <v/>
      </c>
      <c r="L43" s="10">
        <f>IF(OR($A43="",L$32&gt;TODAY()),"",SUMIFS('日次ログ'!$F$5:$F$1504,'日次ログ'!$B$5:$B$1504,$A43,'日次ログ'!$A$5:$A$1504,"&gt;="&amp;L$32,'日次ログ'!$A$5:$A$1504,"&lt;"&amp;(L$32+7)))</f>
        <v/>
      </c>
      <c r="M43" s="10">
        <f>IF(OR($A43="",M$32&gt;TODAY()),"",SUMIFS('日次ログ'!$F$5:$F$1504,'日次ログ'!$B$5:$B$1504,$A43,'日次ログ'!$A$5:$A$1504,"&gt;="&amp;M$32,'日次ログ'!$A$5:$A$1504,"&lt;"&amp;(M$32+7)))</f>
        <v/>
      </c>
      <c r="N43" s="10">
        <f>IF(OR($A43="",N$32&gt;TODAY()),"",SUMIFS('日次ログ'!$F$5:$F$1504,'日次ログ'!$B$5:$B$1504,$A43,'日次ログ'!$A$5:$A$1504,"&gt;="&amp;N$32,'日次ログ'!$A$5:$A$1504,"&lt;"&amp;(N$32+7)))</f>
        <v/>
      </c>
      <c r="O43" s="19">
        <f>IF($A43="","",SUM(B43:N43))</f>
        <v/>
      </c>
    </row>
    <row r="44">
      <c r="A44" s="15">
        <f>'📊ダッシュボード'!A19&amp;""</f>
        <v/>
      </c>
      <c r="B44" s="10">
        <f>IF(OR($A44="",B$32&gt;TODAY()),"",SUMIFS('日次ログ'!$F$5:$F$1504,'日次ログ'!$B$5:$B$1504,$A44,'日次ログ'!$A$5:$A$1504,"&gt;="&amp;B$32,'日次ログ'!$A$5:$A$1504,"&lt;"&amp;(B$32+7)))</f>
        <v/>
      </c>
      <c r="C44" s="10">
        <f>IF(OR($A44="",C$32&gt;TODAY()),"",SUMIFS('日次ログ'!$F$5:$F$1504,'日次ログ'!$B$5:$B$1504,$A44,'日次ログ'!$A$5:$A$1504,"&gt;="&amp;C$32,'日次ログ'!$A$5:$A$1504,"&lt;"&amp;(C$32+7)))</f>
        <v/>
      </c>
      <c r="D44" s="10">
        <f>IF(OR($A44="",D$32&gt;TODAY()),"",SUMIFS('日次ログ'!$F$5:$F$1504,'日次ログ'!$B$5:$B$1504,$A44,'日次ログ'!$A$5:$A$1504,"&gt;="&amp;D$32,'日次ログ'!$A$5:$A$1504,"&lt;"&amp;(D$32+7)))</f>
        <v/>
      </c>
      <c r="E44" s="10">
        <f>IF(OR($A44="",E$32&gt;TODAY()),"",SUMIFS('日次ログ'!$F$5:$F$1504,'日次ログ'!$B$5:$B$1504,$A44,'日次ログ'!$A$5:$A$1504,"&gt;="&amp;E$32,'日次ログ'!$A$5:$A$1504,"&lt;"&amp;(E$32+7)))</f>
        <v/>
      </c>
      <c r="F44" s="10">
        <f>IF(OR($A44="",F$32&gt;TODAY()),"",SUMIFS('日次ログ'!$F$5:$F$1504,'日次ログ'!$B$5:$B$1504,$A44,'日次ログ'!$A$5:$A$1504,"&gt;="&amp;F$32,'日次ログ'!$A$5:$A$1504,"&lt;"&amp;(F$32+7)))</f>
        <v/>
      </c>
      <c r="G44" s="10">
        <f>IF(OR($A44="",G$32&gt;TODAY()),"",SUMIFS('日次ログ'!$F$5:$F$1504,'日次ログ'!$B$5:$B$1504,$A44,'日次ログ'!$A$5:$A$1504,"&gt;="&amp;G$32,'日次ログ'!$A$5:$A$1504,"&lt;"&amp;(G$32+7)))</f>
        <v/>
      </c>
      <c r="H44" s="10">
        <f>IF(OR($A44="",H$32&gt;TODAY()),"",SUMIFS('日次ログ'!$F$5:$F$1504,'日次ログ'!$B$5:$B$1504,$A44,'日次ログ'!$A$5:$A$1504,"&gt;="&amp;H$32,'日次ログ'!$A$5:$A$1504,"&lt;"&amp;(H$32+7)))</f>
        <v/>
      </c>
      <c r="I44" s="10">
        <f>IF(OR($A44="",I$32&gt;TODAY()),"",SUMIFS('日次ログ'!$F$5:$F$1504,'日次ログ'!$B$5:$B$1504,$A44,'日次ログ'!$A$5:$A$1504,"&gt;="&amp;I$32,'日次ログ'!$A$5:$A$1504,"&lt;"&amp;(I$32+7)))</f>
        <v/>
      </c>
      <c r="J44" s="10">
        <f>IF(OR($A44="",J$32&gt;TODAY()),"",SUMIFS('日次ログ'!$F$5:$F$1504,'日次ログ'!$B$5:$B$1504,$A44,'日次ログ'!$A$5:$A$1504,"&gt;="&amp;J$32,'日次ログ'!$A$5:$A$1504,"&lt;"&amp;(J$32+7)))</f>
        <v/>
      </c>
      <c r="K44" s="10">
        <f>IF(OR($A44="",K$32&gt;TODAY()),"",SUMIFS('日次ログ'!$F$5:$F$1504,'日次ログ'!$B$5:$B$1504,$A44,'日次ログ'!$A$5:$A$1504,"&gt;="&amp;K$32,'日次ログ'!$A$5:$A$1504,"&lt;"&amp;(K$32+7)))</f>
        <v/>
      </c>
      <c r="L44" s="10">
        <f>IF(OR($A44="",L$32&gt;TODAY()),"",SUMIFS('日次ログ'!$F$5:$F$1504,'日次ログ'!$B$5:$B$1504,$A44,'日次ログ'!$A$5:$A$1504,"&gt;="&amp;L$32,'日次ログ'!$A$5:$A$1504,"&lt;"&amp;(L$32+7)))</f>
        <v/>
      </c>
      <c r="M44" s="10">
        <f>IF(OR($A44="",M$32&gt;TODAY()),"",SUMIFS('日次ログ'!$F$5:$F$1504,'日次ログ'!$B$5:$B$1504,$A44,'日次ログ'!$A$5:$A$1504,"&gt;="&amp;M$32,'日次ログ'!$A$5:$A$1504,"&lt;"&amp;(M$32+7)))</f>
        <v/>
      </c>
      <c r="N44" s="10">
        <f>IF(OR($A44="",N$32&gt;TODAY()),"",SUMIFS('日次ログ'!$F$5:$F$1504,'日次ログ'!$B$5:$B$1504,$A44,'日次ログ'!$A$5:$A$1504,"&gt;="&amp;N$32,'日次ログ'!$A$5:$A$1504,"&lt;"&amp;(N$32+7)))</f>
        <v/>
      </c>
      <c r="O44" s="19">
        <f>IF($A44="","",SUM(B44:N44))</f>
        <v/>
      </c>
    </row>
    <row r="45">
      <c r="A45" s="15">
        <f>'📊ダッシュボード'!A20&amp;""</f>
        <v/>
      </c>
      <c r="B45" s="10">
        <f>IF(OR($A45="",B$32&gt;TODAY()),"",SUMIFS('日次ログ'!$F$5:$F$1504,'日次ログ'!$B$5:$B$1504,$A45,'日次ログ'!$A$5:$A$1504,"&gt;="&amp;B$32,'日次ログ'!$A$5:$A$1504,"&lt;"&amp;(B$32+7)))</f>
        <v/>
      </c>
      <c r="C45" s="10">
        <f>IF(OR($A45="",C$32&gt;TODAY()),"",SUMIFS('日次ログ'!$F$5:$F$1504,'日次ログ'!$B$5:$B$1504,$A45,'日次ログ'!$A$5:$A$1504,"&gt;="&amp;C$32,'日次ログ'!$A$5:$A$1504,"&lt;"&amp;(C$32+7)))</f>
        <v/>
      </c>
      <c r="D45" s="10">
        <f>IF(OR($A45="",D$32&gt;TODAY()),"",SUMIFS('日次ログ'!$F$5:$F$1504,'日次ログ'!$B$5:$B$1504,$A45,'日次ログ'!$A$5:$A$1504,"&gt;="&amp;D$32,'日次ログ'!$A$5:$A$1504,"&lt;"&amp;(D$32+7)))</f>
        <v/>
      </c>
      <c r="E45" s="10">
        <f>IF(OR($A45="",E$32&gt;TODAY()),"",SUMIFS('日次ログ'!$F$5:$F$1504,'日次ログ'!$B$5:$B$1504,$A45,'日次ログ'!$A$5:$A$1504,"&gt;="&amp;E$32,'日次ログ'!$A$5:$A$1504,"&lt;"&amp;(E$32+7)))</f>
        <v/>
      </c>
      <c r="F45" s="10">
        <f>IF(OR($A45="",F$32&gt;TODAY()),"",SUMIFS('日次ログ'!$F$5:$F$1504,'日次ログ'!$B$5:$B$1504,$A45,'日次ログ'!$A$5:$A$1504,"&gt;="&amp;F$32,'日次ログ'!$A$5:$A$1504,"&lt;"&amp;(F$32+7)))</f>
        <v/>
      </c>
      <c r="G45" s="10">
        <f>IF(OR($A45="",G$32&gt;TODAY()),"",SUMIFS('日次ログ'!$F$5:$F$1504,'日次ログ'!$B$5:$B$1504,$A45,'日次ログ'!$A$5:$A$1504,"&gt;="&amp;G$32,'日次ログ'!$A$5:$A$1504,"&lt;"&amp;(G$32+7)))</f>
        <v/>
      </c>
      <c r="H45" s="10">
        <f>IF(OR($A45="",H$32&gt;TODAY()),"",SUMIFS('日次ログ'!$F$5:$F$1504,'日次ログ'!$B$5:$B$1504,$A45,'日次ログ'!$A$5:$A$1504,"&gt;="&amp;H$32,'日次ログ'!$A$5:$A$1504,"&lt;"&amp;(H$32+7)))</f>
        <v/>
      </c>
      <c r="I45" s="10">
        <f>IF(OR($A45="",I$32&gt;TODAY()),"",SUMIFS('日次ログ'!$F$5:$F$1504,'日次ログ'!$B$5:$B$1504,$A45,'日次ログ'!$A$5:$A$1504,"&gt;="&amp;I$32,'日次ログ'!$A$5:$A$1504,"&lt;"&amp;(I$32+7)))</f>
        <v/>
      </c>
      <c r="J45" s="10">
        <f>IF(OR($A45="",J$32&gt;TODAY()),"",SUMIFS('日次ログ'!$F$5:$F$1504,'日次ログ'!$B$5:$B$1504,$A45,'日次ログ'!$A$5:$A$1504,"&gt;="&amp;J$32,'日次ログ'!$A$5:$A$1504,"&lt;"&amp;(J$32+7)))</f>
        <v/>
      </c>
      <c r="K45" s="10">
        <f>IF(OR($A45="",K$32&gt;TODAY()),"",SUMIFS('日次ログ'!$F$5:$F$1504,'日次ログ'!$B$5:$B$1504,$A45,'日次ログ'!$A$5:$A$1504,"&gt;="&amp;K$32,'日次ログ'!$A$5:$A$1504,"&lt;"&amp;(K$32+7)))</f>
        <v/>
      </c>
      <c r="L45" s="10">
        <f>IF(OR($A45="",L$32&gt;TODAY()),"",SUMIFS('日次ログ'!$F$5:$F$1504,'日次ログ'!$B$5:$B$1504,$A45,'日次ログ'!$A$5:$A$1504,"&gt;="&amp;L$32,'日次ログ'!$A$5:$A$1504,"&lt;"&amp;(L$32+7)))</f>
        <v/>
      </c>
      <c r="M45" s="10">
        <f>IF(OR($A45="",M$32&gt;TODAY()),"",SUMIFS('日次ログ'!$F$5:$F$1504,'日次ログ'!$B$5:$B$1504,$A45,'日次ログ'!$A$5:$A$1504,"&gt;="&amp;M$32,'日次ログ'!$A$5:$A$1504,"&lt;"&amp;(M$32+7)))</f>
        <v/>
      </c>
      <c r="N45" s="10">
        <f>IF(OR($A45="",N$32&gt;TODAY()),"",SUMIFS('日次ログ'!$F$5:$F$1504,'日次ログ'!$B$5:$B$1504,$A45,'日次ログ'!$A$5:$A$1504,"&gt;="&amp;N$32,'日次ログ'!$A$5:$A$1504,"&lt;"&amp;(N$32+7)))</f>
        <v/>
      </c>
      <c r="O45" s="19">
        <f>IF($A45="","",SUM(B45:N45))</f>
        <v/>
      </c>
    </row>
    <row r="46">
      <c r="A46" s="15">
        <f>'📊ダッシュボード'!A21&amp;""</f>
        <v/>
      </c>
      <c r="B46" s="10">
        <f>IF(OR($A46="",B$32&gt;TODAY()),"",SUMIFS('日次ログ'!$F$5:$F$1504,'日次ログ'!$B$5:$B$1504,$A46,'日次ログ'!$A$5:$A$1504,"&gt;="&amp;B$32,'日次ログ'!$A$5:$A$1504,"&lt;"&amp;(B$32+7)))</f>
        <v/>
      </c>
      <c r="C46" s="10">
        <f>IF(OR($A46="",C$32&gt;TODAY()),"",SUMIFS('日次ログ'!$F$5:$F$1504,'日次ログ'!$B$5:$B$1504,$A46,'日次ログ'!$A$5:$A$1504,"&gt;="&amp;C$32,'日次ログ'!$A$5:$A$1504,"&lt;"&amp;(C$32+7)))</f>
        <v/>
      </c>
      <c r="D46" s="10">
        <f>IF(OR($A46="",D$32&gt;TODAY()),"",SUMIFS('日次ログ'!$F$5:$F$1504,'日次ログ'!$B$5:$B$1504,$A46,'日次ログ'!$A$5:$A$1504,"&gt;="&amp;D$32,'日次ログ'!$A$5:$A$1504,"&lt;"&amp;(D$32+7)))</f>
        <v/>
      </c>
      <c r="E46" s="10">
        <f>IF(OR($A46="",E$32&gt;TODAY()),"",SUMIFS('日次ログ'!$F$5:$F$1504,'日次ログ'!$B$5:$B$1504,$A46,'日次ログ'!$A$5:$A$1504,"&gt;="&amp;E$32,'日次ログ'!$A$5:$A$1504,"&lt;"&amp;(E$32+7)))</f>
        <v/>
      </c>
      <c r="F46" s="10">
        <f>IF(OR($A46="",F$32&gt;TODAY()),"",SUMIFS('日次ログ'!$F$5:$F$1504,'日次ログ'!$B$5:$B$1504,$A46,'日次ログ'!$A$5:$A$1504,"&gt;="&amp;F$32,'日次ログ'!$A$5:$A$1504,"&lt;"&amp;(F$32+7)))</f>
        <v/>
      </c>
      <c r="G46" s="10">
        <f>IF(OR($A46="",G$32&gt;TODAY()),"",SUMIFS('日次ログ'!$F$5:$F$1504,'日次ログ'!$B$5:$B$1504,$A46,'日次ログ'!$A$5:$A$1504,"&gt;="&amp;G$32,'日次ログ'!$A$5:$A$1504,"&lt;"&amp;(G$32+7)))</f>
        <v/>
      </c>
      <c r="H46" s="10">
        <f>IF(OR($A46="",H$32&gt;TODAY()),"",SUMIFS('日次ログ'!$F$5:$F$1504,'日次ログ'!$B$5:$B$1504,$A46,'日次ログ'!$A$5:$A$1504,"&gt;="&amp;H$32,'日次ログ'!$A$5:$A$1504,"&lt;"&amp;(H$32+7)))</f>
        <v/>
      </c>
      <c r="I46" s="10">
        <f>IF(OR($A46="",I$32&gt;TODAY()),"",SUMIFS('日次ログ'!$F$5:$F$1504,'日次ログ'!$B$5:$B$1504,$A46,'日次ログ'!$A$5:$A$1504,"&gt;="&amp;I$32,'日次ログ'!$A$5:$A$1504,"&lt;"&amp;(I$32+7)))</f>
        <v/>
      </c>
      <c r="J46" s="10">
        <f>IF(OR($A46="",J$32&gt;TODAY()),"",SUMIFS('日次ログ'!$F$5:$F$1504,'日次ログ'!$B$5:$B$1504,$A46,'日次ログ'!$A$5:$A$1504,"&gt;="&amp;J$32,'日次ログ'!$A$5:$A$1504,"&lt;"&amp;(J$32+7)))</f>
        <v/>
      </c>
      <c r="K46" s="10">
        <f>IF(OR($A46="",K$32&gt;TODAY()),"",SUMIFS('日次ログ'!$F$5:$F$1504,'日次ログ'!$B$5:$B$1504,$A46,'日次ログ'!$A$5:$A$1504,"&gt;="&amp;K$32,'日次ログ'!$A$5:$A$1504,"&lt;"&amp;(K$32+7)))</f>
        <v/>
      </c>
      <c r="L46" s="10">
        <f>IF(OR($A46="",L$32&gt;TODAY()),"",SUMIFS('日次ログ'!$F$5:$F$1504,'日次ログ'!$B$5:$B$1504,$A46,'日次ログ'!$A$5:$A$1504,"&gt;="&amp;L$32,'日次ログ'!$A$5:$A$1504,"&lt;"&amp;(L$32+7)))</f>
        <v/>
      </c>
      <c r="M46" s="10">
        <f>IF(OR($A46="",M$32&gt;TODAY()),"",SUMIFS('日次ログ'!$F$5:$F$1504,'日次ログ'!$B$5:$B$1504,$A46,'日次ログ'!$A$5:$A$1504,"&gt;="&amp;M$32,'日次ログ'!$A$5:$A$1504,"&lt;"&amp;(M$32+7)))</f>
        <v/>
      </c>
      <c r="N46" s="10">
        <f>IF(OR($A46="",N$32&gt;TODAY()),"",SUMIFS('日次ログ'!$F$5:$F$1504,'日次ログ'!$B$5:$B$1504,$A46,'日次ログ'!$A$5:$A$1504,"&gt;="&amp;N$32,'日次ログ'!$A$5:$A$1504,"&lt;"&amp;(N$32+7)))</f>
        <v/>
      </c>
      <c r="O46" s="19">
        <f>IF($A46="","",SUM(B46:N46))</f>
        <v/>
      </c>
    </row>
    <row r="47">
      <c r="A47" s="15">
        <f>'📊ダッシュボード'!A22&amp;""</f>
        <v/>
      </c>
      <c r="B47" s="10">
        <f>IF(OR($A47="",B$32&gt;TODAY()),"",SUMIFS('日次ログ'!$F$5:$F$1504,'日次ログ'!$B$5:$B$1504,$A47,'日次ログ'!$A$5:$A$1504,"&gt;="&amp;B$32,'日次ログ'!$A$5:$A$1504,"&lt;"&amp;(B$32+7)))</f>
        <v/>
      </c>
      <c r="C47" s="10">
        <f>IF(OR($A47="",C$32&gt;TODAY()),"",SUMIFS('日次ログ'!$F$5:$F$1504,'日次ログ'!$B$5:$B$1504,$A47,'日次ログ'!$A$5:$A$1504,"&gt;="&amp;C$32,'日次ログ'!$A$5:$A$1504,"&lt;"&amp;(C$32+7)))</f>
        <v/>
      </c>
      <c r="D47" s="10">
        <f>IF(OR($A47="",D$32&gt;TODAY()),"",SUMIFS('日次ログ'!$F$5:$F$1504,'日次ログ'!$B$5:$B$1504,$A47,'日次ログ'!$A$5:$A$1504,"&gt;="&amp;D$32,'日次ログ'!$A$5:$A$1504,"&lt;"&amp;(D$32+7)))</f>
        <v/>
      </c>
      <c r="E47" s="10">
        <f>IF(OR($A47="",E$32&gt;TODAY()),"",SUMIFS('日次ログ'!$F$5:$F$1504,'日次ログ'!$B$5:$B$1504,$A47,'日次ログ'!$A$5:$A$1504,"&gt;="&amp;E$32,'日次ログ'!$A$5:$A$1504,"&lt;"&amp;(E$32+7)))</f>
        <v/>
      </c>
      <c r="F47" s="10">
        <f>IF(OR($A47="",F$32&gt;TODAY()),"",SUMIFS('日次ログ'!$F$5:$F$1504,'日次ログ'!$B$5:$B$1504,$A47,'日次ログ'!$A$5:$A$1504,"&gt;="&amp;F$32,'日次ログ'!$A$5:$A$1504,"&lt;"&amp;(F$32+7)))</f>
        <v/>
      </c>
      <c r="G47" s="10">
        <f>IF(OR($A47="",G$32&gt;TODAY()),"",SUMIFS('日次ログ'!$F$5:$F$1504,'日次ログ'!$B$5:$B$1504,$A47,'日次ログ'!$A$5:$A$1504,"&gt;="&amp;G$32,'日次ログ'!$A$5:$A$1504,"&lt;"&amp;(G$32+7)))</f>
        <v/>
      </c>
      <c r="H47" s="10">
        <f>IF(OR($A47="",H$32&gt;TODAY()),"",SUMIFS('日次ログ'!$F$5:$F$1504,'日次ログ'!$B$5:$B$1504,$A47,'日次ログ'!$A$5:$A$1504,"&gt;="&amp;H$32,'日次ログ'!$A$5:$A$1504,"&lt;"&amp;(H$32+7)))</f>
        <v/>
      </c>
      <c r="I47" s="10">
        <f>IF(OR($A47="",I$32&gt;TODAY()),"",SUMIFS('日次ログ'!$F$5:$F$1504,'日次ログ'!$B$5:$B$1504,$A47,'日次ログ'!$A$5:$A$1504,"&gt;="&amp;I$32,'日次ログ'!$A$5:$A$1504,"&lt;"&amp;(I$32+7)))</f>
        <v/>
      </c>
      <c r="J47" s="10">
        <f>IF(OR($A47="",J$32&gt;TODAY()),"",SUMIFS('日次ログ'!$F$5:$F$1504,'日次ログ'!$B$5:$B$1504,$A47,'日次ログ'!$A$5:$A$1504,"&gt;="&amp;J$32,'日次ログ'!$A$5:$A$1504,"&lt;"&amp;(J$32+7)))</f>
        <v/>
      </c>
      <c r="K47" s="10">
        <f>IF(OR($A47="",K$32&gt;TODAY()),"",SUMIFS('日次ログ'!$F$5:$F$1504,'日次ログ'!$B$5:$B$1504,$A47,'日次ログ'!$A$5:$A$1504,"&gt;="&amp;K$32,'日次ログ'!$A$5:$A$1504,"&lt;"&amp;(K$32+7)))</f>
        <v/>
      </c>
      <c r="L47" s="10">
        <f>IF(OR($A47="",L$32&gt;TODAY()),"",SUMIFS('日次ログ'!$F$5:$F$1504,'日次ログ'!$B$5:$B$1504,$A47,'日次ログ'!$A$5:$A$1504,"&gt;="&amp;L$32,'日次ログ'!$A$5:$A$1504,"&lt;"&amp;(L$32+7)))</f>
        <v/>
      </c>
      <c r="M47" s="10">
        <f>IF(OR($A47="",M$32&gt;TODAY()),"",SUMIFS('日次ログ'!$F$5:$F$1504,'日次ログ'!$B$5:$B$1504,$A47,'日次ログ'!$A$5:$A$1504,"&gt;="&amp;M$32,'日次ログ'!$A$5:$A$1504,"&lt;"&amp;(M$32+7)))</f>
        <v/>
      </c>
      <c r="N47" s="10">
        <f>IF(OR($A47="",N$32&gt;TODAY()),"",SUMIFS('日次ログ'!$F$5:$F$1504,'日次ログ'!$B$5:$B$1504,$A47,'日次ログ'!$A$5:$A$1504,"&gt;="&amp;N$32,'日次ログ'!$A$5:$A$1504,"&lt;"&amp;(N$32+7)))</f>
        <v/>
      </c>
      <c r="O47" s="19">
        <f>IF($A47="","",SUM(B47:N47))</f>
        <v/>
      </c>
    </row>
    <row r="48">
      <c r="A48" s="15">
        <f>'📊ダッシュボード'!A23&amp;""</f>
        <v/>
      </c>
      <c r="B48" s="10">
        <f>IF(OR($A48="",B$32&gt;TODAY()),"",SUMIFS('日次ログ'!$F$5:$F$1504,'日次ログ'!$B$5:$B$1504,$A48,'日次ログ'!$A$5:$A$1504,"&gt;="&amp;B$32,'日次ログ'!$A$5:$A$1504,"&lt;"&amp;(B$32+7)))</f>
        <v/>
      </c>
      <c r="C48" s="10">
        <f>IF(OR($A48="",C$32&gt;TODAY()),"",SUMIFS('日次ログ'!$F$5:$F$1504,'日次ログ'!$B$5:$B$1504,$A48,'日次ログ'!$A$5:$A$1504,"&gt;="&amp;C$32,'日次ログ'!$A$5:$A$1504,"&lt;"&amp;(C$32+7)))</f>
        <v/>
      </c>
      <c r="D48" s="10">
        <f>IF(OR($A48="",D$32&gt;TODAY()),"",SUMIFS('日次ログ'!$F$5:$F$1504,'日次ログ'!$B$5:$B$1504,$A48,'日次ログ'!$A$5:$A$1504,"&gt;="&amp;D$32,'日次ログ'!$A$5:$A$1504,"&lt;"&amp;(D$32+7)))</f>
        <v/>
      </c>
      <c r="E48" s="10">
        <f>IF(OR($A48="",E$32&gt;TODAY()),"",SUMIFS('日次ログ'!$F$5:$F$1504,'日次ログ'!$B$5:$B$1504,$A48,'日次ログ'!$A$5:$A$1504,"&gt;="&amp;E$32,'日次ログ'!$A$5:$A$1504,"&lt;"&amp;(E$32+7)))</f>
        <v/>
      </c>
      <c r="F48" s="10">
        <f>IF(OR($A48="",F$32&gt;TODAY()),"",SUMIFS('日次ログ'!$F$5:$F$1504,'日次ログ'!$B$5:$B$1504,$A48,'日次ログ'!$A$5:$A$1504,"&gt;="&amp;F$32,'日次ログ'!$A$5:$A$1504,"&lt;"&amp;(F$32+7)))</f>
        <v/>
      </c>
      <c r="G48" s="10">
        <f>IF(OR($A48="",G$32&gt;TODAY()),"",SUMIFS('日次ログ'!$F$5:$F$1504,'日次ログ'!$B$5:$B$1504,$A48,'日次ログ'!$A$5:$A$1504,"&gt;="&amp;G$32,'日次ログ'!$A$5:$A$1504,"&lt;"&amp;(G$32+7)))</f>
        <v/>
      </c>
      <c r="H48" s="10">
        <f>IF(OR($A48="",H$32&gt;TODAY()),"",SUMIFS('日次ログ'!$F$5:$F$1504,'日次ログ'!$B$5:$B$1504,$A48,'日次ログ'!$A$5:$A$1504,"&gt;="&amp;H$32,'日次ログ'!$A$5:$A$1504,"&lt;"&amp;(H$32+7)))</f>
        <v/>
      </c>
      <c r="I48" s="10">
        <f>IF(OR($A48="",I$32&gt;TODAY()),"",SUMIFS('日次ログ'!$F$5:$F$1504,'日次ログ'!$B$5:$B$1504,$A48,'日次ログ'!$A$5:$A$1504,"&gt;="&amp;I$32,'日次ログ'!$A$5:$A$1504,"&lt;"&amp;(I$32+7)))</f>
        <v/>
      </c>
      <c r="J48" s="10">
        <f>IF(OR($A48="",J$32&gt;TODAY()),"",SUMIFS('日次ログ'!$F$5:$F$1504,'日次ログ'!$B$5:$B$1504,$A48,'日次ログ'!$A$5:$A$1504,"&gt;="&amp;J$32,'日次ログ'!$A$5:$A$1504,"&lt;"&amp;(J$32+7)))</f>
        <v/>
      </c>
      <c r="K48" s="10">
        <f>IF(OR($A48="",K$32&gt;TODAY()),"",SUMIFS('日次ログ'!$F$5:$F$1504,'日次ログ'!$B$5:$B$1504,$A48,'日次ログ'!$A$5:$A$1504,"&gt;="&amp;K$32,'日次ログ'!$A$5:$A$1504,"&lt;"&amp;(K$32+7)))</f>
        <v/>
      </c>
      <c r="L48" s="10">
        <f>IF(OR($A48="",L$32&gt;TODAY()),"",SUMIFS('日次ログ'!$F$5:$F$1504,'日次ログ'!$B$5:$B$1504,$A48,'日次ログ'!$A$5:$A$1504,"&gt;="&amp;L$32,'日次ログ'!$A$5:$A$1504,"&lt;"&amp;(L$32+7)))</f>
        <v/>
      </c>
      <c r="M48" s="10">
        <f>IF(OR($A48="",M$32&gt;TODAY()),"",SUMIFS('日次ログ'!$F$5:$F$1504,'日次ログ'!$B$5:$B$1504,$A48,'日次ログ'!$A$5:$A$1504,"&gt;="&amp;M$32,'日次ログ'!$A$5:$A$1504,"&lt;"&amp;(M$32+7)))</f>
        <v/>
      </c>
      <c r="N48" s="10">
        <f>IF(OR($A48="",N$32&gt;TODAY()),"",SUMIFS('日次ログ'!$F$5:$F$1504,'日次ログ'!$B$5:$B$1504,$A48,'日次ログ'!$A$5:$A$1504,"&gt;="&amp;N$32,'日次ログ'!$A$5:$A$1504,"&lt;"&amp;(N$32+7)))</f>
        <v/>
      </c>
      <c r="O48" s="19">
        <f>IF($A48="","",SUM(B48:N48))</f>
        <v/>
      </c>
    </row>
    <row r="49">
      <c r="A49" s="15">
        <f>'📊ダッシュボード'!A24&amp;""</f>
        <v/>
      </c>
      <c r="B49" s="10">
        <f>IF(OR($A49="",B$32&gt;TODAY()),"",SUMIFS('日次ログ'!$F$5:$F$1504,'日次ログ'!$B$5:$B$1504,$A49,'日次ログ'!$A$5:$A$1504,"&gt;="&amp;B$32,'日次ログ'!$A$5:$A$1504,"&lt;"&amp;(B$32+7)))</f>
        <v/>
      </c>
      <c r="C49" s="10">
        <f>IF(OR($A49="",C$32&gt;TODAY()),"",SUMIFS('日次ログ'!$F$5:$F$1504,'日次ログ'!$B$5:$B$1504,$A49,'日次ログ'!$A$5:$A$1504,"&gt;="&amp;C$32,'日次ログ'!$A$5:$A$1504,"&lt;"&amp;(C$32+7)))</f>
        <v/>
      </c>
      <c r="D49" s="10">
        <f>IF(OR($A49="",D$32&gt;TODAY()),"",SUMIFS('日次ログ'!$F$5:$F$1504,'日次ログ'!$B$5:$B$1504,$A49,'日次ログ'!$A$5:$A$1504,"&gt;="&amp;D$32,'日次ログ'!$A$5:$A$1504,"&lt;"&amp;(D$32+7)))</f>
        <v/>
      </c>
      <c r="E49" s="10">
        <f>IF(OR($A49="",E$32&gt;TODAY()),"",SUMIFS('日次ログ'!$F$5:$F$1504,'日次ログ'!$B$5:$B$1504,$A49,'日次ログ'!$A$5:$A$1504,"&gt;="&amp;E$32,'日次ログ'!$A$5:$A$1504,"&lt;"&amp;(E$32+7)))</f>
        <v/>
      </c>
      <c r="F49" s="10">
        <f>IF(OR($A49="",F$32&gt;TODAY()),"",SUMIFS('日次ログ'!$F$5:$F$1504,'日次ログ'!$B$5:$B$1504,$A49,'日次ログ'!$A$5:$A$1504,"&gt;="&amp;F$32,'日次ログ'!$A$5:$A$1504,"&lt;"&amp;(F$32+7)))</f>
        <v/>
      </c>
      <c r="G49" s="10">
        <f>IF(OR($A49="",G$32&gt;TODAY()),"",SUMIFS('日次ログ'!$F$5:$F$1504,'日次ログ'!$B$5:$B$1504,$A49,'日次ログ'!$A$5:$A$1504,"&gt;="&amp;G$32,'日次ログ'!$A$5:$A$1504,"&lt;"&amp;(G$32+7)))</f>
        <v/>
      </c>
      <c r="H49" s="10">
        <f>IF(OR($A49="",H$32&gt;TODAY()),"",SUMIFS('日次ログ'!$F$5:$F$1504,'日次ログ'!$B$5:$B$1504,$A49,'日次ログ'!$A$5:$A$1504,"&gt;="&amp;H$32,'日次ログ'!$A$5:$A$1504,"&lt;"&amp;(H$32+7)))</f>
        <v/>
      </c>
      <c r="I49" s="10">
        <f>IF(OR($A49="",I$32&gt;TODAY()),"",SUMIFS('日次ログ'!$F$5:$F$1504,'日次ログ'!$B$5:$B$1504,$A49,'日次ログ'!$A$5:$A$1504,"&gt;="&amp;I$32,'日次ログ'!$A$5:$A$1504,"&lt;"&amp;(I$32+7)))</f>
        <v/>
      </c>
      <c r="J49" s="10">
        <f>IF(OR($A49="",J$32&gt;TODAY()),"",SUMIFS('日次ログ'!$F$5:$F$1504,'日次ログ'!$B$5:$B$1504,$A49,'日次ログ'!$A$5:$A$1504,"&gt;="&amp;J$32,'日次ログ'!$A$5:$A$1504,"&lt;"&amp;(J$32+7)))</f>
        <v/>
      </c>
      <c r="K49" s="10">
        <f>IF(OR($A49="",K$32&gt;TODAY()),"",SUMIFS('日次ログ'!$F$5:$F$1504,'日次ログ'!$B$5:$B$1504,$A49,'日次ログ'!$A$5:$A$1504,"&gt;="&amp;K$32,'日次ログ'!$A$5:$A$1504,"&lt;"&amp;(K$32+7)))</f>
        <v/>
      </c>
      <c r="L49" s="10">
        <f>IF(OR($A49="",L$32&gt;TODAY()),"",SUMIFS('日次ログ'!$F$5:$F$1504,'日次ログ'!$B$5:$B$1504,$A49,'日次ログ'!$A$5:$A$1504,"&gt;="&amp;L$32,'日次ログ'!$A$5:$A$1504,"&lt;"&amp;(L$32+7)))</f>
        <v/>
      </c>
      <c r="M49" s="10">
        <f>IF(OR($A49="",M$32&gt;TODAY()),"",SUMIFS('日次ログ'!$F$5:$F$1504,'日次ログ'!$B$5:$B$1504,$A49,'日次ログ'!$A$5:$A$1504,"&gt;="&amp;M$32,'日次ログ'!$A$5:$A$1504,"&lt;"&amp;(M$32+7)))</f>
        <v/>
      </c>
      <c r="N49" s="10">
        <f>IF(OR($A49="",N$32&gt;TODAY()),"",SUMIFS('日次ログ'!$F$5:$F$1504,'日次ログ'!$B$5:$B$1504,$A49,'日次ログ'!$A$5:$A$1504,"&gt;="&amp;N$32,'日次ログ'!$A$5:$A$1504,"&lt;"&amp;(N$32+7)))</f>
        <v/>
      </c>
      <c r="O49" s="19">
        <f>IF($A49="","",SUM(B49:N49))</f>
        <v/>
      </c>
    </row>
    <row r="50">
      <c r="A50" s="15">
        <f>'📊ダッシュボード'!A25&amp;""</f>
        <v/>
      </c>
      <c r="B50" s="10">
        <f>IF(OR($A50="",B$32&gt;TODAY()),"",SUMIFS('日次ログ'!$F$5:$F$1504,'日次ログ'!$B$5:$B$1504,$A50,'日次ログ'!$A$5:$A$1504,"&gt;="&amp;B$32,'日次ログ'!$A$5:$A$1504,"&lt;"&amp;(B$32+7)))</f>
        <v/>
      </c>
      <c r="C50" s="10">
        <f>IF(OR($A50="",C$32&gt;TODAY()),"",SUMIFS('日次ログ'!$F$5:$F$1504,'日次ログ'!$B$5:$B$1504,$A50,'日次ログ'!$A$5:$A$1504,"&gt;="&amp;C$32,'日次ログ'!$A$5:$A$1504,"&lt;"&amp;(C$32+7)))</f>
        <v/>
      </c>
      <c r="D50" s="10">
        <f>IF(OR($A50="",D$32&gt;TODAY()),"",SUMIFS('日次ログ'!$F$5:$F$1504,'日次ログ'!$B$5:$B$1504,$A50,'日次ログ'!$A$5:$A$1504,"&gt;="&amp;D$32,'日次ログ'!$A$5:$A$1504,"&lt;"&amp;(D$32+7)))</f>
        <v/>
      </c>
      <c r="E50" s="10">
        <f>IF(OR($A50="",E$32&gt;TODAY()),"",SUMIFS('日次ログ'!$F$5:$F$1504,'日次ログ'!$B$5:$B$1504,$A50,'日次ログ'!$A$5:$A$1504,"&gt;="&amp;E$32,'日次ログ'!$A$5:$A$1504,"&lt;"&amp;(E$32+7)))</f>
        <v/>
      </c>
      <c r="F50" s="10">
        <f>IF(OR($A50="",F$32&gt;TODAY()),"",SUMIFS('日次ログ'!$F$5:$F$1504,'日次ログ'!$B$5:$B$1504,$A50,'日次ログ'!$A$5:$A$1504,"&gt;="&amp;F$32,'日次ログ'!$A$5:$A$1504,"&lt;"&amp;(F$32+7)))</f>
        <v/>
      </c>
      <c r="G50" s="10">
        <f>IF(OR($A50="",G$32&gt;TODAY()),"",SUMIFS('日次ログ'!$F$5:$F$1504,'日次ログ'!$B$5:$B$1504,$A50,'日次ログ'!$A$5:$A$1504,"&gt;="&amp;G$32,'日次ログ'!$A$5:$A$1504,"&lt;"&amp;(G$32+7)))</f>
        <v/>
      </c>
      <c r="H50" s="10">
        <f>IF(OR($A50="",H$32&gt;TODAY()),"",SUMIFS('日次ログ'!$F$5:$F$1504,'日次ログ'!$B$5:$B$1504,$A50,'日次ログ'!$A$5:$A$1504,"&gt;="&amp;H$32,'日次ログ'!$A$5:$A$1504,"&lt;"&amp;(H$32+7)))</f>
        <v/>
      </c>
      <c r="I50" s="10">
        <f>IF(OR($A50="",I$32&gt;TODAY()),"",SUMIFS('日次ログ'!$F$5:$F$1504,'日次ログ'!$B$5:$B$1504,$A50,'日次ログ'!$A$5:$A$1504,"&gt;="&amp;I$32,'日次ログ'!$A$5:$A$1504,"&lt;"&amp;(I$32+7)))</f>
        <v/>
      </c>
      <c r="J50" s="10">
        <f>IF(OR($A50="",J$32&gt;TODAY()),"",SUMIFS('日次ログ'!$F$5:$F$1504,'日次ログ'!$B$5:$B$1504,$A50,'日次ログ'!$A$5:$A$1504,"&gt;="&amp;J$32,'日次ログ'!$A$5:$A$1504,"&lt;"&amp;(J$32+7)))</f>
        <v/>
      </c>
      <c r="K50" s="10">
        <f>IF(OR($A50="",K$32&gt;TODAY()),"",SUMIFS('日次ログ'!$F$5:$F$1504,'日次ログ'!$B$5:$B$1504,$A50,'日次ログ'!$A$5:$A$1504,"&gt;="&amp;K$32,'日次ログ'!$A$5:$A$1504,"&lt;"&amp;(K$32+7)))</f>
        <v/>
      </c>
      <c r="L50" s="10">
        <f>IF(OR($A50="",L$32&gt;TODAY()),"",SUMIFS('日次ログ'!$F$5:$F$1504,'日次ログ'!$B$5:$B$1504,$A50,'日次ログ'!$A$5:$A$1504,"&gt;="&amp;L$32,'日次ログ'!$A$5:$A$1504,"&lt;"&amp;(L$32+7)))</f>
        <v/>
      </c>
      <c r="M50" s="10">
        <f>IF(OR($A50="",M$32&gt;TODAY()),"",SUMIFS('日次ログ'!$F$5:$F$1504,'日次ログ'!$B$5:$B$1504,$A50,'日次ログ'!$A$5:$A$1504,"&gt;="&amp;M$32,'日次ログ'!$A$5:$A$1504,"&lt;"&amp;(M$32+7)))</f>
        <v/>
      </c>
      <c r="N50" s="10">
        <f>IF(OR($A50="",N$32&gt;TODAY()),"",SUMIFS('日次ログ'!$F$5:$F$1504,'日次ログ'!$B$5:$B$1504,$A50,'日次ログ'!$A$5:$A$1504,"&gt;="&amp;N$32,'日次ログ'!$A$5:$A$1504,"&lt;"&amp;(N$32+7)))</f>
        <v/>
      </c>
      <c r="O50" s="19">
        <f>IF($A50="","",SUM(B50:N50))</f>
        <v/>
      </c>
    </row>
    <row r="51">
      <c r="A51" s="15">
        <f>'📊ダッシュボード'!A26&amp;""</f>
        <v/>
      </c>
      <c r="B51" s="10">
        <f>IF(OR($A51="",B$32&gt;TODAY()),"",SUMIFS('日次ログ'!$F$5:$F$1504,'日次ログ'!$B$5:$B$1504,$A51,'日次ログ'!$A$5:$A$1504,"&gt;="&amp;B$32,'日次ログ'!$A$5:$A$1504,"&lt;"&amp;(B$32+7)))</f>
        <v/>
      </c>
      <c r="C51" s="10">
        <f>IF(OR($A51="",C$32&gt;TODAY()),"",SUMIFS('日次ログ'!$F$5:$F$1504,'日次ログ'!$B$5:$B$1504,$A51,'日次ログ'!$A$5:$A$1504,"&gt;="&amp;C$32,'日次ログ'!$A$5:$A$1504,"&lt;"&amp;(C$32+7)))</f>
        <v/>
      </c>
      <c r="D51" s="10">
        <f>IF(OR($A51="",D$32&gt;TODAY()),"",SUMIFS('日次ログ'!$F$5:$F$1504,'日次ログ'!$B$5:$B$1504,$A51,'日次ログ'!$A$5:$A$1504,"&gt;="&amp;D$32,'日次ログ'!$A$5:$A$1504,"&lt;"&amp;(D$32+7)))</f>
        <v/>
      </c>
      <c r="E51" s="10">
        <f>IF(OR($A51="",E$32&gt;TODAY()),"",SUMIFS('日次ログ'!$F$5:$F$1504,'日次ログ'!$B$5:$B$1504,$A51,'日次ログ'!$A$5:$A$1504,"&gt;="&amp;E$32,'日次ログ'!$A$5:$A$1504,"&lt;"&amp;(E$32+7)))</f>
        <v/>
      </c>
      <c r="F51" s="10">
        <f>IF(OR($A51="",F$32&gt;TODAY()),"",SUMIFS('日次ログ'!$F$5:$F$1504,'日次ログ'!$B$5:$B$1504,$A51,'日次ログ'!$A$5:$A$1504,"&gt;="&amp;F$32,'日次ログ'!$A$5:$A$1504,"&lt;"&amp;(F$32+7)))</f>
        <v/>
      </c>
      <c r="G51" s="10">
        <f>IF(OR($A51="",G$32&gt;TODAY()),"",SUMIFS('日次ログ'!$F$5:$F$1504,'日次ログ'!$B$5:$B$1504,$A51,'日次ログ'!$A$5:$A$1504,"&gt;="&amp;G$32,'日次ログ'!$A$5:$A$1504,"&lt;"&amp;(G$32+7)))</f>
        <v/>
      </c>
      <c r="H51" s="10">
        <f>IF(OR($A51="",H$32&gt;TODAY()),"",SUMIFS('日次ログ'!$F$5:$F$1504,'日次ログ'!$B$5:$B$1504,$A51,'日次ログ'!$A$5:$A$1504,"&gt;="&amp;H$32,'日次ログ'!$A$5:$A$1504,"&lt;"&amp;(H$32+7)))</f>
        <v/>
      </c>
      <c r="I51" s="10">
        <f>IF(OR($A51="",I$32&gt;TODAY()),"",SUMIFS('日次ログ'!$F$5:$F$1504,'日次ログ'!$B$5:$B$1504,$A51,'日次ログ'!$A$5:$A$1504,"&gt;="&amp;I$32,'日次ログ'!$A$5:$A$1504,"&lt;"&amp;(I$32+7)))</f>
        <v/>
      </c>
      <c r="J51" s="10">
        <f>IF(OR($A51="",J$32&gt;TODAY()),"",SUMIFS('日次ログ'!$F$5:$F$1504,'日次ログ'!$B$5:$B$1504,$A51,'日次ログ'!$A$5:$A$1504,"&gt;="&amp;J$32,'日次ログ'!$A$5:$A$1504,"&lt;"&amp;(J$32+7)))</f>
        <v/>
      </c>
      <c r="K51" s="10">
        <f>IF(OR($A51="",K$32&gt;TODAY()),"",SUMIFS('日次ログ'!$F$5:$F$1504,'日次ログ'!$B$5:$B$1504,$A51,'日次ログ'!$A$5:$A$1504,"&gt;="&amp;K$32,'日次ログ'!$A$5:$A$1504,"&lt;"&amp;(K$32+7)))</f>
        <v/>
      </c>
      <c r="L51" s="10">
        <f>IF(OR($A51="",L$32&gt;TODAY()),"",SUMIFS('日次ログ'!$F$5:$F$1504,'日次ログ'!$B$5:$B$1504,$A51,'日次ログ'!$A$5:$A$1504,"&gt;="&amp;L$32,'日次ログ'!$A$5:$A$1504,"&lt;"&amp;(L$32+7)))</f>
        <v/>
      </c>
      <c r="M51" s="10">
        <f>IF(OR($A51="",M$32&gt;TODAY()),"",SUMIFS('日次ログ'!$F$5:$F$1504,'日次ログ'!$B$5:$B$1504,$A51,'日次ログ'!$A$5:$A$1504,"&gt;="&amp;M$32,'日次ログ'!$A$5:$A$1504,"&lt;"&amp;(M$32+7)))</f>
        <v/>
      </c>
      <c r="N51" s="10">
        <f>IF(OR($A51="",N$32&gt;TODAY()),"",SUMIFS('日次ログ'!$F$5:$F$1504,'日次ログ'!$B$5:$B$1504,$A51,'日次ログ'!$A$5:$A$1504,"&gt;="&amp;N$32,'日次ログ'!$A$5:$A$1504,"&lt;"&amp;(N$32+7)))</f>
        <v/>
      </c>
      <c r="O51" s="19">
        <f>IF($A51="","",SUM(B51:N51))</f>
        <v/>
      </c>
    </row>
    <row r="52">
      <c r="A52" s="15">
        <f>'📊ダッシュボード'!A27&amp;""</f>
        <v/>
      </c>
      <c r="B52" s="10">
        <f>IF(OR($A52="",B$32&gt;TODAY()),"",SUMIFS('日次ログ'!$F$5:$F$1504,'日次ログ'!$B$5:$B$1504,$A52,'日次ログ'!$A$5:$A$1504,"&gt;="&amp;B$32,'日次ログ'!$A$5:$A$1504,"&lt;"&amp;(B$32+7)))</f>
        <v/>
      </c>
      <c r="C52" s="10">
        <f>IF(OR($A52="",C$32&gt;TODAY()),"",SUMIFS('日次ログ'!$F$5:$F$1504,'日次ログ'!$B$5:$B$1504,$A52,'日次ログ'!$A$5:$A$1504,"&gt;="&amp;C$32,'日次ログ'!$A$5:$A$1504,"&lt;"&amp;(C$32+7)))</f>
        <v/>
      </c>
      <c r="D52" s="10">
        <f>IF(OR($A52="",D$32&gt;TODAY()),"",SUMIFS('日次ログ'!$F$5:$F$1504,'日次ログ'!$B$5:$B$1504,$A52,'日次ログ'!$A$5:$A$1504,"&gt;="&amp;D$32,'日次ログ'!$A$5:$A$1504,"&lt;"&amp;(D$32+7)))</f>
        <v/>
      </c>
      <c r="E52" s="10">
        <f>IF(OR($A52="",E$32&gt;TODAY()),"",SUMIFS('日次ログ'!$F$5:$F$1504,'日次ログ'!$B$5:$B$1504,$A52,'日次ログ'!$A$5:$A$1504,"&gt;="&amp;E$32,'日次ログ'!$A$5:$A$1504,"&lt;"&amp;(E$32+7)))</f>
        <v/>
      </c>
      <c r="F52" s="10">
        <f>IF(OR($A52="",F$32&gt;TODAY()),"",SUMIFS('日次ログ'!$F$5:$F$1504,'日次ログ'!$B$5:$B$1504,$A52,'日次ログ'!$A$5:$A$1504,"&gt;="&amp;F$32,'日次ログ'!$A$5:$A$1504,"&lt;"&amp;(F$32+7)))</f>
        <v/>
      </c>
      <c r="G52" s="10">
        <f>IF(OR($A52="",G$32&gt;TODAY()),"",SUMIFS('日次ログ'!$F$5:$F$1504,'日次ログ'!$B$5:$B$1504,$A52,'日次ログ'!$A$5:$A$1504,"&gt;="&amp;G$32,'日次ログ'!$A$5:$A$1504,"&lt;"&amp;(G$32+7)))</f>
        <v/>
      </c>
      <c r="H52" s="10">
        <f>IF(OR($A52="",H$32&gt;TODAY()),"",SUMIFS('日次ログ'!$F$5:$F$1504,'日次ログ'!$B$5:$B$1504,$A52,'日次ログ'!$A$5:$A$1504,"&gt;="&amp;H$32,'日次ログ'!$A$5:$A$1504,"&lt;"&amp;(H$32+7)))</f>
        <v/>
      </c>
      <c r="I52" s="10">
        <f>IF(OR($A52="",I$32&gt;TODAY()),"",SUMIFS('日次ログ'!$F$5:$F$1504,'日次ログ'!$B$5:$B$1504,$A52,'日次ログ'!$A$5:$A$1504,"&gt;="&amp;I$32,'日次ログ'!$A$5:$A$1504,"&lt;"&amp;(I$32+7)))</f>
        <v/>
      </c>
      <c r="J52" s="10">
        <f>IF(OR($A52="",J$32&gt;TODAY()),"",SUMIFS('日次ログ'!$F$5:$F$1504,'日次ログ'!$B$5:$B$1504,$A52,'日次ログ'!$A$5:$A$1504,"&gt;="&amp;J$32,'日次ログ'!$A$5:$A$1504,"&lt;"&amp;(J$32+7)))</f>
        <v/>
      </c>
      <c r="K52" s="10">
        <f>IF(OR($A52="",K$32&gt;TODAY()),"",SUMIFS('日次ログ'!$F$5:$F$1504,'日次ログ'!$B$5:$B$1504,$A52,'日次ログ'!$A$5:$A$1504,"&gt;="&amp;K$32,'日次ログ'!$A$5:$A$1504,"&lt;"&amp;(K$32+7)))</f>
        <v/>
      </c>
      <c r="L52" s="10">
        <f>IF(OR($A52="",L$32&gt;TODAY()),"",SUMIFS('日次ログ'!$F$5:$F$1504,'日次ログ'!$B$5:$B$1504,$A52,'日次ログ'!$A$5:$A$1504,"&gt;="&amp;L$32,'日次ログ'!$A$5:$A$1504,"&lt;"&amp;(L$32+7)))</f>
        <v/>
      </c>
      <c r="M52" s="10">
        <f>IF(OR($A52="",M$32&gt;TODAY()),"",SUMIFS('日次ログ'!$F$5:$F$1504,'日次ログ'!$B$5:$B$1504,$A52,'日次ログ'!$A$5:$A$1504,"&gt;="&amp;M$32,'日次ログ'!$A$5:$A$1504,"&lt;"&amp;(M$32+7)))</f>
        <v/>
      </c>
      <c r="N52" s="10">
        <f>IF(OR($A52="",N$32&gt;TODAY()),"",SUMIFS('日次ログ'!$F$5:$F$1504,'日次ログ'!$B$5:$B$1504,$A52,'日次ログ'!$A$5:$A$1504,"&gt;="&amp;N$32,'日次ログ'!$A$5:$A$1504,"&lt;"&amp;(N$32+7)))</f>
        <v/>
      </c>
      <c r="O52" s="19">
        <f>IF($A52="","",SUM(B52:N52))</f>
        <v/>
      </c>
    </row>
    <row r="53">
      <c r="A53" s="20" t="inlineStr">
        <is>
          <t>リージョン合計</t>
        </is>
      </c>
      <c r="B53" s="21">
        <f>IF(B$32&gt;TODAY(),"",SUM(B33:B52))</f>
        <v/>
      </c>
      <c r="C53" s="21">
        <f>IF(C$32&gt;TODAY(),"",SUM(C33:C52))</f>
        <v/>
      </c>
      <c r="D53" s="21">
        <f>IF(D$32&gt;TODAY(),"",SUM(D33:D52))</f>
        <v/>
      </c>
      <c r="E53" s="21">
        <f>IF(E$32&gt;TODAY(),"",SUM(E33:E52))</f>
        <v/>
      </c>
      <c r="F53" s="21">
        <f>IF(F$32&gt;TODAY(),"",SUM(F33:F52))</f>
        <v/>
      </c>
      <c r="G53" s="21">
        <f>IF(G$32&gt;TODAY(),"",SUM(G33:G52))</f>
        <v/>
      </c>
      <c r="H53" s="21">
        <f>IF(H$32&gt;TODAY(),"",SUM(H33:H52))</f>
        <v/>
      </c>
      <c r="I53" s="21">
        <f>IF(I$32&gt;TODAY(),"",SUM(I33:I52))</f>
        <v/>
      </c>
      <c r="J53" s="21">
        <f>IF(J$32&gt;TODAY(),"",SUM(J33:J52))</f>
        <v/>
      </c>
      <c r="K53" s="21">
        <f>IF(K$32&gt;TODAY(),"",SUM(K33:K52))</f>
        <v/>
      </c>
      <c r="L53" s="21">
        <f>IF(L$32&gt;TODAY(),"",SUM(L33:L52))</f>
        <v/>
      </c>
      <c r="M53" s="21">
        <f>IF(M$32&gt;TODAY(),"",SUM(M33:M52))</f>
        <v/>
      </c>
      <c r="N53" s="21">
        <f>IF(N$32&gt;TODAY(),"",SUM(N33:N52))</f>
        <v/>
      </c>
      <c r="O53" s="21">
        <f>SUM(O33:O52)</f>
        <v/>
      </c>
    </row>
    <row r="56">
      <c r="A56" s="17" t="inlineStr">
        <is>
          <t>■ CCS実施数（CCS追っかけのCCS日）</t>
        </is>
      </c>
    </row>
    <row r="57">
      <c r="A57" s="8" t="inlineStr">
        <is>
          <t>週</t>
        </is>
      </c>
      <c r="B57" s="8" t="inlineStr">
        <is>
          <t>第1週</t>
        </is>
      </c>
      <c r="C57" s="8" t="inlineStr">
        <is>
          <t>第2週</t>
        </is>
      </c>
      <c r="D57" s="8" t="inlineStr">
        <is>
          <t>第3週</t>
        </is>
      </c>
      <c r="E57" s="8" t="inlineStr">
        <is>
          <t>第4週</t>
        </is>
      </c>
      <c r="F57" s="8" t="inlineStr">
        <is>
          <t>第5週</t>
        </is>
      </c>
      <c r="G57" s="8" t="inlineStr">
        <is>
          <t>第6週</t>
        </is>
      </c>
      <c r="H57" s="8" t="inlineStr">
        <is>
          <t>第7週</t>
        </is>
      </c>
      <c r="I57" s="8" t="inlineStr">
        <is>
          <t>第8週</t>
        </is>
      </c>
      <c r="J57" s="8" t="inlineStr">
        <is>
          <t>第9週</t>
        </is>
      </c>
      <c r="K57" s="8" t="inlineStr">
        <is>
          <t>第10週</t>
        </is>
      </c>
      <c r="L57" s="8" t="inlineStr">
        <is>
          <t>第11週</t>
        </is>
      </c>
      <c r="M57" s="8" t="inlineStr">
        <is>
          <t>第12週</t>
        </is>
      </c>
      <c r="N57" s="8" t="inlineStr">
        <is>
          <t>第13週</t>
        </is>
      </c>
      <c r="O57" s="8" t="inlineStr"/>
    </row>
    <row r="58">
      <c r="A58" s="8" t="inlineStr">
        <is>
          <t>ローンチ（LD名）</t>
        </is>
      </c>
      <c r="B58" s="18">
        <f>'設定'!$B$12+7*0</f>
        <v/>
      </c>
      <c r="C58" s="18">
        <f>'設定'!$B$12+7*1</f>
        <v/>
      </c>
      <c r="D58" s="18">
        <f>'設定'!$B$12+7*2</f>
        <v/>
      </c>
      <c r="E58" s="18">
        <f>'設定'!$B$12+7*3</f>
        <v/>
      </c>
      <c r="F58" s="18">
        <f>'設定'!$B$12+7*4</f>
        <v/>
      </c>
      <c r="G58" s="18">
        <f>'設定'!$B$12+7*5</f>
        <v/>
      </c>
      <c r="H58" s="18">
        <f>'設定'!$B$12+7*6</f>
        <v/>
      </c>
      <c r="I58" s="18">
        <f>'設定'!$B$12+7*7</f>
        <v/>
      </c>
      <c r="J58" s="18">
        <f>'設定'!$B$12+7*8</f>
        <v/>
      </c>
      <c r="K58" s="18">
        <f>'設定'!$B$12+7*9</f>
        <v/>
      </c>
      <c r="L58" s="18">
        <f>'設定'!$B$12+7*10</f>
        <v/>
      </c>
      <c r="M58" s="18">
        <f>'設定'!$B$12+7*11</f>
        <v/>
      </c>
      <c r="N58" s="18">
        <f>'設定'!$B$12+7*12</f>
        <v/>
      </c>
      <c r="O58" s="8" t="inlineStr">
        <is>
          <t>累計</t>
        </is>
      </c>
    </row>
    <row r="59">
      <c r="A59" s="15">
        <f>'📊ダッシュボード'!A8&amp;""</f>
        <v/>
      </c>
      <c r="B59" s="10">
        <f>IF(OR($A59="",B$58&gt;TODAY()),"",COUNTIFS('CCS追っかけ'!$B$5:$B$504,$A59,'CCS追っかけ'!$K$5:$K$504,"&gt;="&amp;B$58,'CCS追っかけ'!$K$5:$K$504,"&lt;"&amp;(B$58+7)))</f>
        <v/>
      </c>
      <c r="C59" s="10">
        <f>IF(OR($A59="",C$58&gt;TODAY()),"",COUNTIFS('CCS追っかけ'!$B$5:$B$504,$A59,'CCS追っかけ'!$K$5:$K$504,"&gt;="&amp;C$58,'CCS追っかけ'!$K$5:$K$504,"&lt;"&amp;(C$58+7)))</f>
        <v/>
      </c>
      <c r="D59" s="10">
        <f>IF(OR($A59="",D$58&gt;TODAY()),"",COUNTIFS('CCS追っかけ'!$B$5:$B$504,$A59,'CCS追っかけ'!$K$5:$K$504,"&gt;="&amp;D$58,'CCS追っかけ'!$K$5:$K$504,"&lt;"&amp;(D$58+7)))</f>
        <v/>
      </c>
      <c r="E59" s="10">
        <f>IF(OR($A59="",E$58&gt;TODAY()),"",COUNTIFS('CCS追っかけ'!$B$5:$B$504,$A59,'CCS追っかけ'!$K$5:$K$504,"&gt;="&amp;E$58,'CCS追っかけ'!$K$5:$K$504,"&lt;"&amp;(E$58+7)))</f>
        <v/>
      </c>
      <c r="F59" s="10">
        <f>IF(OR($A59="",F$58&gt;TODAY()),"",COUNTIFS('CCS追っかけ'!$B$5:$B$504,$A59,'CCS追っかけ'!$K$5:$K$504,"&gt;="&amp;F$58,'CCS追っかけ'!$K$5:$K$504,"&lt;"&amp;(F$58+7)))</f>
        <v/>
      </c>
      <c r="G59" s="10">
        <f>IF(OR($A59="",G$58&gt;TODAY()),"",COUNTIFS('CCS追っかけ'!$B$5:$B$504,$A59,'CCS追っかけ'!$K$5:$K$504,"&gt;="&amp;G$58,'CCS追っかけ'!$K$5:$K$504,"&lt;"&amp;(G$58+7)))</f>
        <v/>
      </c>
      <c r="H59" s="10">
        <f>IF(OR($A59="",H$58&gt;TODAY()),"",COUNTIFS('CCS追っかけ'!$B$5:$B$504,$A59,'CCS追っかけ'!$K$5:$K$504,"&gt;="&amp;H$58,'CCS追っかけ'!$K$5:$K$504,"&lt;"&amp;(H$58+7)))</f>
        <v/>
      </c>
      <c r="I59" s="10">
        <f>IF(OR($A59="",I$58&gt;TODAY()),"",COUNTIFS('CCS追っかけ'!$B$5:$B$504,$A59,'CCS追っかけ'!$K$5:$K$504,"&gt;="&amp;I$58,'CCS追っかけ'!$K$5:$K$504,"&lt;"&amp;(I$58+7)))</f>
        <v/>
      </c>
      <c r="J59" s="10">
        <f>IF(OR($A59="",J$58&gt;TODAY()),"",COUNTIFS('CCS追っかけ'!$B$5:$B$504,$A59,'CCS追っかけ'!$K$5:$K$504,"&gt;="&amp;J$58,'CCS追っかけ'!$K$5:$K$504,"&lt;"&amp;(J$58+7)))</f>
        <v/>
      </c>
      <c r="K59" s="10">
        <f>IF(OR($A59="",K$58&gt;TODAY()),"",COUNTIFS('CCS追っかけ'!$B$5:$B$504,$A59,'CCS追っかけ'!$K$5:$K$504,"&gt;="&amp;K$58,'CCS追っかけ'!$K$5:$K$504,"&lt;"&amp;(K$58+7)))</f>
        <v/>
      </c>
      <c r="L59" s="10">
        <f>IF(OR($A59="",L$58&gt;TODAY()),"",COUNTIFS('CCS追っかけ'!$B$5:$B$504,$A59,'CCS追っかけ'!$K$5:$K$504,"&gt;="&amp;L$58,'CCS追っかけ'!$K$5:$K$504,"&lt;"&amp;(L$58+7)))</f>
        <v/>
      </c>
      <c r="M59" s="10">
        <f>IF(OR($A59="",M$58&gt;TODAY()),"",COUNTIFS('CCS追っかけ'!$B$5:$B$504,$A59,'CCS追っかけ'!$K$5:$K$504,"&gt;="&amp;M$58,'CCS追っかけ'!$K$5:$K$504,"&lt;"&amp;(M$58+7)))</f>
        <v/>
      </c>
      <c r="N59" s="10">
        <f>IF(OR($A59="",N$58&gt;TODAY()),"",COUNTIFS('CCS追っかけ'!$B$5:$B$504,$A59,'CCS追っかけ'!$K$5:$K$504,"&gt;="&amp;N$58,'CCS追っかけ'!$K$5:$K$504,"&lt;"&amp;(N$58+7)))</f>
        <v/>
      </c>
      <c r="O59" s="19">
        <f>IF($A59="","",SUM(B59:N59))</f>
        <v/>
      </c>
    </row>
    <row r="60">
      <c r="A60" s="15">
        <f>'📊ダッシュボード'!A9&amp;""</f>
        <v/>
      </c>
      <c r="B60" s="10">
        <f>IF(OR($A60="",B$58&gt;TODAY()),"",COUNTIFS('CCS追っかけ'!$B$5:$B$504,$A60,'CCS追っかけ'!$K$5:$K$504,"&gt;="&amp;B$58,'CCS追っかけ'!$K$5:$K$504,"&lt;"&amp;(B$58+7)))</f>
        <v/>
      </c>
      <c r="C60" s="10">
        <f>IF(OR($A60="",C$58&gt;TODAY()),"",COUNTIFS('CCS追っかけ'!$B$5:$B$504,$A60,'CCS追っかけ'!$K$5:$K$504,"&gt;="&amp;C$58,'CCS追っかけ'!$K$5:$K$504,"&lt;"&amp;(C$58+7)))</f>
        <v/>
      </c>
      <c r="D60" s="10">
        <f>IF(OR($A60="",D$58&gt;TODAY()),"",COUNTIFS('CCS追っかけ'!$B$5:$B$504,$A60,'CCS追っかけ'!$K$5:$K$504,"&gt;="&amp;D$58,'CCS追っかけ'!$K$5:$K$504,"&lt;"&amp;(D$58+7)))</f>
        <v/>
      </c>
      <c r="E60" s="10">
        <f>IF(OR($A60="",E$58&gt;TODAY()),"",COUNTIFS('CCS追っかけ'!$B$5:$B$504,$A60,'CCS追っかけ'!$K$5:$K$504,"&gt;="&amp;E$58,'CCS追っかけ'!$K$5:$K$504,"&lt;"&amp;(E$58+7)))</f>
        <v/>
      </c>
      <c r="F60" s="10">
        <f>IF(OR($A60="",F$58&gt;TODAY()),"",COUNTIFS('CCS追っかけ'!$B$5:$B$504,$A60,'CCS追っかけ'!$K$5:$K$504,"&gt;="&amp;F$58,'CCS追っかけ'!$K$5:$K$504,"&lt;"&amp;(F$58+7)))</f>
        <v/>
      </c>
      <c r="G60" s="10">
        <f>IF(OR($A60="",G$58&gt;TODAY()),"",COUNTIFS('CCS追っかけ'!$B$5:$B$504,$A60,'CCS追っかけ'!$K$5:$K$504,"&gt;="&amp;G$58,'CCS追っかけ'!$K$5:$K$504,"&lt;"&amp;(G$58+7)))</f>
        <v/>
      </c>
      <c r="H60" s="10">
        <f>IF(OR($A60="",H$58&gt;TODAY()),"",COUNTIFS('CCS追っかけ'!$B$5:$B$504,$A60,'CCS追っかけ'!$K$5:$K$504,"&gt;="&amp;H$58,'CCS追っかけ'!$K$5:$K$504,"&lt;"&amp;(H$58+7)))</f>
        <v/>
      </c>
      <c r="I60" s="10">
        <f>IF(OR($A60="",I$58&gt;TODAY()),"",COUNTIFS('CCS追っかけ'!$B$5:$B$504,$A60,'CCS追っかけ'!$K$5:$K$504,"&gt;="&amp;I$58,'CCS追っかけ'!$K$5:$K$504,"&lt;"&amp;(I$58+7)))</f>
        <v/>
      </c>
      <c r="J60" s="10">
        <f>IF(OR($A60="",J$58&gt;TODAY()),"",COUNTIFS('CCS追っかけ'!$B$5:$B$504,$A60,'CCS追っかけ'!$K$5:$K$504,"&gt;="&amp;J$58,'CCS追っかけ'!$K$5:$K$504,"&lt;"&amp;(J$58+7)))</f>
        <v/>
      </c>
      <c r="K60" s="10">
        <f>IF(OR($A60="",K$58&gt;TODAY()),"",COUNTIFS('CCS追っかけ'!$B$5:$B$504,$A60,'CCS追っかけ'!$K$5:$K$504,"&gt;="&amp;K$58,'CCS追っかけ'!$K$5:$K$504,"&lt;"&amp;(K$58+7)))</f>
        <v/>
      </c>
      <c r="L60" s="10">
        <f>IF(OR($A60="",L$58&gt;TODAY()),"",COUNTIFS('CCS追っかけ'!$B$5:$B$504,$A60,'CCS追っかけ'!$K$5:$K$504,"&gt;="&amp;L$58,'CCS追っかけ'!$K$5:$K$504,"&lt;"&amp;(L$58+7)))</f>
        <v/>
      </c>
      <c r="M60" s="10">
        <f>IF(OR($A60="",M$58&gt;TODAY()),"",COUNTIFS('CCS追っかけ'!$B$5:$B$504,$A60,'CCS追っかけ'!$K$5:$K$504,"&gt;="&amp;M$58,'CCS追っかけ'!$K$5:$K$504,"&lt;"&amp;(M$58+7)))</f>
        <v/>
      </c>
      <c r="N60" s="10">
        <f>IF(OR($A60="",N$58&gt;TODAY()),"",COUNTIFS('CCS追っかけ'!$B$5:$B$504,$A60,'CCS追っかけ'!$K$5:$K$504,"&gt;="&amp;N$58,'CCS追っかけ'!$K$5:$K$504,"&lt;"&amp;(N$58+7)))</f>
        <v/>
      </c>
      <c r="O60" s="19">
        <f>IF($A60="","",SUM(B60:N60))</f>
        <v/>
      </c>
    </row>
    <row r="61">
      <c r="A61" s="15">
        <f>'📊ダッシュボード'!A10&amp;""</f>
        <v/>
      </c>
      <c r="B61" s="10">
        <f>IF(OR($A61="",B$58&gt;TODAY()),"",COUNTIFS('CCS追っかけ'!$B$5:$B$504,$A61,'CCS追っかけ'!$K$5:$K$504,"&gt;="&amp;B$58,'CCS追っかけ'!$K$5:$K$504,"&lt;"&amp;(B$58+7)))</f>
        <v/>
      </c>
      <c r="C61" s="10">
        <f>IF(OR($A61="",C$58&gt;TODAY()),"",COUNTIFS('CCS追っかけ'!$B$5:$B$504,$A61,'CCS追っかけ'!$K$5:$K$504,"&gt;="&amp;C$58,'CCS追っかけ'!$K$5:$K$504,"&lt;"&amp;(C$58+7)))</f>
        <v/>
      </c>
      <c r="D61" s="10">
        <f>IF(OR($A61="",D$58&gt;TODAY()),"",COUNTIFS('CCS追っかけ'!$B$5:$B$504,$A61,'CCS追っかけ'!$K$5:$K$504,"&gt;="&amp;D$58,'CCS追っかけ'!$K$5:$K$504,"&lt;"&amp;(D$58+7)))</f>
        <v/>
      </c>
      <c r="E61" s="10">
        <f>IF(OR($A61="",E$58&gt;TODAY()),"",COUNTIFS('CCS追っかけ'!$B$5:$B$504,$A61,'CCS追っかけ'!$K$5:$K$504,"&gt;="&amp;E$58,'CCS追っかけ'!$K$5:$K$504,"&lt;"&amp;(E$58+7)))</f>
        <v/>
      </c>
      <c r="F61" s="10">
        <f>IF(OR($A61="",F$58&gt;TODAY()),"",COUNTIFS('CCS追っかけ'!$B$5:$B$504,$A61,'CCS追っかけ'!$K$5:$K$504,"&gt;="&amp;F$58,'CCS追っかけ'!$K$5:$K$504,"&lt;"&amp;(F$58+7)))</f>
        <v/>
      </c>
      <c r="G61" s="10">
        <f>IF(OR($A61="",G$58&gt;TODAY()),"",COUNTIFS('CCS追っかけ'!$B$5:$B$504,$A61,'CCS追っかけ'!$K$5:$K$504,"&gt;="&amp;G$58,'CCS追っかけ'!$K$5:$K$504,"&lt;"&amp;(G$58+7)))</f>
        <v/>
      </c>
      <c r="H61" s="10">
        <f>IF(OR($A61="",H$58&gt;TODAY()),"",COUNTIFS('CCS追っかけ'!$B$5:$B$504,$A61,'CCS追っかけ'!$K$5:$K$504,"&gt;="&amp;H$58,'CCS追っかけ'!$K$5:$K$504,"&lt;"&amp;(H$58+7)))</f>
        <v/>
      </c>
      <c r="I61" s="10">
        <f>IF(OR($A61="",I$58&gt;TODAY()),"",COUNTIFS('CCS追っかけ'!$B$5:$B$504,$A61,'CCS追っかけ'!$K$5:$K$504,"&gt;="&amp;I$58,'CCS追っかけ'!$K$5:$K$504,"&lt;"&amp;(I$58+7)))</f>
        <v/>
      </c>
      <c r="J61" s="10">
        <f>IF(OR($A61="",J$58&gt;TODAY()),"",COUNTIFS('CCS追っかけ'!$B$5:$B$504,$A61,'CCS追っかけ'!$K$5:$K$504,"&gt;="&amp;J$58,'CCS追っかけ'!$K$5:$K$504,"&lt;"&amp;(J$58+7)))</f>
        <v/>
      </c>
      <c r="K61" s="10">
        <f>IF(OR($A61="",K$58&gt;TODAY()),"",COUNTIFS('CCS追っかけ'!$B$5:$B$504,$A61,'CCS追っかけ'!$K$5:$K$504,"&gt;="&amp;K$58,'CCS追っかけ'!$K$5:$K$504,"&lt;"&amp;(K$58+7)))</f>
        <v/>
      </c>
      <c r="L61" s="10">
        <f>IF(OR($A61="",L$58&gt;TODAY()),"",COUNTIFS('CCS追っかけ'!$B$5:$B$504,$A61,'CCS追っかけ'!$K$5:$K$504,"&gt;="&amp;L$58,'CCS追っかけ'!$K$5:$K$504,"&lt;"&amp;(L$58+7)))</f>
        <v/>
      </c>
      <c r="M61" s="10">
        <f>IF(OR($A61="",M$58&gt;TODAY()),"",COUNTIFS('CCS追っかけ'!$B$5:$B$504,$A61,'CCS追っかけ'!$K$5:$K$504,"&gt;="&amp;M$58,'CCS追っかけ'!$K$5:$K$504,"&lt;"&amp;(M$58+7)))</f>
        <v/>
      </c>
      <c r="N61" s="10">
        <f>IF(OR($A61="",N$58&gt;TODAY()),"",COUNTIFS('CCS追っかけ'!$B$5:$B$504,$A61,'CCS追っかけ'!$K$5:$K$504,"&gt;="&amp;N$58,'CCS追っかけ'!$K$5:$K$504,"&lt;"&amp;(N$58+7)))</f>
        <v/>
      </c>
      <c r="O61" s="19">
        <f>IF($A61="","",SUM(B61:N61))</f>
        <v/>
      </c>
    </row>
    <row r="62">
      <c r="A62" s="15">
        <f>'📊ダッシュボード'!A11&amp;""</f>
        <v/>
      </c>
      <c r="B62" s="10">
        <f>IF(OR($A62="",B$58&gt;TODAY()),"",COUNTIFS('CCS追っかけ'!$B$5:$B$504,$A62,'CCS追っかけ'!$K$5:$K$504,"&gt;="&amp;B$58,'CCS追っかけ'!$K$5:$K$504,"&lt;"&amp;(B$58+7)))</f>
        <v/>
      </c>
      <c r="C62" s="10">
        <f>IF(OR($A62="",C$58&gt;TODAY()),"",COUNTIFS('CCS追っかけ'!$B$5:$B$504,$A62,'CCS追っかけ'!$K$5:$K$504,"&gt;="&amp;C$58,'CCS追っかけ'!$K$5:$K$504,"&lt;"&amp;(C$58+7)))</f>
        <v/>
      </c>
      <c r="D62" s="10">
        <f>IF(OR($A62="",D$58&gt;TODAY()),"",COUNTIFS('CCS追っかけ'!$B$5:$B$504,$A62,'CCS追っかけ'!$K$5:$K$504,"&gt;="&amp;D$58,'CCS追っかけ'!$K$5:$K$504,"&lt;"&amp;(D$58+7)))</f>
        <v/>
      </c>
      <c r="E62" s="10">
        <f>IF(OR($A62="",E$58&gt;TODAY()),"",COUNTIFS('CCS追っかけ'!$B$5:$B$504,$A62,'CCS追っかけ'!$K$5:$K$504,"&gt;="&amp;E$58,'CCS追っかけ'!$K$5:$K$504,"&lt;"&amp;(E$58+7)))</f>
        <v/>
      </c>
      <c r="F62" s="10">
        <f>IF(OR($A62="",F$58&gt;TODAY()),"",COUNTIFS('CCS追っかけ'!$B$5:$B$504,$A62,'CCS追っかけ'!$K$5:$K$504,"&gt;="&amp;F$58,'CCS追っかけ'!$K$5:$K$504,"&lt;"&amp;(F$58+7)))</f>
        <v/>
      </c>
      <c r="G62" s="10">
        <f>IF(OR($A62="",G$58&gt;TODAY()),"",COUNTIFS('CCS追っかけ'!$B$5:$B$504,$A62,'CCS追っかけ'!$K$5:$K$504,"&gt;="&amp;G$58,'CCS追っかけ'!$K$5:$K$504,"&lt;"&amp;(G$58+7)))</f>
        <v/>
      </c>
      <c r="H62" s="10">
        <f>IF(OR($A62="",H$58&gt;TODAY()),"",COUNTIFS('CCS追っかけ'!$B$5:$B$504,$A62,'CCS追っかけ'!$K$5:$K$504,"&gt;="&amp;H$58,'CCS追っかけ'!$K$5:$K$504,"&lt;"&amp;(H$58+7)))</f>
        <v/>
      </c>
      <c r="I62" s="10">
        <f>IF(OR($A62="",I$58&gt;TODAY()),"",COUNTIFS('CCS追っかけ'!$B$5:$B$504,$A62,'CCS追っかけ'!$K$5:$K$504,"&gt;="&amp;I$58,'CCS追っかけ'!$K$5:$K$504,"&lt;"&amp;(I$58+7)))</f>
        <v/>
      </c>
      <c r="J62" s="10">
        <f>IF(OR($A62="",J$58&gt;TODAY()),"",COUNTIFS('CCS追っかけ'!$B$5:$B$504,$A62,'CCS追っかけ'!$K$5:$K$504,"&gt;="&amp;J$58,'CCS追っかけ'!$K$5:$K$504,"&lt;"&amp;(J$58+7)))</f>
        <v/>
      </c>
      <c r="K62" s="10">
        <f>IF(OR($A62="",K$58&gt;TODAY()),"",COUNTIFS('CCS追っかけ'!$B$5:$B$504,$A62,'CCS追っかけ'!$K$5:$K$504,"&gt;="&amp;K$58,'CCS追っかけ'!$K$5:$K$504,"&lt;"&amp;(K$58+7)))</f>
        <v/>
      </c>
      <c r="L62" s="10">
        <f>IF(OR($A62="",L$58&gt;TODAY()),"",COUNTIFS('CCS追っかけ'!$B$5:$B$504,$A62,'CCS追っかけ'!$K$5:$K$504,"&gt;="&amp;L$58,'CCS追っかけ'!$K$5:$K$504,"&lt;"&amp;(L$58+7)))</f>
        <v/>
      </c>
      <c r="M62" s="10">
        <f>IF(OR($A62="",M$58&gt;TODAY()),"",COUNTIFS('CCS追っかけ'!$B$5:$B$504,$A62,'CCS追っかけ'!$K$5:$K$504,"&gt;="&amp;M$58,'CCS追っかけ'!$K$5:$K$504,"&lt;"&amp;(M$58+7)))</f>
        <v/>
      </c>
      <c r="N62" s="10">
        <f>IF(OR($A62="",N$58&gt;TODAY()),"",COUNTIFS('CCS追っかけ'!$B$5:$B$504,$A62,'CCS追っかけ'!$K$5:$K$504,"&gt;="&amp;N$58,'CCS追っかけ'!$K$5:$K$504,"&lt;"&amp;(N$58+7)))</f>
        <v/>
      </c>
      <c r="O62" s="19">
        <f>IF($A62="","",SUM(B62:N62))</f>
        <v/>
      </c>
    </row>
    <row r="63">
      <c r="A63" s="15">
        <f>'📊ダッシュボード'!A12&amp;""</f>
        <v/>
      </c>
      <c r="B63" s="10">
        <f>IF(OR($A63="",B$58&gt;TODAY()),"",COUNTIFS('CCS追っかけ'!$B$5:$B$504,$A63,'CCS追っかけ'!$K$5:$K$504,"&gt;="&amp;B$58,'CCS追っかけ'!$K$5:$K$504,"&lt;"&amp;(B$58+7)))</f>
        <v/>
      </c>
      <c r="C63" s="10">
        <f>IF(OR($A63="",C$58&gt;TODAY()),"",COUNTIFS('CCS追っかけ'!$B$5:$B$504,$A63,'CCS追っかけ'!$K$5:$K$504,"&gt;="&amp;C$58,'CCS追っかけ'!$K$5:$K$504,"&lt;"&amp;(C$58+7)))</f>
        <v/>
      </c>
      <c r="D63" s="10">
        <f>IF(OR($A63="",D$58&gt;TODAY()),"",COUNTIFS('CCS追っかけ'!$B$5:$B$504,$A63,'CCS追っかけ'!$K$5:$K$504,"&gt;="&amp;D$58,'CCS追っかけ'!$K$5:$K$504,"&lt;"&amp;(D$58+7)))</f>
        <v/>
      </c>
      <c r="E63" s="10">
        <f>IF(OR($A63="",E$58&gt;TODAY()),"",COUNTIFS('CCS追っかけ'!$B$5:$B$504,$A63,'CCS追っかけ'!$K$5:$K$504,"&gt;="&amp;E$58,'CCS追っかけ'!$K$5:$K$504,"&lt;"&amp;(E$58+7)))</f>
        <v/>
      </c>
      <c r="F63" s="10">
        <f>IF(OR($A63="",F$58&gt;TODAY()),"",COUNTIFS('CCS追っかけ'!$B$5:$B$504,$A63,'CCS追っかけ'!$K$5:$K$504,"&gt;="&amp;F$58,'CCS追っかけ'!$K$5:$K$504,"&lt;"&amp;(F$58+7)))</f>
        <v/>
      </c>
      <c r="G63" s="10">
        <f>IF(OR($A63="",G$58&gt;TODAY()),"",COUNTIFS('CCS追っかけ'!$B$5:$B$504,$A63,'CCS追っかけ'!$K$5:$K$504,"&gt;="&amp;G$58,'CCS追っかけ'!$K$5:$K$504,"&lt;"&amp;(G$58+7)))</f>
        <v/>
      </c>
      <c r="H63" s="10">
        <f>IF(OR($A63="",H$58&gt;TODAY()),"",COUNTIFS('CCS追っかけ'!$B$5:$B$504,$A63,'CCS追っかけ'!$K$5:$K$504,"&gt;="&amp;H$58,'CCS追っかけ'!$K$5:$K$504,"&lt;"&amp;(H$58+7)))</f>
        <v/>
      </c>
      <c r="I63" s="10">
        <f>IF(OR($A63="",I$58&gt;TODAY()),"",COUNTIFS('CCS追っかけ'!$B$5:$B$504,$A63,'CCS追っかけ'!$K$5:$K$504,"&gt;="&amp;I$58,'CCS追っかけ'!$K$5:$K$504,"&lt;"&amp;(I$58+7)))</f>
        <v/>
      </c>
      <c r="J63" s="10">
        <f>IF(OR($A63="",J$58&gt;TODAY()),"",COUNTIFS('CCS追っかけ'!$B$5:$B$504,$A63,'CCS追っかけ'!$K$5:$K$504,"&gt;="&amp;J$58,'CCS追っかけ'!$K$5:$K$504,"&lt;"&amp;(J$58+7)))</f>
        <v/>
      </c>
      <c r="K63" s="10">
        <f>IF(OR($A63="",K$58&gt;TODAY()),"",COUNTIFS('CCS追っかけ'!$B$5:$B$504,$A63,'CCS追っかけ'!$K$5:$K$504,"&gt;="&amp;K$58,'CCS追っかけ'!$K$5:$K$504,"&lt;"&amp;(K$58+7)))</f>
        <v/>
      </c>
      <c r="L63" s="10">
        <f>IF(OR($A63="",L$58&gt;TODAY()),"",COUNTIFS('CCS追っかけ'!$B$5:$B$504,$A63,'CCS追っかけ'!$K$5:$K$504,"&gt;="&amp;L$58,'CCS追っかけ'!$K$5:$K$504,"&lt;"&amp;(L$58+7)))</f>
        <v/>
      </c>
      <c r="M63" s="10">
        <f>IF(OR($A63="",M$58&gt;TODAY()),"",COUNTIFS('CCS追っかけ'!$B$5:$B$504,$A63,'CCS追っかけ'!$K$5:$K$504,"&gt;="&amp;M$58,'CCS追っかけ'!$K$5:$K$504,"&lt;"&amp;(M$58+7)))</f>
        <v/>
      </c>
      <c r="N63" s="10">
        <f>IF(OR($A63="",N$58&gt;TODAY()),"",COUNTIFS('CCS追っかけ'!$B$5:$B$504,$A63,'CCS追っかけ'!$K$5:$K$504,"&gt;="&amp;N$58,'CCS追っかけ'!$K$5:$K$504,"&lt;"&amp;(N$58+7)))</f>
        <v/>
      </c>
      <c r="O63" s="19">
        <f>IF($A63="","",SUM(B63:N63))</f>
        <v/>
      </c>
    </row>
    <row r="64">
      <c r="A64" s="15">
        <f>'📊ダッシュボード'!A13&amp;""</f>
        <v/>
      </c>
      <c r="B64" s="10">
        <f>IF(OR($A64="",B$58&gt;TODAY()),"",COUNTIFS('CCS追っかけ'!$B$5:$B$504,$A64,'CCS追っかけ'!$K$5:$K$504,"&gt;="&amp;B$58,'CCS追っかけ'!$K$5:$K$504,"&lt;"&amp;(B$58+7)))</f>
        <v/>
      </c>
      <c r="C64" s="10">
        <f>IF(OR($A64="",C$58&gt;TODAY()),"",COUNTIFS('CCS追っかけ'!$B$5:$B$504,$A64,'CCS追っかけ'!$K$5:$K$504,"&gt;="&amp;C$58,'CCS追っかけ'!$K$5:$K$504,"&lt;"&amp;(C$58+7)))</f>
        <v/>
      </c>
      <c r="D64" s="10">
        <f>IF(OR($A64="",D$58&gt;TODAY()),"",COUNTIFS('CCS追っかけ'!$B$5:$B$504,$A64,'CCS追っかけ'!$K$5:$K$504,"&gt;="&amp;D$58,'CCS追っかけ'!$K$5:$K$504,"&lt;"&amp;(D$58+7)))</f>
        <v/>
      </c>
      <c r="E64" s="10">
        <f>IF(OR($A64="",E$58&gt;TODAY()),"",COUNTIFS('CCS追っかけ'!$B$5:$B$504,$A64,'CCS追っかけ'!$K$5:$K$504,"&gt;="&amp;E$58,'CCS追っかけ'!$K$5:$K$504,"&lt;"&amp;(E$58+7)))</f>
        <v/>
      </c>
      <c r="F64" s="10">
        <f>IF(OR($A64="",F$58&gt;TODAY()),"",COUNTIFS('CCS追っかけ'!$B$5:$B$504,$A64,'CCS追っかけ'!$K$5:$K$504,"&gt;="&amp;F$58,'CCS追っかけ'!$K$5:$K$504,"&lt;"&amp;(F$58+7)))</f>
        <v/>
      </c>
      <c r="G64" s="10">
        <f>IF(OR($A64="",G$58&gt;TODAY()),"",COUNTIFS('CCS追っかけ'!$B$5:$B$504,$A64,'CCS追っかけ'!$K$5:$K$504,"&gt;="&amp;G$58,'CCS追っかけ'!$K$5:$K$504,"&lt;"&amp;(G$58+7)))</f>
        <v/>
      </c>
      <c r="H64" s="10">
        <f>IF(OR($A64="",H$58&gt;TODAY()),"",COUNTIFS('CCS追っかけ'!$B$5:$B$504,$A64,'CCS追っかけ'!$K$5:$K$504,"&gt;="&amp;H$58,'CCS追っかけ'!$K$5:$K$504,"&lt;"&amp;(H$58+7)))</f>
        <v/>
      </c>
      <c r="I64" s="10">
        <f>IF(OR($A64="",I$58&gt;TODAY()),"",COUNTIFS('CCS追っかけ'!$B$5:$B$504,$A64,'CCS追っかけ'!$K$5:$K$504,"&gt;="&amp;I$58,'CCS追っかけ'!$K$5:$K$504,"&lt;"&amp;(I$58+7)))</f>
        <v/>
      </c>
      <c r="J64" s="10">
        <f>IF(OR($A64="",J$58&gt;TODAY()),"",COUNTIFS('CCS追っかけ'!$B$5:$B$504,$A64,'CCS追っかけ'!$K$5:$K$504,"&gt;="&amp;J$58,'CCS追っかけ'!$K$5:$K$504,"&lt;"&amp;(J$58+7)))</f>
        <v/>
      </c>
      <c r="K64" s="10">
        <f>IF(OR($A64="",K$58&gt;TODAY()),"",COUNTIFS('CCS追っかけ'!$B$5:$B$504,$A64,'CCS追っかけ'!$K$5:$K$504,"&gt;="&amp;K$58,'CCS追っかけ'!$K$5:$K$504,"&lt;"&amp;(K$58+7)))</f>
        <v/>
      </c>
      <c r="L64" s="10">
        <f>IF(OR($A64="",L$58&gt;TODAY()),"",COUNTIFS('CCS追っかけ'!$B$5:$B$504,$A64,'CCS追っかけ'!$K$5:$K$504,"&gt;="&amp;L$58,'CCS追っかけ'!$K$5:$K$504,"&lt;"&amp;(L$58+7)))</f>
        <v/>
      </c>
      <c r="M64" s="10">
        <f>IF(OR($A64="",M$58&gt;TODAY()),"",COUNTIFS('CCS追っかけ'!$B$5:$B$504,$A64,'CCS追っかけ'!$K$5:$K$504,"&gt;="&amp;M$58,'CCS追っかけ'!$K$5:$K$504,"&lt;"&amp;(M$58+7)))</f>
        <v/>
      </c>
      <c r="N64" s="10">
        <f>IF(OR($A64="",N$58&gt;TODAY()),"",COUNTIFS('CCS追っかけ'!$B$5:$B$504,$A64,'CCS追っかけ'!$K$5:$K$504,"&gt;="&amp;N$58,'CCS追っかけ'!$K$5:$K$504,"&lt;"&amp;(N$58+7)))</f>
        <v/>
      </c>
      <c r="O64" s="19">
        <f>IF($A64="","",SUM(B64:N64))</f>
        <v/>
      </c>
    </row>
    <row r="65">
      <c r="A65" s="15">
        <f>'📊ダッシュボード'!A14&amp;""</f>
        <v/>
      </c>
      <c r="B65" s="10">
        <f>IF(OR($A65="",B$58&gt;TODAY()),"",COUNTIFS('CCS追っかけ'!$B$5:$B$504,$A65,'CCS追っかけ'!$K$5:$K$504,"&gt;="&amp;B$58,'CCS追っかけ'!$K$5:$K$504,"&lt;"&amp;(B$58+7)))</f>
        <v/>
      </c>
      <c r="C65" s="10">
        <f>IF(OR($A65="",C$58&gt;TODAY()),"",COUNTIFS('CCS追っかけ'!$B$5:$B$504,$A65,'CCS追っかけ'!$K$5:$K$504,"&gt;="&amp;C$58,'CCS追っかけ'!$K$5:$K$504,"&lt;"&amp;(C$58+7)))</f>
        <v/>
      </c>
      <c r="D65" s="10">
        <f>IF(OR($A65="",D$58&gt;TODAY()),"",COUNTIFS('CCS追っかけ'!$B$5:$B$504,$A65,'CCS追っかけ'!$K$5:$K$504,"&gt;="&amp;D$58,'CCS追っかけ'!$K$5:$K$504,"&lt;"&amp;(D$58+7)))</f>
        <v/>
      </c>
      <c r="E65" s="10">
        <f>IF(OR($A65="",E$58&gt;TODAY()),"",COUNTIFS('CCS追っかけ'!$B$5:$B$504,$A65,'CCS追っかけ'!$K$5:$K$504,"&gt;="&amp;E$58,'CCS追っかけ'!$K$5:$K$504,"&lt;"&amp;(E$58+7)))</f>
        <v/>
      </c>
      <c r="F65" s="10">
        <f>IF(OR($A65="",F$58&gt;TODAY()),"",COUNTIFS('CCS追っかけ'!$B$5:$B$504,$A65,'CCS追っかけ'!$K$5:$K$504,"&gt;="&amp;F$58,'CCS追っかけ'!$K$5:$K$504,"&lt;"&amp;(F$58+7)))</f>
        <v/>
      </c>
      <c r="G65" s="10">
        <f>IF(OR($A65="",G$58&gt;TODAY()),"",COUNTIFS('CCS追っかけ'!$B$5:$B$504,$A65,'CCS追っかけ'!$K$5:$K$504,"&gt;="&amp;G$58,'CCS追っかけ'!$K$5:$K$504,"&lt;"&amp;(G$58+7)))</f>
        <v/>
      </c>
      <c r="H65" s="10">
        <f>IF(OR($A65="",H$58&gt;TODAY()),"",COUNTIFS('CCS追っかけ'!$B$5:$B$504,$A65,'CCS追っかけ'!$K$5:$K$504,"&gt;="&amp;H$58,'CCS追っかけ'!$K$5:$K$504,"&lt;"&amp;(H$58+7)))</f>
        <v/>
      </c>
      <c r="I65" s="10">
        <f>IF(OR($A65="",I$58&gt;TODAY()),"",COUNTIFS('CCS追っかけ'!$B$5:$B$504,$A65,'CCS追っかけ'!$K$5:$K$504,"&gt;="&amp;I$58,'CCS追っかけ'!$K$5:$K$504,"&lt;"&amp;(I$58+7)))</f>
        <v/>
      </c>
      <c r="J65" s="10">
        <f>IF(OR($A65="",J$58&gt;TODAY()),"",COUNTIFS('CCS追っかけ'!$B$5:$B$504,$A65,'CCS追っかけ'!$K$5:$K$504,"&gt;="&amp;J$58,'CCS追っかけ'!$K$5:$K$504,"&lt;"&amp;(J$58+7)))</f>
        <v/>
      </c>
      <c r="K65" s="10">
        <f>IF(OR($A65="",K$58&gt;TODAY()),"",COUNTIFS('CCS追っかけ'!$B$5:$B$504,$A65,'CCS追っかけ'!$K$5:$K$504,"&gt;="&amp;K$58,'CCS追っかけ'!$K$5:$K$504,"&lt;"&amp;(K$58+7)))</f>
        <v/>
      </c>
      <c r="L65" s="10">
        <f>IF(OR($A65="",L$58&gt;TODAY()),"",COUNTIFS('CCS追っかけ'!$B$5:$B$504,$A65,'CCS追っかけ'!$K$5:$K$504,"&gt;="&amp;L$58,'CCS追っかけ'!$K$5:$K$504,"&lt;"&amp;(L$58+7)))</f>
        <v/>
      </c>
      <c r="M65" s="10">
        <f>IF(OR($A65="",M$58&gt;TODAY()),"",COUNTIFS('CCS追っかけ'!$B$5:$B$504,$A65,'CCS追っかけ'!$K$5:$K$504,"&gt;="&amp;M$58,'CCS追っかけ'!$K$5:$K$504,"&lt;"&amp;(M$58+7)))</f>
        <v/>
      </c>
      <c r="N65" s="10">
        <f>IF(OR($A65="",N$58&gt;TODAY()),"",COUNTIFS('CCS追っかけ'!$B$5:$B$504,$A65,'CCS追っかけ'!$K$5:$K$504,"&gt;="&amp;N$58,'CCS追っかけ'!$K$5:$K$504,"&lt;"&amp;(N$58+7)))</f>
        <v/>
      </c>
      <c r="O65" s="19">
        <f>IF($A65="","",SUM(B65:N65))</f>
        <v/>
      </c>
    </row>
    <row r="66">
      <c r="A66" s="15">
        <f>'📊ダッシュボード'!A15&amp;""</f>
        <v/>
      </c>
      <c r="B66" s="10">
        <f>IF(OR($A66="",B$58&gt;TODAY()),"",COUNTIFS('CCS追っかけ'!$B$5:$B$504,$A66,'CCS追っかけ'!$K$5:$K$504,"&gt;="&amp;B$58,'CCS追っかけ'!$K$5:$K$504,"&lt;"&amp;(B$58+7)))</f>
        <v/>
      </c>
      <c r="C66" s="10">
        <f>IF(OR($A66="",C$58&gt;TODAY()),"",COUNTIFS('CCS追っかけ'!$B$5:$B$504,$A66,'CCS追っかけ'!$K$5:$K$504,"&gt;="&amp;C$58,'CCS追っかけ'!$K$5:$K$504,"&lt;"&amp;(C$58+7)))</f>
        <v/>
      </c>
      <c r="D66" s="10">
        <f>IF(OR($A66="",D$58&gt;TODAY()),"",COUNTIFS('CCS追っかけ'!$B$5:$B$504,$A66,'CCS追っかけ'!$K$5:$K$504,"&gt;="&amp;D$58,'CCS追っかけ'!$K$5:$K$504,"&lt;"&amp;(D$58+7)))</f>
        <v/>
      </c>
      <c r="E66" s="10">
        <f>IF(OR($A66="",E$58&gt;TODAY()),"",COUNTIFS('CCS追っかけ'!$B$5:$B$504,$A66,'CCS追っかけ'!$K$5:$K$504,"&gt;="&amp;E$58,'CCS追っかけ'!$K$5:$K$504,"&lt;"&amp;(E$58+7)))</f>
        <v/>
      </c>
      <c r="F66" s="10">
        <f>IF(OR($A66="",F$58&gt;TODAY()),"",COUNTIFS('CCS追っかけ'!$B$5:$B$504,$A66,'CCS追っかけ'!$K$5:$K$504,"&gt;="&amp;F$58,'CCS追っかけ'!$K$5:$K$504,"&lt;"&amp;(F$58+7)))</f>
        <v/>
      </c>
      <c r="G66" s="10">
        <f>IF(OR($A66="",G$58&gt;TODAY()),"",COUNTIFS('CCS追っかけ'!$B$5:$B$504,$A66,'CCS追っかけ'!$K$5:$K$504,"&gt;="&amp;G$58,'CCS追っかけ'!$K$5:$K$504,"&lt;"&amp;(G$58+7)))</f>
        <v/>
      </c>
      <c r="H66" s="10">
        <f>IF(OR($A66="",H$58&gt;TODAY()),"",COUNTIFS('CCS追っかけ'!$B$5:$B$504,$A66,'CCS追っかけ'!$K$5:$K$504,"&gt;="&amp;H$58,'CCS追っかけ'!$K$5:$K$504,"&lt;"&amp;(H$58+7)))</f>
        <v/>
      </c>
      <c r="I66" s="10">
        <f>IF(OR($A66="",I$58&gt;TODAY()),"",COUNTIFS('CCS追っかけ'!$B$5:$B$504,$A66,'CCS追っかけ'!$K$5:$K$504,"&gt;="&amp;I$58,'CCS追っかけ'!$K$5:$K$504,"&lt;"&amp;(I$58+7)))</f>
        <v/>
      </c>
      <c r="J66" s="10">
        <f>IF(OR($A66="",J$58&gt;TODAY()),"",COUNTIFS('CCS追っかけ'!$B$5:$B$504,$A66,'CCS追っかけ'!$K$5:$K$504,"&gt;="&amp;J$58,'CCS追っかけ'!$K$5:$K$504,"&lt;"&amp;(J$58+7)))</f>
        <v/>
      </c>
      <c r="K66" s="10">
        <f>IF(OR($A66="",K$58&gt;TODAY()),"",COUNTIFS('CCS追っかけ'!$B$5:$B$504,$A66,'CCS追っかけ'!$K$5:$K$504,"&gt;="&amp;K$58,'CCS追っかけ'!$K$5:$K$504,"&lt;"&amp;(K$58+7)))</f>
        <v/>
      </c>
      <c r="L66" s="10">
        <f>IF(OR($A66="",L$58&gt;TODAY()),"",COUNTIFS('CCS追っかけ'!$B$5:$B$504,$A66,'CCS追っかけ'!$K$5:$K$504,"&gt;="&amp;L$58,'CCS追っかけ'!$K$5:$K$504,"&lt;"&amp;(L$58+7)))</f>
        <v/>
      </c>
      <c r="M66" s="10">
        <f>IF(OR($A66="",M$58&gt;TODAY()),"",COUNTIFS('CCS追っかけ'!$B$5:$B$504,$A66,'CCS追っかけ'!$K$5:$K$504,"&gt;="&amp;M$58,'CCS追っかけ'!$K$5:$K$504,"&lt;"&amp;(M$58+7)))</f>
        <v/>
      </c>
      <c r="N66" s="10">
        <f>IF(OR($A66="",N$58&gt;TODAY()),"",COUNTIFS('CCS追っかけ'!$B$5:$B$504,$A66,'CCS追っかけ'!$K$5:$K$504,"&gt;="&amp;N$58,'CCS追っかけ'!$K$5:$K$504,"&lt;"&amp;(N$58+7)))</f>
        <v/>
      </c>
      <c r="O66" s="19">
        <f>IF($A66="","",SUM(B66:N66))</f>
        <v/>
      </c>
    </row>
    <row r="67">
      <c r="A67" s="15">
        <f>'📊ダッシュボード'!A16&amp;""</f>
        <v/>
      </c>
      <c r="B67" s="10">
        <f>IF(OR($A67="",B$58&gt;TODAY()),"",COUNTIFS('CCS追っかけ'!$B$5:$B$504,$A67,'CCS追っかけ'!$K$5:$K$504,"&gt;="&amp;B$58,'CCS追っかけ'!$K$5:$K$504,"&lt;"&amp;(B$58+7)))</f>
        <v/>
      </c>
      <c r="C67" s="10">
        <f>IF(OR($A67="",C$58&gt;TODAY()),"",COUNTIFS('CCS追っかけ'!$B$5:$B$504,$A67,'CCS追っかけ'!$K$5:$K$504,"&gt;="&amp;C$58,'CCS追っかけ'!$K$5:$K$504,"&lt;"&amp;(C$58+7)))</f>
        <v/>
      </c>
      <c r="D67" s="10">
        <f>IF(OR($A67="",D$58&gt;TODAY()),"",COUNTIFS('CCS追っかけ'!$B$5:$B$504,$A67,'CCS追っかけ'!$K$5:$K$504,"&gt;="&amp;D$58,'CCS追っかけ'!$K$5:$K$504,"&lt;"&amp;(D$58+7)))</f>
        <v/>
      </c>
      <c r="E67" s="10">
        <f>IF(OR($A67="",E$58&gt;TODAY()),"",COUNTIFS('CCS追っかけ'!$B$5:$B$504,$A67,'CCS追っかけ'!$K$5:$K$504,"&gt;="&amp;E$58,'CCS追っかけ'!$K$5:$K$504,"&lt;"&amp;(E$58+7)))</f>
        <v/>
      </c>
      <c r="F67" s="10">
        <f>IF(OR($A67="",F$58&gt;TODAY()),"",COUNTIFS('CCS追っかけ'!$B$5:$B$504,$A67,'CCS追っかけ'!$K$5:$K$504,"&gt;="&amp;F$58,'CCS追っかけ'!$K$5:$K$504,"&lt;"&amp;(F$58+7)))</f>
        <v/>
      </c>
      <c r="G67" s="10">
        <f>IF(OR($A67="",G$58&gt;TODAY()),"",COUNTIFS('CCS追っかけ'!$B$5:$B$504,$A67,'CCS追っかけ'!$K$5:$K$504,"&gt;="&amp;G$58,'CCS追っかけ'!$K$5:$K$504,"&lt;"&amp;(G$58+7)))</f>
        <v/>
      </c>
      <c r="H67" s="10">
        <f>IF(OR($A67="",H$58&gt;TODAY()),"",COUNTIFS('CCS追っかけ'!$B$5:$B$504,$A67,'CCS追っかけ'!$K$5:$K$504,"&gt;="&amp;H$58,'CCS追っかけ'!$K$5:$K$504,"&lt;"&amp;(H$58+7)))</f>
        <v/>
      </c>
      <c r="I67" s="10">
        <f>IF(OR($A67="",I$58&gt;TODAY()),"",COUNTIFS('CCS追っかけ'!$B$5:$B$504,$A67,'CCS追っかけ'!$K$5:$K$504,"&gt;="&amp;I$58,'CCS追っかけ'!$K$5:$K$504,"&lt;"&amp;(I$58+7)))</f>
        <v/>
      </c>
      <c r="J67" s="10">
        <f>IF(OR($A67="",J$58&gt;TODAY()),"",COUNTIFS('CCS追っかけ'!$B$5:$B$504,$A67,'CCS追っかけ'!$K$5:$K$504,"&gt;="&amp;J$58,'CCS追っかけ'!$K$5:$K$504,"&lt;"&amp;(J$58+7)))</f>
        <v/>
      </c>
      <c r="K67" s="10">
        <f>IF(OR($A67="",K$58&gt;TODAY()),"",COUNTIFS('CCS追っかけ'!$B$5:$B$504,$A67,'CCS追っかけ'!$K$5:$K$504,"&gt;="&amp;K$58,'CCS追っかけ'!$K$5:$K$504,"&lt;"&amp;(K$58+7)))</f>
        <v/>
      </c>
      <c r="L67" s="10">
        <f>IF(OR($A67="",L$58&gt;TODAY()),"",COUNTIFS('CCS追っかけ'!$B$5:$B$504,$A67,'CCS追っかけ'!$K$5:$K$504,"&gt;="&amp;L$58,'CCS追っかけ'!$K$5:$K$504,"&lt;"&amp;(L$58+7)))</f>
        <v/>
      </c>
      <c r="M67" s="10">
        <f>IF(OR($A67="",M$58&gt;TODAY()),"",COUNTIFS('CCS追っかけ'!$B$5:$B$504,$A67,'CCS追っかけ'!$K$5:$K$504,"&gt;="&amp;M$58,'CCS追っかけ'!$K$5:$K$504,"&lt;"&amp;(M$58+7)))</f>
        <v/>
      </c>
      <c r="N67" s="10">
        <f>IF(OR($A67="",N$58&gt;TODAY()),"",COUNTIFS('CCS追っかけ'!$B$5:$B$504,$A67,'CCS追っかけ'!$K$5:$K$504,"&gt;="&amp;N$58,'CCS追っかけ'!$K$5:$K$504,"&lt;"&amp;(N$58+7)))</f>
        <v/>
      </c>
      <c r="O67" s="19">
        <f>IF($A67="","",SUM(B67:N67))</f>
        <v/>
      </c>
    </row>
    <row r="68">
      <c r="A68" s="15">
        <f>'📊ダッシュボード'!A17&amp;""</f>
        <v/>
      </c>
      <c r="B68" s="10">
        <f>IF(OR($A68="",B$58&gt;TODAY()),"",COUNTIFS('CCS追っかけ'!$B$5:$B$504,$A68,'CCS追っかけ'!$K$5:$K$504,"&gt;="&amp;B$58,'CCS追っかけ'!$K$5:$K$504,"&lt;"&amp;(B$58+7)))</f>
        <v/>
      </c>
      <c r="C68" s="10">
        <f>IF(OR($A68="",C$58&gt;TODAY()),"",COUNTIFS('CCS追っかけ'!$B$5:$B$504,$A68,'CCS追っかけ'!$K$5:$K$504,"&gt;="&amp;C$58,'CCS追っかけ'!$K$5:$K$504,"&lt;"&amp;(C$58+7)))</f>
        <v/>
      </c>
      <c r="D68" s="10">
        <f>IF(OR($A68="",D$58&gt;TODAY()),"",COUNTIFS('CCS追っかけ'!$B$5:$B$504,$A68,'CCS追っかけ'!$K$5:$K$504,"&gt;="&amp;D$58,'CCS追っかけ'!$K$5:$K$504,"&lt;"&amp;(D$58+7)))</f>
        <v/>
      </c>
      <c r="E68" s="10">
        <f>IF(OR($A68="",E$58&gt;TODAY()),"",COUNTIFS('CCS追っかけ'!$B$5:$B$504,$A68,'CCS追っかけ'!$K$5:$K$504,"&gt;="&amp;E$58,'CCS追っかけ'!$K$5:$K$504,"&lt;"&amp;(E$58+7)))</f>
        <v/>
      </c>
      <c r="F68" s="10">
        <f>IF(OR($A68="",F$58&gt;TODAY()),"",COUNTIFS('CCS追っかけ'!$B$5:$B$504,$A68,'CCS追っかけ'!$K$5:$K$504,"&gt;="&amp;F$58,'CCS追っかけ'!$K$5:$K$504,"&lt;"&amp;(F$58+7)))</f>
        <v/>
      </c>
      <c r="G68" s="10">
        <f>IF(OR($A68="",G$58&gt;TODAY()),"",COUNTIFS('CCS追っかけ'!$B$5:$B$504,$A68,'CCS追っかけ'!$K$5:$K$504,"&gt;="&amp;G$58,'CCS追っかけ'!$K$5:$K$504,"&lt;"&amp;(G$58+7)))</f>
        <v/>
      </c>
      <c r="H68" s="10">
        <f>IF(OR($A68="",H$58&gt;TODAY()),"",COUNTIFS('CCS追っかけ'!$B$5:$B$504,$A68,'CCS追っかけ'!$K$5:$K$504,"&gt;="&amp;H$58,'CCS追っかけ'!$K$5:$K$504,"&lt;"&amp;(H$58+7)))</f>
        <v/>
      </c>
      <c r="I68" s="10">
        <f>IF(OR($A68="",I$58&gt;TODAY()),"",COUNTIFS('CCS追っかけ'!$B$5:$B$504,$A68,'CCS追っかけ'!$K$5:$K$504,"&gt;="&amp;I$58,'CCS追っかけ'!$K$5:$K$504,"&lt;"&amp;(I$58+7)))</f>
        <v/>
      </c>
      <c r="J68" s="10">
        <f>IF(OR($A68="",J$58&gt;TODAY()),"",COUNTIFS('CCS追っかけ'!$B$5:$B$504,$A68,'CCS追っかけ'!$K$5:$K$504,"&gt;="&amp;J$58,'CCS追っかけ'!$K$5:$K$504,"&lt;"&amp;(J$58+7)))</f>
        <v/>
      </c>
      <c r="K68" s="10">
        <f>IF(OR($A68="",K$58&gt;TODAY()),"",COUNTIFS('CCS追っかけ'!$B$5:$B$504,$A68,'CCS追っかけ'!$K$5:$K$504,"&gt;="&amp;K$58,'CCS追っかけ'!$K$5:$K$504,"&lt;"&amp;(K$58+7)))</f>
        <v/>
      </c>
      <c r="L68" s="10">
        <f>IF(OR($A68="",L$58&gt;TODAY()),"",COUNTIFS('CCS追っかけ'!$B$5:$B$504,$A68,'CCS追っかけ'!$K$5:$K$504,"&gt;="&amp;L$58,'CCS追っかけ'!$K$5:$K$504,"&lt;"&amp;(L$58+7)))</f>
        <v/>
      </c>
      <c r="M68" s="10">
        <f>IF(OR($A68="",M$58&gt;TODAY()),"",COUNTIFS('CCS追っかけ'!$B$5:$B$504,$A68,'CCS追っかけ'!$K$5:$K$504,"&gt;="&amp;M$58,'CCS追っかけ'!$K$5:$K$504,"&lt;"&amp;(M$58+7)))</f>
        <v/>
      </c>
      <c r="N68" s="10">
        <f>IF(OR($A68="",N$58&gt;TODAY()),"",COUNTIFS('CCS追っかけ'!$B$5:$B$504,$A68,'CCS追っかけ'!$K$5:$K$504,"&gt;="&amp;N$58,'CCS追っかけ'!$K$5:$K$504,"&lt;"&amp;(N$58+7)))</f>
        <v/>
      </c>
      <c r="O68" s="19">
        <f>IF($A68="","",SUM(B68:N68))</f>
        <v/>
      </c>
    </row>
    <row r="69">
      <c r="A69" s="15">
        <f>'📊ダッシュボード'!A18&amp;""</f>
        <v/>
      </c>
      <c r="B69" s="10">
        <f>IF(OR($A69="",B$58&gt;TODAY()),"",COUNTIFS('CCS追っかけ'!$B$5:$B$504,$A69,'CCS追っかけ'!$K$5:$K$504,"&gt;="&amp;B$58,'CCS追っかけ'!$K$5:$K$504,"&lt;"&amp;(B$58+7)))</f>
        <v/>
      </c>
      <c r="C69" s="10">
        <f>IF(OR($A69="",C$58&gt;TODAY()),"",COUNTIFS('CCS追っかけ'!$B$5:$B$504,$A69,'CCS追っかけ'!$K$5:$K$504,"&gt;="&amp;C$58,'CCS追っかけ'!$K$5:$K$504,"&lt;"&amp;(C$58+7)))</f>
        <v/>
      </c>
      <c r="D69" s="10">
        <f>IF(OR($A69="",D$58&gt;TODAY()),"",COUNTIFS('CCS追っかけ'!$B$5:$B$504,$A69,'CCS追っかけ'!$K$5:$K$504,"&gt;="&amp;D$58,'CCS追っかけ'!$K$5:$K$504,"&lt;"&amp;(D$58+7)))</f>
        <v/>
      </c>
      <c r="E69" s="10">
        <f>IF(OR($A69="",E$58&gt;TODAY()),"",COUNTIFS('CCS追っかけ'!$B$5:$B$504,$A69,'CCS追っかけ'!$K$5:$K$504,"&gt;="&amp;E$58,'CCS追っかけ'!$K$5:$K$504,"&lt;"&amp;(E$58+7)))</f>
        <v/>
      </c>
      <c r="F69" s="10">
        <f>IF(OR($A69="",F$58&gt;TODAY()),"",COUNTIFS('CCS追っかけ'!$B$5:$B$504,$A69,'CCS追っかけ'!$K$5:$K$504,"&gt;="&amp;F$58,'CCS追っかけ'!$K$5:$K$504,"&lt;"&amp;(F$58+7)))</f>
        <v/>
      </c>
      <c r="G69" s="10">
        <f>IF(OR($A69="",G$58&gt;TODAY()),"",COUNTIFS('CCS追っかけ'!$B$5:$B$504,$A69,'CCS追っかけ'!$K$5:$K$504,"&gt;="&amp;G$58,'CCS追っかけ'!$K$5:$K$504,"&lt;"&amp;(G$58+7)))</f>
        <v/>
      </c>
      <c r="H69" s="10">
        <f>IF(OR($A69="",H$58&gt;TODAY()),"",COUNTIFS('CCS追っかけ'!$B$5:$B$504,$A69,'CCS追っかけ'!$K$5:$K$504,"&gt;="&amp;H$58,'CCS追っかけ'!$K$5:$K$504,"&lt;"&amp;(H$58+7)))</f>
        <v/>
      </c>
      <c r="I69" s="10">
        <f>IF(OR($A69="",I$58&gt;TODAY()),"",COUNTIFS('CCS追っかけ'!$B$5:$B$504,$A69,'CCS追っかけ'!$K$5:$K$504,"&gt;="&amp;I$58,'CCS追っかけ'!$K$5:$K$504,"&lt;"&amp;(I$58+7)))</f>
        <v/>
      </c>
      <c r="J69" s="10">
        <f>IF(OR($A69="",J$58&gt;TODAY()),"",COUNTIFS('CCS追っかけ'!$B$5:$B$504,$A69,'CCS追っかけ'!$K$5:$K$504,"&gt;="&amp;J$58,'CCS追っかけ'!$K$5:$K$504,"&lt;"&amp;(J$58+7)))</f>
        <v/>
      </c>
      <c r="K69" s="10">
        <f>IF(OR($A69="",K$58&gt;TODAY()),"",COUNTIFS('CCS追っかけ'!$B$5:$B$504,$A69,'CCS追っかけ'!$K$5:$K$504,"&gt;="&amp;K$58,'CCS追っかけ'!$K$5:$K$504,"&lt;"&amp;(K$58+7)))</f>
        <v/>
      </c>
      <c r="L69" s="10">
        <f>IF(OR($A69="",L$58&gt;TODAY()),"",COUNTIFS('CCS追っかけ'!$B$5:$B$504,$A69,'CCS追っかけ'!$K$5:$K$504,"&gt;="&amp;L$58,'CCS追っかけ'!$K$5:$K$504,"&lt;"&amp;(L$58+7)))</f>
        <v/>
      </c>
      <c r="M69" s="10">
        <f>IF(OR($A69="",M$58&gt;TODAY()),"",COUNTIFS('CCS追っかけ'!$B$5:$B$504,$A69,'CCS追っかけ'!$K$5:$K$504,"&gt;="&amp;M$58,'CCS追っかけ'!$K$5:$K$504,"&lt;"&amp;(M$58+7)))</f>
        <v/>
      </c>
      <c r="N69" s="10">
        <f>IF(OR($A69="",N$58&gt;TODAY()),"",COUNTIFS('CCS追っかけ'!$B$5:$B$504,$A69,'CCS追っかけ'!$K$5:$K$504,"&gt;="&amp;N$58,'CCS追っかけ'!$K$5:$K$504,"&lt;"&amp;(N$58+7)))</f>
        <v/>
      </c>
      <c r="O69" s="19">
        <f>IF($A69="","",SUM(B69:N69))</f>
        <v/>
      </c>
    </row>
    <row r="70">
      <c r="A70" s="15">
        <f>'📊ダッシュボード'!A19&amp;""</f>
        <v/>
      </c>
      <c r="B70" s="10">
        <f>IF(OR($A70="",B$58&gt;TODAY()),"",COUNTIFS('CCS追っかけ'!$B$5:$B$504,$A70,'CCS追っかけ'!$K$5:$K$504,"&gt;="&amp;B$58,'CCS追っかけ'!$K$5:$K$504,"&lt;"&amp;(B$58+7)))</f>
        <v/>
      </c>
      <c r="C70" s="10">
        <f>IF(OR($A70="",C$58&gt;TODAY()),"",COUNTIFS('CCS追っかけ'!$B$5:$B$504,$A70,'CCS追っかけ'!$K$5:$K$504,"&gt;="&amp;C$58,'CCS追っかけ'!$K$5:$K$504,"&lt;"&amp;(C$58+7)))</f>
        <v/>
      </c>
      <c r="D70" s="10">
        <f>IF(OR($A70="",D$58&gt;TODAY()),"",COUNTIFS('CCS追っかけ'!$B$5:$B$504,$A70,'CCS追っかけ'!$K$5:$K$504,"&gt;="&amp;D$58,'CCS追っかけ'!$K$5:$K$504,"&lt;"&amp;(D$58+7)))</f>
        <v/>
      </c>
      <c r="E70" s="10">
        <f>IF(OR($A70="",E$58&gt;TODAY()),"",COUNTIFS('CCS追っかけ'!$B$5:$B$504,$A70,'CCS追っかけ'!$K$5:$K$504,"&gt;="&amp;E$58,'CCS追っかけ'!$K$5:$K$504,"&lt;"&amp;(E$58+7)))</f>
        <v/>
      </c>
      <c r="F70" s="10">
        <f>IF(OR($A70="",F$58&gt;TODAY()),"",COUNTIFS('CCS追っかけ'!$B$5:$B$504,$A70,'CCS追っかけ'!$K$5:$K$504,"&gt;="&amp;F$58,'CCS追っかけ'!$K$5:$K$504,"&lt;"&amp;(F$58+7)))</f>
        <v/>
      </c>
      <c r="G70" s="10">
        <f>IF(OR($A70="",G$58&gt;TODAY()),"",COUNTIFS('CCS追っかけ'!$B$5:$B$504,$A70,'CCS追っかけ'!$K$5:$K$504,"&gt;="&amp;G$58,'CCS追っかけ'!$K$5:$K$504,"&lt;"&amp;(G$58+7)))</f>
        <v/>
      </c>
      <c r="H70" s="10">
        <f>IF(OR($A70="",H$58&gt;TODAY()),"",COUNTIFS('CCS追っかけ'!$B$5:$B$504,$A70,'CCS追っかけ'!$K$5:$K$504,"&gt;="&amp;H$58,'CCS追っかけ'!$K$5:$K$504,"&lt;"&amp;(H$58+7)))</f>
        <v/>
      </c>
      <c r="I70" s="10">
        <f>IF(OR($A70="",I$58&gt;TODAY()),"",COUNTIFS('CCS追っかけ'!$B$5:$B$504,$A70,'CCS追っかけ'!$K$5:$K$504,"&gt;="&amp;I$58,'CCS追っかけ'!$K$5:$K$504,"&lt;"&amp;(I$58+7)))</f>
        <v/>
      </c>
      <c r="J70" s="10">
        <f>IF(OR($A70="",J$58&gt;TODAY()),"",COUNTIFS('CCS追っかけ'!$B$5:$B$504,$A70,'CCS追っかけ'!$K$5:$K$504,"&gt;="&amp;J$58,'CCS追っかけ'!$K$5:$K$504,"&lt;"&amp;(J$58+7)))</f>
        <v/>
      </c>
      <c r="K70" s="10">
        <f>IF(OR($A70="",K$58&gt;TODAY()),"",COUNTIFS('CCS追っかけ'!$B$5:$B$504,$A70,'CCS追っかけ'!$K$5:$K$504,"&gt;="&amp;K$58,'CCS追っかけ'!$K$5:$K$504,"&lt;"&amp;(K$58+7)))</f>
        <v/>
      </c>
      <c r="L70" s="10">
        <f>IF(OR($A70="",L$58&gt;TODAY()),"",COUNTIFS('CCS追っかけ'!$B$5:$B$504,$A70,'CCS追っかけ'!$K$5:$K$504,"&gt;="&amp;L$58,'CCS追っかけ'!$K$5:$K$504,"&lt;"&amp;(L$58+7)))</f>
        <v/>
      </c>
      <c r="M70" s="10">
        <f>IF(OR($A70="",M$58&gt;TODAY()),"",COUNTIFS('CCS追っかけ'!$B$5:$B$504,$A70,'CCS追っかけ'!$K$5:$K$504,"&gt;="&amp;M$58,'CCS追っかけ'!$K$5:$K$504,"&lt;"&amp;(M$58+7)))</f>
        <v/>
      </c>
      <c r="N70" s="10">
        <f>IF(OR($A70="",N$58&gt;TODAY()),"",COUNTIFS('CCS追っかけ'!$B$5:$B$504,$A70,'CCS追っかけ'!$K$5:$K$504,"&gt;="&amp;N$58,'CCS追っかけ'!$K$5:$K$504,"&lt;"&amp;(N$58+7)))</f>
        <v/>
      </c>
      <c r="O70" s="19">
        <f>IF($A70="","",SUM(B70:N70))</f>
        <v/>
      </c>
    </row>
    <row r="71">
      <c r="A71" s="15">
        <f>'📊ダッシュボード'!A20&amp;""</f>
        <v/>
      </c>
      <c r="B71" s="10">
        <f>IF(OR($A71="",B$58&gt;TODAY()),"",COUNTIFS('CCS追っかけ'!$B$5:$B$504,$A71,'CCS追っかけ'!$K$5:$K$504,"&gt;="&amp;B$58,'CCS追っかけ'!$K$5:$K$504,"&lt;"&amp;(B$58+7)))</f>
        <v/>
      </c>
      <c r="C71" s="10">
        <f>IF(OR($A71="",C$58&gt;TODAY()),"",COUNTIFS('CCS追っかけ'!$B$5:$B$504,$A71,'CCS追っかけ'!$K$5:$K$504,"&gt;="&amp;C$58,'CCS追っかけ'!$K$5:$K$504,"&lt;"&amp;(C$58+7)))</f>
        <v/>
      </c>
      <c r="D71" s="10">
        <f>IF(OR($A71="",D$58&gt;TODAY()),"",COUNTIFS('CCS追っかけ'!$B$5:$B$504,$A71,'CCS追っかけ'!$K$5:$K$504,"&gt;="&amp;D$58,'CCS追っかけ'!$K$5:$K$504,"&lt;"&amp;(D$58+7)))</f>
        <v/>
      </c>
      <c r="E71" s="10">
        <f>IF(OR($A71="",E$58&gt;TODAY()),"",COUNTIFS('CCS追っかけ'!$B$5:$B$504,$A71,'CCS追っかけ'!$K$5:$K$504,"&gt;="&amp;E$58,'CCS追っかけ'!$K$5:$K$504,"&lt;"&amp;(E$58+7)))</f>
        <v/>
      </c>
      <c r="F71" s="10">
        <f>IF(OR($A71="",F$58&gt;TODAY()),"",COUNTIFS('CCS追っかけ'!$B$5:$B$504,$A71,'CCS追っかけ'!$K$5:$K$504,"&gt;="&amp;F$58,'CCS追っかけ'!$K$5:$K$504,"&lt;"&amp;(F$58+7)))</f>
        <v/>
      </c>
      <c r="G71" s="10">
        <f>IF(OR($A71="",G$58&gt;TODAY()),"",COUNTIFS('CCS追っかけ'!$B$5:$B$504,$A71,'CCS追っかけ'!$K$5:$K$504,"&gt;="&amp;G$58,'CCS追っかけ'!$K$5:$K$504,"&lt;"&amp;(G$58+7)))</f>
        <v/>
      </c>
      <c r="H71" s="10">
        <f>IF(OR($A71="",H$58&gt;TODAY()),"",COUNTIFS('CCS追っかけ'!$B$5:$B$504,$A71,'CCS追っかけ'!$K$5:$K$504,"&gt;="&amp;H$58,'CCS追っかけ'!$K$5:$K$504,"&lt;"&amp;(H$58+7)))</f>
        <v/>
      </c>
      <c r="I71" s="10">
        <f>IF(OR($A71="",I$58&gt;TODAY()),"",COUNTIFS('CCS追っかけ'!$B$5:$B$504,$A71,'CCS追っかけ'!$K$5:$K$504,"&gt;="&amp;I$58,'CCS追っかけ'!$K$5:$K$504,"&lt;"&amp;(I$58+7)))</f>
        <v/>
      </c>
      <c r="J71" s="10">
        <f>IF(OR($A71="",J$58&gt;TODAY()),"",COUNTIFS('CCS追っかけ'!$B$5:$B$504,$A71,'CCS追っかけ'!$K$5:$K$504,"&gt;="&amp;J$58,'CCS追っかけ'!$K$5:$K$504,"&lt;"&amp;(J$58+7)))</f>
        <v/>
      </c>
      <c r="K71" s="10">
        <f>IF(OR($A71="",K$58&gt;TODAY()),"",COUNTIFS('CCS追っかけ'!$B$5:$B$504,$A71,'CCS追っかけ'!$K$5:$K$504,"&gt;="&amp;K$58,'CCS追っかけ'!$K$5:$K$504,"&lt;"&amp;(K$58+7)))</f>
        <v/>
      </c>
      <c r="L71" s="10">
        <f>IF(OR($A71="",L$58&gt;TODAY()),"",COUNTIFS('CCS追っかけ'!$B$5:$B$504,$A71,'CCS追っかけ'!$K$5:$K$504,"&gt;="&amp;L$58,'CCS追っかけ'!$K$5:$K$504,"&lt;"&amp;(L$58+7)))</f>
        <v/>
      </c>
      <c r="M71" s="10">
        <f>IF(OR($A71="",M$58&gt;TODAY()),"",COUNTIFS('CCS追っかけ'!$B$5:$B$504,$A71,'CCS追っかけ'!$K$5:$K$504,"&gt;="&amp;M$58,'CCS追っかけ'!$K$5:$K$504,"&lt;"&amp;(M$58+7)))</f>
        <v/>
      </c>
      <c r="N71" s="10">
        <f>IF(OR($A71="",N$58&gt;TODAY()),"",COUNTIFS('CCS追っかけ'!$B$5:$B$504,$A71,'CCS追っかけ'!$K$5:$K$504,"&gt;="&amp;N$58,'CCS追っかけ'!$K$5:$K$504,"&lt;"&amp;(N$58+7)))</f>
        <v/>
      </c>
      <c r="O71" s="19">
        <f>IF($A71="","",SUM(B71:N71))</f>
        <v/>
      </c>
    </row>
    <row r="72">
      <c r="A72" s="15">
        <f>'📊ダッシュボード'!A21&amp;""</f>
        <v/>
      </c>
      <c r="B72" s="10">
        <f>IF(OR($A72="",B$58&gt;TODAY()),"",COUNTIFS('CCS追っかけ'!$B$5:$B$504,$A72,'CCS追っかけ'!$K$5:$K$504,"&gt;="&amp;B$58,'CCS追っかけ'!$K$5:$K$504,"&lt;"&amp;(B$58+7)))</f>
        <v/>
      </c>
      <c r="C72" s="10">
        <f>IF(OR($A72="",C$58&gt;TODAY()),"",COUNTIFS('CCS追っかけ'!$B$5:$B$504,$A72,'CCS追っかけ'!$K$5:$K$504,"&gt;="&amp;C$58,'CCS追っかけ'!$K$5:$K$504,"&lt;"&amp;(C$58+7)))</f>
        <v/>
      </c>
      <c r="D72" s="10">
        <f>IF(OR($A72="",D$58&gt;TODAY()),"",COUNTIFS('CCS追っかけ'!$B$5:$B$504,$A72,'CCS追っかけ'!$K$5:$K$504,"&gt;="&amp;D$58,'CCS追っかけ'!$K$5:$K$504,"&lt;"&amp;(D$58+7)))</f>
        <v/>
      </c>
      <c r="E72" s="10">
        <f>IF(OR($A72="",E$58&gt;TODAY()),"",COUNTIFS('CCS追っかけ'!$B$5:$B$504,$A72,'CCS追っかけ'!$K$5:$K$504,"&gt;="&amp;E$58,'CCS追っかけ'!$K$5:$K$504,"&lt;"&amp;(E$58+7)))</f>
        <v/>
      </c>
      <c r="F72" s="10">
        <f>IF(OR($A72="",F$58&gt;TODAY()),"",COUNTIFS('CCS追っかけ'!$B$5:$B$504,$A72,'CCS追っかけ'!$K$5:$K$504,"&gt;="&amp;F$58,'CCS追っかけ'!$K$5:$K$504,"&lt;"&amp;(F$58+7)))</f>
        <v/>
      </c>
      <c r="G72" s="10">
        <f>IF(OR($A72="",G$58&gt;TODAY()),"",COUNTIFS('CCS追っかけ'!$B$5:$B$504,$A72,'CCS追っかけ'!$K$5:$K$504,"&gt;="&amp;G$58,'CCS追っかけ'!$K$5:$K$504,"&lt;"&amp;(G$58+7)))</f>
        <v/>
      </c>
      <c r="H72" s="10">
        <f>IF(OR($A72="",H$58&gt;TODAY()),"",COUNTIFS('CCS追っかけ'!$B$5:$B$504,$A72,'CCS追っかけ'!$K$5:$K$504,"&gt;="&amp;H$58,'CCS追っかけ'!$K$5:$K$504,"&lt;"&amp;(H$58+7)))</f>
        <v/>
      </c>
      <c r="I72" s="10">
        <f>IF(OR($A72="",I$58&gt;TODAY()),"",COUNTIFS('CCS追っかけ'!$B$5:$B$504,$A72,'CCS追っかけ'!$K$5:$K$504,"&gt;="&amp;I$58,'CCS追っかけ'!$K$5:$K$504,"&lt;"&amp;(I$58+7)))</f>
        <v/>
      </c>
      <c r="J72" s="10">
        <f>IF(OR($A72="",J$58&gt;TODAY()),"",COUNTIFS('CCS追っかけ'!$B$5:$B$504,$A72,'CCS追っかけ'!$K$5:$K$504,"&gt;="&amp;J$58,'CCS追っかけ'!$K$5:$K$504,"&lt;"&amp;(J$58+7)))</f>
        <v/>
      </c>
      <c r="K72" s="10">
        <f>IF(OR($A72="",K$58&gt;TODAY()),"",COUNTIFS('CCS追っかけ'!$B$5:$B$504,$A72,'CCS追っかけ'!$K$5:$K$504,"&gt;="&amp;K$58,'CCS追っかけ'!$K$5:$K$504,"&lt;"&amp;(K$58+7)))</f>
        <v/>
      </c>
      <c r="L72" s="10">
        <f>IF(OR($A72="",L$58&gt;TODAY()),"",COUNTIFS('CCS追っかけ'!$B$5:$B$504,$A72,'CCS追っかけ'!$K$5:$K$504,"&gt;="&amp;L$58,'CCS追っかけ'!$K$5:$K$504,"&lt;"&amp;(L$58+7)))</f>
        <v/>
      </c>
      <c r="M72" s="10">
        <f>IF(OR($A72="",M$58&gt;TODAY()),"",COUNTIFS('CCS追っかけ'!$B$5:$B$504,$A72,'CCS追っかけ'!$K$5:$K$504,"&gt;="&amp;M$58,'CCS追っかけ'!$K$5:$K$504,"&lt;"&amp;(M$58+7)))</f>
        <v/>
      </c>
      <c r="N72" s="10">
        <f>IF(OR($A72="",N$58&gt;TODAY()),"",COUNTIFS('CCS追っかけ'!$B$5:$B$504,$A72,'CCS追っかけ'!$K$5:$K$504,"&gt;="&amp;N$58,'CCS追っかけ'!$K$5:$K$504,"&lt;"&amp;(N$58+7)))</f>
        <v/>
      </c>
      <c r="O72" s="19">
        <f>IF($A72="","",SUM(B72:N72))</f>
        <v/>
      </c>
    </row>
    <row r="73">
      <c r="A73" s="15">
        <f>'📊ダッシュボード'!A22&amp;""</f>
        <v/>
      </c>
      <c r="B73" s="10">
        <f>IF(OR($A73="",B$58&gt;TODAY()),"",COUNTIFS('CCS追っかけ'!$B$5:$B$504,$A73,'CCS追っかけ'!$K$5:$K$504,"&gt;="&amp;B$58,'CCS追っかけ'!$K$5:$K$504,"&lt;"&amp;(B$58+7)))</f>
        <v/>
      </c>
      <c r="C73" s="10">
        <f>IF(OR($A73="",C$58&gt;TODAY()),"",COUNTIFS('CCS追っかけ'!$B$5:$B$504,$A73,'CCS追っかけ'!$K$5:$K$504,"&gt;="&amp;C$58,'CCS追っかけ'!$K$5:$K$504,"&lt;"&amp;(C$58+7)))</f>
        <v/>
      </c>
      <c r="D73" s="10">
        <f>IF(OR($A73="",D$58&gt;TODAY()),"",COUNTIFS('CCS追っかけ'!$B$5:$B$504,$A73,'CCS追っかけ'!$K$5:$K$504,"&gt;="&amp;D$58,'CCS追っかけ'!$K$5:$K$504,"&lt;"&amp;(D$58+7)))</f>
        <v/>
      </c>
      <c r="E73" s="10">
        <f>IF(OR($A73="",E$58&gt;TODAY()),"",COUNTIFS('CCS追っかけ'!$B$5:$B$504,$A73,'CCS追っかけ'!$K$5:$K$504,"&gt;="&amp;E$58,'CCS追っかけ'!$K$5:$K$504,"&lt;"&amp;(E$58+7)))</f>
        <v/>
      </c>
      <c r="F73" s="10">
        <f>IF(OR($A73="",F$58&gt;TODAY()),"",COUNTIFS('CCS追っかけ'!$B$5:$B$504,$A73,'CCS追っかけ'!$K$5:$K$504,"&gt;="&amp;F$58,'CCS追っかけ'!$K$5:$K$504,"&lt;"&amp;(F$58+7)))</f>
        <v/>
      </c>
      <c r="G73" s="10">
        <f>IF(OR($A73="",G$58&gt;TODAY()),"",COUNTIFS('CCS追っかけ'!$B$5:$B$504,$A73,'CCS追っかけ'!$K$5:$K$504,"&gt;="&amp;G$58,'CCS追っかけ'!$K$5:$K$504,"&lt;"&amp;(G$58+7)))</f>
        <v/>
      </c>
      <c r="H73" s="10">
        <f>IF(OR($A73="",H$58&gt;TODAY()),"",COUNTIFS('CCS追っかけ'!$B$5:$B$504,$A73,'CCS追っかけ'!$K$5:$K$504,"&gt;="&amp;H$58,'CCS追っかけ'!$K$5:$K$504,"&lt;"&amp;(H$58+7)))</f>
        <v/>
      </c>
      <c r="I73" s="10">
        <f>IF(OR($A73="",I$58&gt;TODAY()),"",COUNTIFS('CCS追っかけ'!$B$5:$B$504,$A73,'CCS追っかけ'!$K$5:$K$504,"&gt;="&amp;I$58,'CCS追っかけ'!$K$5:$K$504,"&lt;"&amp;(I$58+7)))</f>
        <v/>
      </c>
      <c r="J73" s="10">
        <f>IF(OR($A73="",J$58&gt;TODAY()),"",COUNTIFS('CCS追っかけ'!$B$5:$B$504,$A73,'CCS追っかけ'!$K$5:$K$504,"&gt;="&amp;J$58,'CCS追っかけ'!$K$5:$K$504,"&lt;"&amp;(J$58+7)))</f>
        <v/>
      </c>
      <c r="K73" s="10">
        <f>IF(OR($A73="",K$58&gt;TODAY()),"",COUNTIFS('CCS追っかけ'!$B$5:$B$504,$A73,'CCS追っかけ'!$K$5:$K$504,"&gt;="&amp;K$58,'CCS追っかけ'!$K$5:$K$504,"&lt;"&amp;(K$58+7)))</f>
        <v/>
      </c>
      <c r="L73" s="10">
        <f>IF(OR($A73="",L$58&gt;TODAY()),"",COUNTIFS('CCS追っかけ'!$B$5:$B$504,$A73,'CCS追っかけ'!$K$5:$K$504,"&gt;="&amp;L$58,'CCS追っかけ'!$K$5:$K$504,"&lt;"&amp;(L$58+7)))</f>
        <v/>
      </c>
      <c r="M73" s="10">
        <f>IF(OR($A73="",M$58&gt;TODAY()),"",COUNTIFS('CCS追っかけ'!$B$5:$B$504,$A73,'CCS追っかけ'!$K$5:$K$504,"&gt;="&amp;M$58,'CCS追っかけ'!$K$5:$K$504,"&lt;"&amp;(M$58+7)))</f>
        <v/>
      </c>
      <c r="N73" s="10">
        <f>IF(OR($A73="",N$58&gt;TODAY()),"",COUNTIFS('CCS追っかけ'!$B$5:$B$504,$A73,'CCS追っかけ'!$K$5:$K$504,"&gt;="&amp;N$58,'CCS追っかけ'!$K$5:$K$504,"&lt;"&amp;(N$58+7)))</f>
        <v/>
      </c>
      <c r="O73" s="19">
        <f>IF($A73="","",SUM(B73:N73))</f>
        <v/>
      </c>
    </row>
    <row r="74">
      <c r="A74" s="15">
        <f>'📊ダッシュボード'!A23&amp;""</f>
        <v/>
      </c>
      <c r="B74" s="10">
        <f>IF(OR($A74="",B$58&gt;TODAY()),"",COUNTIFS('CCS追っかけ'!$B$5:$B$504,$A74,'CCS追っかけ'!$K$5:$K$504,"&gt;="&amp;B$58,'CCS追っかけ'!$K$5:$K$504,"&lt;"&amp;(B$58+7)))</f>
        <v/>
      </c>
      <c r="C74" s="10">
        <f>IF(OR($A74="",C$58&gt;TODAY()),"",COUNTIFS('CCS追っかけ'!$B$5:$B$504,$A74,'CCS追っかけ'!$K$5:$K$504,"&gt;="&amp;C$58,'CCS追っかけ'!$K$5:$K$504,"&lt;"&amp;(C$58+7)))</f>
        <v/>
      </c>
      <c r="D74" s="10">
        <f>IF(OR($A74="",D$58&gt;TODAY()),"",COUNTIFS('CCS追っかけ'!$B$5:$B$504,$A74,'CCS追っかけ'!$K$5:$K$504,"&gt;="&amp;D$58,'CCS追っかけ'!$K$5:$K$504,"&lt;"&amp;(D$58+7)))</f>
        <v/>
      </c>
      <c r="E74" s="10">
        <f>IF(OR($A74="",E$58&gt;TODAY()),"",COUNTIFS('CCS追っかけ'!$B$5:$B$504,$A74,'CCS追っかけ'!$K$5:$K$504,"&gt;="&amp;E$58,'CCS追っかけ'!$K$5:$K$504,"&lt;"&amp;(E$58+7)))</f>
        <v/>
      </c>
      <c r="F74" s="10">
        <f>IF(OR($A74="",F$58&gt;TODAY()),"",COUNTIFS('CCS追っかけ'!$B$5:$B$504,$A74,'CCS追っかけ'!$K$5:$K$504,"&gt;="&amp;F$58,'CCS追っかけ'!$K$5:$K$504,"&lt;"&amp;(F$58+7)))</f>
        <v/>
      </c>
      <c r="G74" s="10">
        <f>IF(OR($A74="",G$58&gt;TODAY()),"",COUNTIFS('CCS追っかけ'!$B$5:$B$504,$A74,'CCS追っかけ'!$K$5:$K$504,"&gt;="&amp;G$58,'CCS追っかけ'!$K$5:$K$504,"&lt;"&amp;(G$58+7)))</f>
        <v/>
      </c>
      <c r="H74" s="10">
        <f>IF(OR($A74="",H$58&gt;TODAY()),"",COUNTIFS('CCS追っかけ'!$B$5:$B$504,$A74,'CCS追っかけ'!$K$5:$K$504,"&gt;="&amp;H$58,'CCS追っかけ'!$K$5:$K$504,"&lt;"&amp;(H$58+7)))</f>
        <v/>
      </c>
      <c r="I74" s="10">
        <f>IF(OR($A74="",I$58&gt;TODAY()),"",COUNTIFS('CCS追っかけ'!$B$5:$B$504,$A74,'CCS追っかけ'!$K$5:$K$504,"&gt;="&amp;I$58,'CCS追っかけ'!$K$5:$K$504,"&lt;"&amp;(I$58+7)))</f>
        <v/>
      </c>
      <c r="J74" s="10">
        <f>IF(OR($A74="",J$58&gt;TODAY()),"",COUNTIFS('CCS追っかけ'!$B$5:$B$504,$A74,'CCS追っかけ'!$K$5:$K$504,"&gt;="&amp;J$58,'CCS追っかけ'!$K$5:$K$504,"&lt;"&amp;(J$58+7)))</f>
        <v/>
      </c>
      <c r="K74" s="10">
        <f>IF(OR($A74="",K$58&gt;TODAY()),"",COUNTIFS('CCS追っかけ'!$B$5:$B$504,$A74,'CCS追っかけ'!$K$5:$K$504,"&gt;="&amp;K$58,'CCS追っかけ'!$K$5:$K$504,"&lt;"&amp;(K$58+7)))</f>
        <v/>
      </c>
      <c r="L74" s="10">
        <f>IF(OR($A74="",L$58&gt;TODAY()),"",COUNTIFS('CCS追っかけ'!$B$5:$B$504,$A74,'CCS追っかけ'!$K$5:$K$504,"&gt;="&amp;L$58,'CCS追っかけ'!$K$5:$K$504,"&lt;"&amp;(L$58+7)))</f>
        <v/>
      </c>
      <c r="M74" s="10">
        <f>IF(OR($A74="",M$58&gt;TODAY()),"",COUNTIFS('CCS追っかけ'!$B$5:$B$504,$A74,'CCS追っかけ'!$K$5:$K$504,"&gt;="&amp;M$58,'CCS追っかけ'!$K$5:$K$504,"&lt;"&amp;(M$58+7)))</f>
        <v/>
      </c>
      <c r="N74" s="10">
        <f>IF(OR($A74="",N$58&gt;TODAY()),"",COUNTIFS('CCS追っかけ'!$B$5:$B$504,$A74,'CCS追っかけ'!$K$5:$K$504,"&gt;="&amp;N$58,'CCS追っかけ'!$K$5:$K$504,"&lt;"&amp;(N$58+7)))</f>
        <v/>
      </c>
      <c r="O74" s="19">
        <f>IF($A74="","",SUM(B74:N74))</f>
        <v/>
      </c>
    </row>
    <row r="75">
      <c r="A75" s="15">
        <f>'📊ダッシュボード'!A24&amp;""</f>
        <v/>
      </c>
      <c r="B75" s="10">
        <f>IF(OR($A75="",B$58&gt;TODAY()),"",COUNTIFS('CCS追っかけ'!$B$5:$B$504,$A75,'CCS追っかけ'!$K$5:$K$504,"&gt;="&amp;B$58,'CCS追っかけ'!$K$5:$K$504,"&lt;"&amp;(B$58+7)))</f>
        <v/>
      </c>
      <c r="C75" s="10">
        <f>IF(OR($A75="",C$58&gt;TODAY()),"",COUNTIFS('CCS追っかけ'!$B$5:$B$504,$A75,'CCS追っかけ'!$K$5:$K$504,"&gt;="&amp;C$58,'CCS追っかけ'!$K$5:$K$504,"&lt;"&amp;(C$58+7)))</f>
        <v/>
      </c>
      <c r="D75" s="10">
        <f>IF(OR($A75="",D$58&gt;TODAY()),"",COUNTIFS('CCS追っかけ'!$B$5:$B$504,$A75,'CCS追っかけ'!$K$5:$K$504,"&gt;="&amp;D$58,'CCS追っかけ'!$K$5:$K$504,"&lt;"&amp;(D$58+7)))</f>
        <v/>
      </c>
      <c r="E75" s="10">
        <f>IF(OR($A75="",E$58&gt;TODAY()),"",COUNTIFS('CCS追っかけ'!$B$5:$B$504,$A75,'CCS追っかけ'!$K$5:$K$504,"&gt;="&amp;E$58,'CCS追っかけ'!$K$5:$K$504,"&lt;"&amp;(E$58+7)))</f>
        <v/>
      </c>
      <c r="F75" s="10">
        <f>IF(OR($A75="",F$58&gt;TODAY()),"",COUNTIFS('CCS追っかけ'!$B$5:$B$504,$A75,'CCS追っかけ'!$K$5:$K$504,"&gt;="&amp;F$58,'CCS追っかけ'!$K$5:$K$504,"&lt;"&amp;(F$58+7)))</f>
        <v/>
      </c>
      <c r="G75" s="10">
        <f>IF(OR($A75="",G$58&gt;TODAY()),"",COUNTIFS('CCS追っかけ'!$B$5:$B$504,$A75,'CCS追っかけ'!$K$5:$K$504,"&gt;="&amp;G$58,'CCS追っかけ'!$K$5:$K$504,"&lt;"&amp;(G$58+7)))</f>
        <v/>
      </c>
      <c r="H75" s="10">
        <f>IF(OR($A75="",H$58&gt;TODAY()),"",COUNTIFS('CCS追っかけ'!$B$5:$B$504,$A75,'CCS追っかけ'!$K$5:$K$504,"&gt;="&amp;H$58,'CCS追っかけ'!$K$5:$K$504,"&lt;"&amp;(H$58+7)))</f>
        <v/>
      </c>
      <c r="I75" s="10">
        <f>IF(OR($A75="",I$58&gt;TODAY()),"",COUNTIFS('CCS追っかけ'!$B$5:$B$504,$A75,'CCS追っかけ'!$K$5:$K$504,"&gt;="&amp;I$58,'CCS追っかけ'!$K$5:$K$504,"&lt;"&amp;(I$58+7)))</f>
        <v/>
      </c>
      <c r="J75" s="10">
        <f>IF(OR($A75="",J$58&gt;TODAY()),"",COUNTIFS('CCS追っかけ'!$B$5:$B$504,$A75,'CCS追っかけ'!$K$5:$K$504,"&gt;="&amp;J$58,'CCS追っかけ'!$K$5:$K$504,"&lt;"&amp;(J$58+7)))</f>
        <v/>
      </c>
      <c r="K75" s="10">
        <f>IF(OR($A75="",K$58&gt;TODAY()),"",COUNTIFS('CCS追っかけ'!$B$5:$B$504,$A75,'CCS追っかけ'!$K$5:$K$504,"&gt;="&amp;K$58,'CCS追っかけ'!$K$5:$K$504,"&lt;"&amp;(K$58+7)))</f>
        <v/>
      </c>
      <c r="L75" s="10">
        <f>IF(OR($A75="",L$58&gt;TODAY()),"",COUNTIFS('CCS追っかけ'!$B$5:$B$504,$A75,'CCS追っかけ'!$K$5:$K$504,"&gt;="&amp;L$58,'CCS追っかけ'!$K$5:$K$504,"&lt;"&amp;(L$58+7)))</f>
        <v/>
      </c>
      <c r="M75" s="10">
        <f>IF(OR($A75="",M$58&gt;TODAY()),"",COUNTIFS('CCS追っかけ'!$B$5:$B$504,$A75,'CCS追っかけ'!$K$5:$K$504,"&gt;="&amp;M$58,'CCS追っかけ'!$K$5:$K$504,"&lt;"&amp;(M$58+7)))</f>
        <v/>
      </c>
      <c r="N75" s="10">
        <f>IF(OR($A75="",N$58&gt;TODAY()),"",COUNTIFS('CCS追っかけ'!$B$5:$B$504,$A75,'CCS追っかけ'!$K$5:$K$504,"&gt;="&amp;N$58,'CCS追っかけ'!$K$5:$K$504,"&lt;"&amp;(N$58+7)))</f>
        <v/>
      </c>
      <c r="O75" s="19">
        <f>IF($A75="","",SUM(B75:N75))</f>
        <v/>
      </c>
    </row>
    <row r="76">
      <c r="A76" s="15">
        <f>'📊ダッシュボード'!A25&amp;""</f>
        <v/>
      </c>
      <c r="B76" s="10">
        <f>IF(OR($A76="",B$58&gt;TODAY()),"",COUNTIFS('CCS追っかけ'!$B$5:$B$504,$A76,'CCS追っかけ'!$K$5:$K$504,"&gt;="&amp;B$58,'CCS追っかけ'!$K$5:$K$504,"&lt;"&amp;(B$58+7)))</f>
        <v/>
      </c>
      <c r="C76" s="10">
        <f>IF(OR($A76="",C$58&gt;TODAY()),"",COUNTIFS('CCS追っかけ'!$B$5:$B$504,$A76,'CCS追っかけ'!$K$5:$K$504,"&gt;="&amp;C$58,'CCS追っかけ'!$K$5:$K$504,"&lt;"&amp;(C$58+7)))</f>
        <v/>
      </c>
      <c r="D76" s="10">
        <f>IF(OR($A76="",D$58&gt;TODAY()),"",COUNTIFS('CCS追っかけ'!$B$5:$B$504,$A76,'CCS追っかけ'!$K$5:$K$504,"&gt;="&amp;D$58,'CCS追っかけ'!$K$5:$K$504,"&lt;"&amp;(D$58+7)))</f>
        <v/>
      </c>
      <c r="E76" s="10">
        <f>IF(OR($A76="",E$58&gt;TODAY()),"",COUNTIFS('CCS追っかけ'!$B$5:$B$504,$A76,'CCS追っかけ'!$K$5:$K$504,"&gt;="&amp;E$58,'CCS追っかけ'!$K$5:$K$504,"&lt;"&amp;(E$58+7)))</f>
        <v/>
      </c>
      <c r="F76" s="10">
        <f>IF(OR($A76="",F$58&gt;TODAY()),"",COUNTIFS('CCS追っかけ'!$B$5:$B$504,$A76,'CCS追っかけ'!$K$5:$K$504,"&gt;="&amp;F$58,'CCS追っかけ'!$K$5:$K$504,"&lt;"&amp;(F$58+7)))</f>
        <v/>
      </c>
      <c r="G76" s="10">
        <f>IF(OR($A76="",G$58&gt;TODAY()),"",COUNTIFS('CCS追っかけ'!$B$5:$B$504,$A76,'CCS追っかけ'!$K$5:$K$504,"&gt;="&amp;G$58,'CCS追っかけ'!$K$5:$K$504,"&lt;"&amp;(G$58+7)))</f>
        <v/>
      </c>
      <c r="H76" s="10">
        <f>IF(OR($A76="",H$58&gt;TODAY()),"",COUNTIFS('CCS追っかけ'!$B$5:$B$504,$A76,'CCS追っかけ'!$K$5:$K$504,"&gt;="&amp;H$58,'CCS追っかけ'!$K$5:$K$504,"&lt;"&amp;(H$58+7)))</f>
        <v/>
      </c>
      <c r="I76" s="10">
        <f>IF(OR($A76="",I$58&gt;TODAY()),"",COUNTIFS('CCS追っかけ'!$B$5:$B$504,$A76,'CCS追っかけ'!$K$5:$K$504,"&gt;="&amp;I$58,'CCS追っかけ'!$K$5:$K$504,"&lt;"&amp;(I$58+7)))</f>
        <v/>
      </c>
      <c r="J76" s="10">
        <f>IF(OR($A76="",J$58&gt;TODAY()),"",COUNTIFS('CCS追っかけ'!$B$5:$B$504,$A76,'CCS追っかけ'!$K$5:$K$504,"&gt;="&amp;J$58,'CCS追っかけ'!$K$5:$K$504,"&lt;"&amp;(J$58+7)))</f>
        <v/>
      </c>
      <c r="K76" s="10">
        <f>IF(OR($A76="",K$58&gt;TODAY()),"",COUNTIFS('CCS追っかけ'!$B$5:$B$504,$A76,'CCS追っかけ'!$K$5:$K$504,"&gt;="&amp;K$58,'CCS追っかけ'!$K$5:$K$504,"&lt;"&amp;(K$58+7)))</f>
        <v/>
      </c>
      <c r="L76" s="10">
        <f>IF(OR($A76="",L$58&gt;TODAY()),"",COUNTIFS('CCS追っかけ'!$B$5:$B$504,$A76,'CCS追っかけ'!$K$5:$K$504,"&gt;="&amp;L$58,'CCS追っかけ'!$K$5:$K$504,"&lt;"&amp;(L$58+7)))</f>
        <v/>
      </c>
      <c r="M76" s="10">
        <f>IF(OR($A76="",M$58&gt;TODAY()),"",COUNTIFS('CCS追っかけ'!$B$5:$B$504,$A76,'CCS追っかけ'!$K$5:$K$504,"&gt;="&amp;M$58,'CCS追っかけ'!$K$5:$K$504,"&lt;"&amp;(M$58+7)))</f>
        <v/>
      </c>
      <c r="N76" s="10">
        <f>IF(OR($A76="",N$58&gt;TODAY()),"",COUNTIFS('CCS追っかけ'!$B$5:$B$504,$A76,'CCS追っかけ'!$K$5:$K$504,"&gt;="&amp;N$58,'CCS追っかけ'!$K$5:$K$504,"&lt;"&amp;(N$58+7)))</f>
        <v/>
      </c>
      <c r="O76" s="19">
        <f>IF($A76="","",SUM(B76:N76))</f>
        <v/>
      </c>
    </row>
    <row r="77">
      <c r="A77" s="15">
        <f>'📊ダッシュボード'!A26&amp;""</f>
        <v/>
      </c>
      <c r="B77" s="10">
        <f>IF(OR($A77="",B$58&gt;TODAY()),"",COUNTIFS('CCS追っかけ'!$B$5:$B$504,$A77,'CCS追っかけ'!$K$5:$K$504,"&gt;="&amp;B$58,'CCS追っかけ'!$K$5:$K$504,"&lt;"&amp;(B$58+7)))</f>
        <v/>
      </c>
      <c r="C77" s="10">
        <f>IF(OR($A77="",C$58&gt;TODAY()),"",COUNTIFS('CCS追っかけ'!$B$5:$B$504,$A77,'CCS追っかけ'!$K$5:$K$504,"&gt;="&amp;C$58,'CCS追っかけ'!$K$5:$K$504,"&lt;"&amp;(C$58+7)))</f>
        <v/>
      </c>
      <c r="D77" s="10">
        <f>IF(OR($A77="",D$58&gt;TODAY()),"",COUNTIFS('CCS追っかけ'!$B$5:$B$504,$A77,'CCS追っかけ'!$K$5:$K$504,"&gt;="&amp;D$58,'CCS追っかけ'!$K$5:$K$504,"&lt;"&amp;(D$58+7)))</f>
        <v/>
      </c>
      <c r="E77" s="10">
        <f>IF(OR($A77="",E$58&gt;TODAY()),"",COUNTIFS('CCS追っかけ'!$B$5:$B$504,$A77,'CCS追っかけ'!$K$5:$K$504,"&gt;="&amp;E$58,'CCS追っかけ'!$K$5:$K$504,"&lt;"&amp;(E$58+7)))</f>
        <v/>
      </c>
      <c r="F77" s="10">
        <f>IF(OR($A77="",F$58&gt;TODAY()),"",COUNTIFS('CCS追っかけ'!$B$5:$B$504,$A77,'CCS追っかけ'!$K$5:$K$504,"&gt;="&amp;F$58,'CCS追っかけ'!$K$5:$K$504,"&lt;"&amp;(F$58+7)))</f>
        <v/>
      </c>
      <c r="G77" s="10">
        <f>IF(OR($A77="",G$58&gt;TODAY()),"",COUNTIFS('CCS追っかけ'!$B$5:$B$504,$A77,'CCS追っかけ'!$K$5:$K$504,"&gt;="&amp;G$58,'CCS追っかけ'!$K$5:$K$504,"&lt;"&amp;(G$58+7)))</f>
        <v/>
      </c>
      <c r="H77" s="10">
        <f>IF(OR($A77="",H$58&gt;TODAY()),"",COUNTIFS('CCS追っかけ'!$B$5:$B$504,$A77,'CCS追っかけ'!$K$5:$K$504,"&gt;="&amp;H$58,'CCS追っかけ'!$K$5:$K$504,"&lt;"&amp;(H$58+7)))</f>
        <v/>
      </c>
      <c r="I77" s="10">
        <f>IF(OR($A77="",I$58&gt;TODAY()),"",COUNTIFS('CCS追っかけ'!$B$5:$B$504,$A77,'CCS追っかけ'!$K$5:$K$504,"&gt;="&amp;I$58,'CCS追っかけ'!$K$5:$K$504,"&lt;"&amp;(I$58+7)))</f>
        <v/>
      </c>
      <c r="J77" s="10">
        <f>IF(OR($A77="",J$58&gt;TODAY()),"",COUNTIFS('CCS追っかけ'!$B$5:$B$504,$A77,'CCS追っかけ'!$K$5:$K$504,"&gt;="&amp;J$58,'CCS追っかけ'!$K$5:$K$504,"&lt;"&amp;(J$58+7)))</f>
        <v/>
      </c>
      <c r="K77" s="10">
        <f>IF(OR($A77="",K$58&gt;TODAY()),"",COUNTIFS('CCS追っかけ'!$B$5:$B$504,$A77,'CCS追っかけ'!$K$5:$K$504,"&gt;="&amp;K$58,'CCS追っかけ'!$K$5:$K$504,"&lt;"&amp;(K$58+7)))</f>
        <v/>
      </c>
      <c r="L77" s="10">
        <f>IF(OR($A77="",L$58&gt;TODAY()),"",COUNTIFS('CCS追っかけ'!$B$5:$B$504,$A77,'CCS追っかけ'!$K$5:$K$504,"&gt;="&amp;L$58,'CCS追っかけ'!$K$5:$K$504,"&lt;"&amp;(L$58+7)))</f>
        <v/>
      </c>
      <c r="M77" s="10">
        <f>IF(OR($A77="",M$58&gt;TODAY()),"",COUNTIFS('CCS追っかけ'!$B$5:$B$504,$A77,'CCS追っかけ'!$K$5:$K$504,"&gt;="&amp;M$58,'CCS追っかけ'!$K$5:$K$504,"&lt;"&amp;(M$58+7)))</f>
        <v/>
      </c>
      <c r="N77" s="10">
        <f>IF(OR($A77="",N$58&gt;TODAY()),"",COUNTIFS('CCS追っかけ'!$B$5:$B$504,$A77,'CCS追っかけ'!$K$5:$K$504,"&gt;="&amp;N$58,'CCS追っかけ'!$K$5:$K$504,"&lt;"&amp;(N$58+7)))</f>
        <v/>
      </c>
      <c r="O77" s="19">
        <f>IF($A77="","",SUM(B77:N77))</f>
        <v/>
      </c>
    </row>
    <row r="78">
      <c r="A78" s="15">
        <f>'📊ダッシュボード'!A27&amp;""</f>
        <v/>
      </c>
      <c r="B78" s="10">
        <f>IF(OR($A78="",B$58&gt;TODAY()),"",COUNTIFS('CCS追っかけ'!$B$5:$B$504,$A78,'CCS追っかけ'!$K$5:$K$504,"&gt;="&amp;B$58,'CCS追っかけ'!$K$5:$K$504,"&lt;"&amp;(B$58+7)))</f>
        <v/>
      </c>
      <c r="C78" s="10">
        <f>IF(OR($A78="",C$58&gt;TODAY()),"",COUNTIFS('CCS追っかけ'!$B$5:$B$504,$A78,'CCS追っかけ'!$K$5:$K$504,"&gt;="&amp;C$58,'CCS追っかけ'!$K$5:$K$504,"&lt;"&amp;(C$58+7)))</f>
        <v/>
      </c>
      <c r="D78" s="10">
        <f>IF(OR($A78="",D$58&gt;TODAY()),"",COUNTIFS('CCS追っかけ'!$B$5:$B$504,$A78,'CCS追っかけ'!$K$5:$K$504,"&gt;="&amp;D$58,'CCS追っかけ'!$K$5:$K$504,"&lt;"&amp;(D$58+7)))</f>
        <v/>
      </c>
      <c r="E78" s="10">
        <f>IF(OR($A78="",E$58&gt;TODAY()),"",COUNTIFS('CCS追っかけ'!$B$5:$B$504,$A78,'CCS追っかけ'!$K$5:$K$504,"&gt;="&amp;E$58,'CCS追っかけ'!$K$5:$K$504,"&lt;"&amp;(E$58+7)))</f>
        <v/>
      </c>
      <c r="F78" s="10">
        <f>IF(OR($A78="",F$58&gt;TODAY()),"",COUNTIFS('CCS追っかけ'!$B$5:$B$504,$A78,'CCS追っかけ'!$K$5:$K$504,"&gt;="&amp;F$58,'CCS追っかけ'!$K$5:$K$504,"&lt;"&amp;(F$58+7)))</f>
        <v/>
      </c>
      <c r="G78" s="10">
        <f>IF(OR($A78="",G$58&gt;TODAY()),"",COUNTIFS('CCS追っかけ'!$B$5:$B$504,$A78,'CCS追っかけ'!$K$5:$K$504,"&gt;="&amp;G$58,'CCS追っかけ'!$K$5:$K$504,"&lt;"&amp;(G$58+7)))</f>
        <v/>
      </c>
      <c r="H78" s="10">
        <f>IF(OR($A78="",H$58&gt;TODAY()),"",COUNTIFS('CCS追っかけ'!$B$5:$B$504,$A78,'CCS追っかけ'!$K$5:$K$504,"&gt;="&amp;H$58,'CCS追っかけ'!$K$5:$K$504,"&lt;"&amp;(H$58+7)))</f>
        <v/>
      </c>
      <c r="I78" s="10">
        <f>IF(OR($A78="",I$58&gt;TODAY()),"",COUNTIFS('CCS追っかけ'!$B$5:$B$504,$A78,'CCS追っかけ'!$K$5:$K$504,"&gt;="&amp;I$58,'CCS追っかけ'!$K$5:$K$504,"&lt;"&amp;(I$58+7)))</f>
        <v/>
      </c>
      <c r="J78" s="10">
        <f>IF(OR($A78="",J$58&gt;TODAY()),"",COUNTIFS('CCS追っかけ'!$B$5:$B$504,$A78,'CCS追っかけ'!$K$5:$K$504,"&gt;="&amp;J$58,'CCS追っかけ'!$K$5:$K$504,"&lt;"&amp;(J$58+7)))</f>
        <v/>
      </c>
      <c r="K78" s="10">
        <f>IF(OR($A78="",K$58&gt;TODAY()),"",COUNTIFS('CCS追っかけ'!$B$5:$B$504,$A78,'CCS追っかけ'!$K$5:$K$504,"&gt;="&amp;K$58,'CCS追っかけ'!$K$5:$K$504,"&lt;"&amp;(K$58+7)))</f>
        <v/>
      </c>
      <c r="L78" s="10">
        <f>IF(OR($A78="",L$58&gt;TODAY()),"",COUNTIFS('CCS追っかけ'!$B$5:$B$504,$A78,'CCS追っかけ'!$K$5:$K$504,"&gt;="&amp;L$58,'CCS追っかけ'!$K$5:$K$504,"&lt;"&amp;(L$58+7)))</f>
        <v/>
      </c>
      <c r="M78" s="10">
        <f>IF(OR($A78="",M$58&gt;TODAY()),"",COUNTIFS('CCS追っかけ'!$B$5:$B$504,$A78,'CCS追っかけ'!$K$5:$K$504,"&gt;="&amp;M$58,'CCS追っかけ'!$K$5:$K$504,"&lt;"&amp;(M$58+7)))</f>
        <v/>
      </c>
      <c r="N78" s="10">
        <f>IF(OR($A78="",N$58&gt;TODAY()),"",COUNTIFS('CCS追っかけ'!$B$5:$B$504,$A78,'CCS追っかけ'!$K$5:$K$504,"&gt;="&amp;N$58,'CCS追っかけ'!$K$5:$K$504,"&lt;"&amp;(N$58+7)))</f>
        <v/>
      </c>
      <c r="O78" s="19">
        <f>IF($A78="","",SUM(B78:N78))</f>
        <v/>
      </c>
    </row>
    <row r="79">
      <c r="A79" s="20" t="inlineStr">
        <is>
          <t>リージョン合計</t>
        </is>
      </c>
      <c r="B79" s="21">
        <f>IF(B$58&gt;TODAY(),"",SUM(B59:B78))</f>
        <v/>
      </c>
      <c r="C79" s="21">
        <f>IF(C$58&gt;TODAY(),"",SUM(C59:C78))</f>
        <v/>
      </c>
      <c r="D79" s="21">
        <f>IF(D$58&gt;TODAY(),"",SUM(D59:D78))</f>
        <v/>
      </c>
      <c r="E79" s="21">
        <f>IF(E$58&gt;TODAY(),"",SUM(E59:E78))</f>
        <v/>
      </c>
      <c r="F79" s="21">
        <f>IF(F$58&gt;TODAY(),"",SUM(F59:F78))</f>
        <v/>
      </c>
      <c r="G79" s="21">
        <f>IF(G$58&gt;TODAY(),"",SUM(G59:G78))</f>
        <v/>
      </c>
      <c r="H79" s="21">
        <f>IF(H$58&gt;TODAY(),"",SUM(H59:H78))</f>
        <v/>
      </c>
      <c r="I79" s="21">
        <f>IF(I$58&gt;TODAY(),"",SUM(I59:I78))</f>
        <v/>
      </c>
      <c r="J79" s="21">
        <f>IF(J$58&gt;TODAY(),"",SUM(J59:J78))</f>
        <v/>
      </c>
      <c r="K79" s="21">
        <f>IF(K$58&gt;TODAY(),"",SUM(K59:K78))</f>
        <v/>
      </c>
      <c r="L79" s="21">
        <f>IF(L$58&gt;TODAY(),"",SUM(L59:L78))</f>
        <v/>
      </c>
      <c r="M79" s="21">
        <f>IF(M$58&gt;TODAY(),"",SUM(M59:M78))</f>
        <v/>
      </c>
      <c r="N79" s="21">
        <f>IF(N$58&gt;TODAY(),"",SUM(N59:N78))</f>
        <v/>
      </c>
      <c r="O79" s="21">
        <f>SUM(O59:O78)</f>
        <v/>
      </c>
    </row>
    <row r="82">
      <c r="A82" s="17" t="inlineStr">
        <is>
          <t>■ 正式化人数（CCS追っかけの正式化日）</t>
        </is>
      </c>
    </row>
    <row r="83">
      <c r="A83" s="8" t="inlineStr">
        <is>
          <t>週</t>
        </is>
      </c>
      <c r="B83" s="8" t="inlineStr">
        <is>
          <t>第1週</t>
        </is>
      </c>
      <c r="C83" s="8" t="inlineStr">
        <is>
          <t>第2週</t>
        </is>
      </c>
      <c r="D83" s="8" t="inlineStr">
        <is>
          <t>第3週</t>
        </is>
      </c>
      <c r="E83" s="8" t="inlineStr">
        <is>
          <t>第4週</t>
        </is>
      </c>
      <c r="F83" s="8" t="inlineStr">
        <is>
          <t>第5週</t>
        </is>
      </c>
      <c r="G83" s="8" t="inlineStr">
        <is>
          <t>第6週</t>
        </is>
      </c>
      <c r="H83" s="8" t="inlineStr">
        <is>
          <t>第7週</t>
        </is>
      </c>
      <c r="I83" s="8" t="inlineStr">
        <is>
          <t>第8週</t>
        </is>
      </c>
      <c r="J83" s="8" t="inlineStr">
        <is>
          <t>第9週</t>
        </is>
      </c>
      <c r="K83" s="8" t="inlineStr">
        <is>
          <t>第10週</t>
        </is>
      </c>
      <c r="L83" s="8" t="inlineStr">
        <is>
          <t>第11週</t>
        </is>
      </c>
      <c r="M83" s="8" t="inlineStr">
        <is>
          <t>第12週</t>
        </is>
      </c>
      <c r="N83" s="8" t="inlineStr">
        <is>
          <t>第13週</t>
        </is>
      </c>
      <c r="O83" s="8" t="inlineStr"/>
    </row>
    <row r="84">
      <c r="A84" s="8" t="inlineStr">
        <is>
          <t>ローンチ（LD名）</t>
        </is>
      </c>
      <c r="B84" s="18">
        <f>'設定'!$B$12+7*0</f>
        <v/>
      </c>
      <c r="C84" s="18">
        <f>'設定'!$B$12+7*1</f>
        <v/>
      </c>
      <c r="D84" s="18">
        <f>'設定'!$B$12+7*2</f>
        <v/>
      </c>
      <c r="E84" s="18">
        <f>'設定'!$B$12+7*3</f>
        <v/>
      </c>
      <c r="F84" s="18">
        <f>'設定'!$B$12+7*4</f>
        <v/>
      </c>
      <c r="G84" s="18">
        <f>'設定'!$B$12+7*5</f>
        <v/>
      </c>
      <c r="H84" s="18">
        <f>'設定'!$B$12+7*6</f>
        <v/>
      </c>
      <c r="I84" s="18">
        <f>'設定'!$B$12+7*7</f>
        <v/>
      </c>
      <c r="J84" s="18">
        <f>'設定'!$B$12+7*8</f>
        <v/>
      </c>
      <c r="K84" s="18">
        <f>'設定'!$B$12+7*9</f>
        <v/>
      </c>
      <c r="L84" s="18">
        <f>'設定'!$B$12+7*10</f>
        <v/>
      </c>
      <c r="M84" s="18">
        <f>'設定'!$B$12+7*11</f>
        <v/>
      </c>
      <c r="N84" s="18">
        <f>'設定'!$B$12+7*12</f>
        <v/>
      </c>
      <c r="O84" s="8" t="inlineStr">
        <is>
          <t>累計</t>
        </is>
      </c>
    </row>
    <row r="85">
      <c r="A85" s="15">
        <f>'📊ダッシュボード'!A8&amp;""</f>
        <v/>
      </c>
      <c r="B85" s="10">
        <f>IF(OR($A85="",B$84&gt;TODAY()),"",COUNTIFS('CCS追っかけ'!$B$5:$B$504,$A85,'CCS追っかけ'!$P$5:$P$504,"✅正式",'CCS追っかけ'!$Q$5:$Q$504,"&gt;="&amp;B$84,'CCS追っかけ'!$Q$5:$Q$504,"&lt;"&amp;(B$84+7)))</f>
        <v/>
      </c>
      <c r="C85" s="10">
        <f>IF(OR($A85="",C$84&gt;TODAY()),"",COUNTIFS('CCS追っかけ'!$B$5:$B$504,$A85,'CCS追っかけ'!$P$5:$P$504,"✅正式",'CCS追っかけ'!$Q$5:$Q$504,"&gt;="&amp;C$84,'CCS追っかけ'!$Q$5:$Q$504,"&lt;"&amp;(C$84+7)))</f>
        <v/>
      </c>
      <c r="D85" s="10">
        <f>IF(OR($A85="",D$84&gt;TODAY()),"",COUNTIFS('CCS追っかけ'!$B$5:$B$504,$A85,'CCS追っかけ'!$P$5:$P$504,"✅正式",'CCS追っかけ'!$Q$5:$Q$504,"&gt;="&amp;D$84,'CCS追っかけ'!$Q$5:$Q$504,"&lt;"&amp;(D$84+7)))</f>
        <v/>
      </c>
      <c r="E85" s="10">
        <f>IF(OR($A85="",E$84&gt;TODAY()),"",COUNTIFS('CCS追っかけ'!$B$5:$B$504,$A85,'CCS追っかけ'!$P$5:$P$504,"✅正式",'CCS追っかけ'!$Q$5:$Q$504,"&gt;="&amp;E$84,'CCS追っかけ'!$Q$5:$Q$504,"&lt;"&amp;(E$84+7)))</f>
        <v/>
      </c>
      <c r="F85" s="10">
        <f>IF(OR($A85="",F$84&gt;TODAY()),"",COUNTIFS('CCS追っかけ'!$B$5:$B$504,$A85,'CCS追っかけ'!$P$5:$P$504,"✅正式",'CCS追っかけ'!$Q$5:$Q$504,"&gt;="&amp;F$84,'CCS追っかけ'!$Q$5:$Q$504,"&lt;"&amp;(F$84+7)))</f>
        <v/>
      </c>
      <c r="G85" s="10">
        <f>IF(OR($A85="",G$84&gt;TODAY()),"",COUNTIFS('CCS追っかけ'!$B$5:$B$504,$A85,'CCS追っかけ'!$P$5:$P$504,"✅正式",'CCS追っかけ'!$Q$5:$Q$504,"&gt;="&amp;G$84,'CCS追っかけ'!$Q$5:$Q$504,"&lt;"&amp;(G$84+7)))</f>
        <v/>
      </c>
      <c r="H85" s="10">
        <f>IF(OR($A85="",H$84&gt;TODAY()),"",COUNTIFS('CCS追っかけ'!$B$5:$B$504,$A85,'CCS追っかけ'!$P$5:$P$504,"✅正式",'CCS追っかけ'!$Q$5:$Q$504,"&gt;="&amp;H$84,'CCS追っかけ'!$Q$5:$Q$504,"&lt;"&amp;(H$84+7)))</f>
        <v/>
      </c>
      <c r="I85" s="10">
        <f>IF(OR($A85="",I$84&gt;TODAY()),"",COUNTIFS('CCS追っかけ'!$B$5:$B$504,$A85,'CCS追っかけ'!$P$5:$P$504,"✅正式",'CCS追っかけ'!$Q$5:$Q$504,"&gt;="&amp;I$84,'CCS追っかけ'!$Q$5:$Q$504,"&lt;"&amp;(I$84+7)))</f>
        <v/>
      </c>
      <c r="J85" s="10">
        <f>IF(OR($A85="",J$84&gt;TODAY()),"",COUNTIFS('CCS追っかけ'!$B$5:$B$504,$A85,'CCS追っかけ'!$P$5:$P$504,"✅正式",'CCS追っかけ'!$Q$5:$Q$504,"&gt;="&amp;J$84,'CCS追っかけ'!$Q$5:$Q$504,"&lt;"&amp;(J$84+7)))</f>
        <v/>
      </c>
      <c r="K85" s="10">
        <f>IF(OR($A85="",K$84&gt;TODAY()),"",COUNTIFS('CCS追っかけ'!$B$5:$B$504,$A85,'CCS追っかけ'!$P$5:$P$504,"✅正式",'CCS追っかけ'!$Q$5:$Q$504,"&gt;="&amp;K$84,'CCS追っかけ'!$Q$5:$Q$504,"&lt;"&amp;(K$84+7)))</f>
        <v/>
      </c>
      <c r="L85" s="10">
        <f>IF(OR($A85="",L$84&gt;TODAY()),"",COUNTIFS('CCS追っかけ'!$B$5:$B$504,$A85,'CCS追っかけ'!$P$5:$P$504,"✅正式",'CCS追っかけ'!$Q$5:$Q$504,"&gt;="&amp;L$84,'CCS追っかけ'!$Q$5:$Q$504,"&lt;"&amp;(L$84+7)))</f>
        <v/>
      </c>
      <c r="M85" s="10">
        <f>IF(OR($A85="",M$84&gt;TODAY()),"",COUNTIFS('CCS追っかけ'!$B$5:$B$504,$A85,'CCS追っかけ'!$P$5:$P$504,"✅正式",'CCS追っかけ'!$Q$5:$Q$504,"&gt;="&amp;M$84,'CCS追っかけ'!$Q$5:$Q$504,"&lt;"&amp;(M$84+7)))</f>
        <v/>
      </c>
      <c r="N85" s="10">
        <f>IF(OR($A85="",N$84&gt;TODAY()),"",COUNTIFS('CCS追っかけ'!$B$5:$B$504,$A85,'CCS追っかけ'!$P$5:$P$504,"✅正式",'CCS追っかけ'!$Q$5:$Q$504,"&gt;="&amp;N$84,'CCS追っかけ'!$Q$5:$Q$504,"&lt;"&amp;(N$84+7)))</f>
        <v/>
      </c>
      <c r="O85" s="19">
        <f>IF($A85="","",SUM(B85:N85))</f>
        <v/>
      </c>
    </row>
    <row r="86">
      <c r="A86" s="15">
        <f>'📊ダッシュボード'!A9&amp;""</f>
        <v/>
      </c>
      <c r="B86" s="10">
        <f>IF(OR($A86="",B$84&gt;TODAY()),"",COUNTIFS('CCS追っかけ'!$B$5:$B$504,$A86,'CCS追っかけ'!$P$5:$P$504,"✅正式",'CCS追っかけ'!$Q$5:$Q$504,"&gt;="&amp;B$84,'CCS追っかけ'!$Q$5:$Q$504,"&lt;"&amp;(B$84+7)))</f>
        <v/>
      </c>
      <c r="C86" s="10">
        <f>IF(OR($A86="",C$84&gt;TODAY()),"",COUNTIFS('CCS追っかけ'!$B$5:$B$504,$A86,'CCS追っかけ'!$P$5:$P$504,"✅正式",'CCS追っかけ'!$Q$5:$Q$504,"&gt;="&amp;C$84,'CCS追っかけ'!$Q$5:$Q$504,"&lt;"&amp;(C$84+7)))</f>
        <v/>
      </c>
      <c r="D86" s="10">
        <f>IF(OR($A86="",D$84&gt;TODAY()),"",COUNTIFS('CCS追っかけ'!$B$5:$B$504,$A86,'CCS追っかけ'!$P$5:$P$504,"✅正式",'CCS追っかけ'!$Q$5:$Q$504,"&gt;="&amp;D$84,'CCS追っかけ'!$Q$5:$Q$504,"&lt;"&amp;(D$84+7)))</f>
        <v/>
      </c>
      <c r="E86" s="10">
        <f>IF(OR($A86="",E$84&gt;TODAY()),"",COUNTIFS('CCS追っかけ'!$B$5:$B$504,$A86,'CCS追っかけ'!$P$5:$P$504,"✅正式",'CCS追っかけ'!$Q$5:$Q$504,"&gt;="&amp;E$84,'CCS追っかけ'!$Q$5:$Q$504,"&lt;"&amp;(E$84+7)))</f>
        <v/>
      </c>
      <c r="F86" s="10">
        <f>IF(OR($A86="",F$84&gt;TODAY()),"",COUNTIFS('CCS追っかけ'!$B$5:$B$504,$A86,'CCS追っかけ'!$P$5:$P$504,"✅正式",'CCS追っかけ'!$Q$5:$Q$504,"&gt;="&amp;F$84,'CCS追っかけ'!$Q$5:$Q$504,"&lt;"&amp;(F$84+7)))</f>
        <v/>
      </c>
      <c r="G86" s="10">
        <f>IF(OR($A86="",G$84&gt;TODAY()),"",COUNTIFS('CCS追っかけ'!$B$5:$B$504,$A86,'CCS追っかけ'!$P$5:$P$504,"✅正式",'CCS追っかけ'!$Q$5:$Q$504,"&gt;="&amp;G$84,'CCS追っかけ'!$Q$5:$Q$504,"&lt;"&amp;(G$84+7)))</f>
        <v/>
      </c>
      <c r="H86" s="10">
        <f>IF(OR($A86="",H$84&gt;TODAY()),"",COUNTIFS('CCS追っかけ'!$B$5:$B$504,$A86,'CCS追っかけ'!$P$5:$P$504,"✅正式",'CCS追っかけ'!$Q$5:$Q$504,"&gt;="&amp;H$84,'CCS追っかけ'!$Q$5:$Q$504,"&lt;"&amp;(H$84+7)))</f>
        <v/>
      </c>
      <c r="I86" s="10">
        <f>IF(OR($A86="",I$84&gt;TODAY()),"",COUNTIFS('CCS追っかけ'!$B$5:$B$504,$A86,'CCS追っかけ'!$P$5:$P$504,"✅正式",'CCS追っかけ'!$Q$5:$Q$504,"&gt;="&amp;I$84,'CCS追っかけ'!$Q$5:$Q$504,"&lt;"&amp;(I$84+7)))</f>
        <v/>
      </c>
      <c r="J86" s="10">
        <f>IF(OR($A86="",J$84&gt;TODAY()),"",COUNTIFS('CCS追っかけ'!$B$5:$B$504,$A86,'CCS追っかけ'!$P$5:$P$504,"✅正式",'CCS追っかけ'!$Q$5:$Q$504,"&gt;="&amp;J$84,'CCS追っかけ'!$Q$5:$Q$504,"&lt;"&amp;(J$84+7)))</f>
        <v/>
      </c>
      <c r="K86" s="10">
        <f>IF(OR($A86="",K$84&gt;TODAY()),"",COUNTIFS('CCS追っかけ'!$B$5:$B$504,$A86,'CCS追っかけ'!$P$5:$P$504,"✅正式",'CCS追っかけ'!$Q$5:$Q$504,"&gt;="&amp;K$84,'CCS追っかけ'!$Q$5:$Q$504,"&lt;"&amp;(K$84+7)))</f>
        <v/>
      </c>
      <c r="L86" s="10">
        <f>IF(OR($A86="",L$84&gt;TODAY()),"",COUNTIFS('CCS追っかけ'!$B$5:$B$504,$A86,'CCS追っかけ'!$P$5:$P$504,"✅正式",'CCS追っかけ'!$Q$5:$Q$504,"&gt;="&amp;L$84,'CCS追っかけ'!$Q$5:$Q$504,"&lt;"&amp;(L$84+7)))</f>
        <v/>
      </c>
      <c r="M86" s="10">
        <f>IF(OR($A86="",M$84&gt;TODAY()),"",COUNTIFS('CCS追っかけ'!$B$5:$B$504,$A86,'CCS追っかけ'!$P$5:$P$504,"✅正式",'CCS追っかけ'!$Q$5:$Q$504,"&gt;="&amp;M$84,'CCS追っかけ'!$Q$5:$Q$504,"&lt;"&amp;(M$84+7)))</f>
        <v/>
      </c>
      <c r="N86" s="10">
        <f>IF(OR($A86="",N$84&gt;TODAY()),"",COUNTIFS('CCS追っかけ'!$B$5:$B$504,$A86,'CCS追っかけ'!$P$5:$P$504,"✅正式",'CCS追っかけ'!$Q$5:$Q$504,"&gt;="&amp;N$84,'CCS追っかけ'!$Q$5:$Q$504,"&lt;"&amp;(N$84+7)))</f>
        <v/>
      </c>
      <c r="O86" s="19">
        <f>IF($A86="","",SUM(B86:N86))</f>
        <v/>
      </c>
    </row>
    <row r="87">
      <c r="A87" s="15">
        <f>'📊ダッシュボード'!A10&amp;""</f>
        <v/>
      </c>
      <c r="B87" s="10">
        <f>IF(OR($A87="",B$84&gt;TODAY()),"",COUNTIFS('CCS追っかけ'!$B$5:$B$504,$A87,'CCS追っかけ'!$P$5:$P$504,"✅正式",'CCS追っかけ'!$Q$5:$Q$504,"&gt;="&amp;B$84,'CCS追っかけ'!$Q$5:$Q$504,"&lt;"&amp;(B$84+7)))</f>
        <v/>
      </c>
      <c r="C87" s="10">
        <f>IF(OR($A87="",C$84&gt;TODAY()),"",COUNTIFS('CCS追っかけ'!$B$5:$B$504,$A87,'CCS追っかけ'!$P$5:$P$504,"✅正式",'CCS追っかけ'!$Q$5:$Q$504,"&gt;="&amp;C$84,'CCS追っかけ'!$Q$5:$Q$504,"&lt;"&amp;(C$84+7)))</f>
        <v/>
      </c>
      <c r="D87" s="10">
        <f>IF(OR($A87="",D$84&gt;TODAY()),"",COUNTIFS('CCS追っかけ'!$B$5:$B$504,$A87,'CCS追っかけ'!$P$5:$P$504,"✅正式",'CCS追っかけ'!$Q$5:$Q$504,"&gt;="&amp;D$84,'CCS追っかけ'!$Q$5:$Q$504,"&lt;"&amp;(D$84+7)))</f>
        <v/>
      </c>
      <c r="E87" s="10">
        <f>IF(OR($A87="",E$84&gt;TODAY()),"",COUNTIFS('CCS追っかけ'!$B$5:$B$504,$A87,'CCS追っかけ'!$P$5:$P$504,"✅正式",'CCS追っかけ'!$Q$5:$Q$504,"&gt;="&amp;E$84,'CCS追っかけ'!$Q$5:$Q$504,"&lt;"&amp;(E$84+7)))</f>
        <v/>
      </c>
      <c r="F87" s="10">
        <f>IF(OR($A87="",F$84&gt;TODAY()),"",COUNTIFS('CCS追っかけ'!$B$5:$B$504,$A87,'CCS追っかけ'!$P$5:$P$504,"✅正式",'CCS追っかけ'!$Q$5:$Q$504,"&gt;="&amp;F$84,'CCS追っかけ'!$Q$5:$Q$504,"&lt;"&amp;(F$84+7)))</f>
        <v/>
      </c>
      <c r="G87" s="10">
        <f>IF(OR($A87="",G$84&gt;TODAY()),"",COUNTIFS('CCS追っかけ'!$B$5:$B$504,$A87,'CCS追っかけ'!$P$5:$P$504,"✅正式",'CCS追っかけ'!$Q$5:$Q$504,"&gt;="&amp;G$84,'CCS追っかけ'!$Q$5:$Q$504,"&lt;"&amp;(G$84+7)))</f>
        <v/>
      </c>
      <c r="H87" s="10">
        <f>IF(OR($A87="",H$84&gt;TODAY()),"",COUNTIFS('CCS追っかけ'!$B$5:$B$504,$A87,'CCS追っかけ'!$P$5:$P$504,"✅正式",'CCS追っかけ'!$Q$5:$Q$504,"&gt;="&amp;H$84,'CCS追っかけ'!$Q$5:$Q$504,"&lt;"&amp;(H$84+7)))</f>
        <v/>
      </c>
      <c r="I87" s="10">
        <f>IF(OR($A87="",I$84&gt;TODAY()),"",COUNTIFS('CCS追っかけ'!$B$5:$B$504,$A87,'CCS追っかけ'!$P$5:$P$504,"✅正式",'CCS追っかけ'!$Q$5:$Q$504,"&gt;="&amp;I$84,'CCS追っかけ'!$Q$5:$Q$504,"&lt;"&amp;(I$84+7)))</f>
        <v/>
      </c>
      <c r="J87" s="10">
        <f>IF(OR($A87="",J$84&gt;TODAY()),"",COUNTIFS('CCS追っかけ'!$B$5:$B$504,$A87,'CCS追っかけ'!$P$5:$P$504,"✅正式",'CCS追っかけ'!$Q$5:$Q$504,"&gt;="&amp;J$84,'CCS追っかけ'!$Q$5:$Q$504,"&lt;"&amp;(J$84+7)))</f>
        <v/>
      </c>
      <c r="K87" s="10">
        <f>IF(OR($A87="",K$84&gt;TODAY()),"",COUNTIFS('CCS追っかけ'!$B$5:$B$504,$A87,'CCS追っかけ'!$P$5:$P$504,"✅正式",'CCS追っかけ'!$Q$5:$Q$504,"&gt;="&amp;K$84,'CCS追っかけ'!$Q$5:$Q$504,"&lt;"&amp;(K$84+7)))</f>
        <v/>
      </c>
      <c r="L87" s="10">
        <f>IF(OR($A87="",L$84&gt;TODAY()),"",COUNTIFS('CCS追っかけ'!$B$5:$B$504,$A87,'CCS追っかけ'!$P$5:$P$504,"✅正式",'CCS追っかけ'!$Q$5:$Q$504,"&gt;="&amp;L$84,'CCS追っかけ'!$Q$5:$Q$504,"&lt;"&amp;(L$84+7)))</f>
        <v/>
      </c>
      <c r="M87" s="10">
        <f>IF(OR($A87="",M$84&gt;TODAY()),"",COUNTIFS('CCS追っかけ'!$B$5:$B$504,$A87,'CCS追っかけ'!$P$5:$P$504,"✅正式",'CCS追っかけ'!$Q$5:$Q$504,"&gt;="&amp;M$84,'CCS追っかけ'!$Q$5:$Q$504,"&lt;"&amp;(M$84+7)))</f>
        <v/>
      </c>
      <c r="N87" s="10">
        <f>IF(OR($A87="",N$84&gt;TODAY()),"",COUNTIFS('CCS追っかけ'!$B$5:$B$504,$A87,'CCS追っかけ'!$P$5:$P$504,"✅正式",'CCS追っかけ'!$Q$5:$Q$504,"&gt;="&amp;N$84,'CCS追っかけ'!$Q$5:$Q$504,"&lt;"&amp;(N$84+7)))</f>
        <v/>
      </c>
      <c r="O87" s="19">
        <f>IF($A87="","",SUM(B87:N87))</f>
        <v/>
      </c>
    </row>
    <row r="88">
      <c r="A88" s="15">
        <f>'📊ダッシュボード'!A11&amp;""</f>
        <v/>
      </c>
      <c r="B88" s="10">
        <f>IF(OR($A88="",B$84&gt;TODAY()),"",COUNTIFS('CCS追っかけ'!$B$5:$B$504,$A88,'CCS追っかけ'!$P$5:$P$504,"✅正式",'CCS追っかけ'!$Q$5:$Q$504,"&gt;="&amp;B$84,'CCS追っかけ'!$Q$5:$Q$504,"&lt;"&amp;(B$84+7)))</f>
        <v/>
      </c>
      <c r="C88" s="10">
        <f>IF(OR($A88="",C$84&gt;TODAY()),"",COUNTIFS('CCS追っかけ'!$B$5:$B$504,$A88,'CCS追っかけ'!$P$5:$P$504,"✅正式",'CCS追っかけ'!$Q$5:$Q$504,"&gt;="&amp;C$84,'CCS追っかけ'!$Q$5:$Q$504,"&lt;"&amp;(C$84+7)))</f>
        <v/>
      </c>
      <c r="D88" s="10">
        <f>IF(OR($A88="",D$84&gt;TODAY()),"",COUNTIFS('CCS追っかけ'!$B$5:$B$504,$A88,'CCS追っかけ'!$P$5:$P$504,"✅正式",'CCS追っかけ'!$Q$5:$Q$504,"&gt;="&amp;D$84,'CCS追っかけ'!$Q$5:$Q$504,"&lt;"&amp;(D$84+7)))</f>
        <v/>
      </c>
      <c r="E88" s="10">
        <f>IF(OR($A88="",E$84&gt;TODAY()),"",COUNTIFS('CCS追っかけ'!$B$5:$B$504,$A88,'CCS追っかけ'!$P$5:$P$504,"✅正式",'CCS追っかけ'!$Q$5:$Q$504,"&gt;="&amp;E$84,'CCS追っかけ'!$Q$5:$Q$504,"&lt;"&amp;(E$84+7)))</f>
        <v/>
      </c>
      <c r="F88" s="10">
        <f>IF(OR($A88="",F$84&gt;TODAY()),"",COUNTIFS('CCS追っかけ'!$B$5:$B$504,$A88,'CCS追っかけ'!$P$5:$P$504,"✅正式",'CCS追っかけ'!$Q$5:$Q$504,"&gt;="&amp;F$84,'CCS追っかけ'!$Q$5:$Q$504,"&lt;"&amp;(F$84+7)))</f>
        <v/>
      </c>
      <c r="G88" s="10">
        <f>IF(OR($A88="",G$84&gt;TODAY()),"",COUNTIFS('CCS追っかけ'!$B$5:$B$504,$A88,'CCS追っかけ'!$P$5:$P$504,"✅正式",'CCS追っかけ'!$Q$5:$Q$504,"&gt;="&amp;G$84,'CCS追っかけ'!$Q$5:$Q$504,"&lt;"&amp;(G$84+7)))</f>
        <v/>
      </c>
      <c r="H88" s="10">
        <f>IF(OR($A88="",H$84&gt;TODAY()),"",COUNTIFS('CCS追っかけ'!$B$5:$B$504,$A88,'CCS追っかけ'!$P$5:$P$504,"✅正式",'CCS追っかけ'!$Q$5:$Q$504,"&gt;="&amp;H$84,'CCS追っかけ'!$Q$5:$Q$504,"&lt;"&amp;(H$84+7)))</f>
        <v/>
      </c>
      <c r="I88" s="10">
        <f>IF(OR($A88="",I$84&gt;TODAY()),"",COUNTIFS('CCS追っかけ'!$B$5:$B$504,$A88,'CCS追っかけ'!$P$5:$P$504,"✅正式",'CCS追っかけ'!$Q$5:$Q$504,"&gt;="&amp;I$84,'CCS追っかけ'!$Q$5:$Q$504,"&lt;"&amp;(I$84+7)))</f>
        <v/>
      </c>
      <c r="J88" s="10">
        <f>IF(OR($A88="",J$84&gt;TODAY()),"",COUNTIFS('CCS追っかけ'!$B$5:$B$504,$A88,'CCS追っかけ'!$P$5:$P$504,"✅正式",'CCS追っかけ'!$Q$5:$Q$504,"&gt;="&amp;J$84,'CCS追っかけ'!$Q$5:$Q$504,"&lt;"&amp;(J$84+7)))</f>
        <v/>
      </c>
      <c r="K88" s="10">
        <f>IF(OR($A88="",K$84&gt;TODAY()),"",COUNTIFS('CCS追っかけ'!$B$5:$B$504,$A88,'CCS追っかけ'!$P$5:$P$504,"✅正式",'CCS追っかけ'!$Q$5:$Q$504,"&gt;="&amp;K$84,'CCS追っかけ'!$Q$5:$Q$504,"&lt;"&amp;(K$84+7)))</f>
        <v/>
      </c>
      <c r="L88" s="10">
        <f>IF(OR($A88="",L$84&gt;TODAY()),"",COUNTIFS('CCS追っかけ'!$B$5:$B$504,$A88,'CCS追っかけ'!$P$5:$P$504,"✅正式",'CCS追っかけ'!$Q$5:$Q$504,"&gt;="&amp;L$84,'CCS追っかけ'!$Q$5:$Q$504,"&lt;"&amp;(L$84+7)))</f>
        <v/>
      </c>
      <c r="M88" s="10">
        <f>IF(OR($A88="",M$84&gt;TODAY()),"",COUNTIFS('CCS追っかけ'!$B$5:$B$504,$A88,'CCS追っかけ'!$P$5:$P$504,"✅正式",'CCS追っかけ'!$Q$5:$Q$504,"&gt;="&amp;M$84,'CCS追っかけ'!$Q$5:$Q$504,"&lt;"&amp;(M$84+7)))</f>
        <v/>
      </c>
      <c r="N88" s="10">
        <f>IF(OR($A88="",N$84&gt;TODAY()),"",COUNTIFS('CCS追っかけ'!$B$5:$B$504,$A88,'CCS追っかけ'!$P$5:$P$504,"✅正式",'CCS追っかけ'!$Q$5:$Q$504,"&gt;="&amp;N$84,'CCS追っかけ'!$Q$5:$Q$504,"&lt;"&amp;(N$84+7)))</f>
        <v/>
      </c>
      <c r="O88" s="19">
        <f>IF($A88="","",SUM(B88:N88))</f>
        <v/>
      </c>
    </row>
    <row r="89">
      <c r="A89" s="15">
        <f>'📊ダッシュボード'!A12&amp;""</f>
        <v/>
      </c>
      <c r="B89" s="10">
        <f>IF(OR($A89="",B$84&gt;TODAY()),"",COUNTIFS('CCS追っかけ'!$B$5:$B$504,$A89,'CCS追っかけ'!$P$5:$P$504,"✅正式",'CCS追っかけ'!$Q$5:$Q$504,"&gt;="&amp;B$84,'CCS追っかけ'!$Q$5:$Q$504,"&lt;"&amp;(B$84+7)))</f>
        <v/>
      </c>
      <c r="C89" s="10">
        <f>IF(OR($A89="",C$84&gt;TODAY()),"",COUNTIFS('CCS追っかけ'!$B$5:$B$504,$A89,'CCS追っかけ'!$P$5:$P$504,"✅正式",'CCS追っかけ'!$Q$5:$Q$504,"&gt;="&amp;C$84,'CCS追っかけ'!$Q$5:$Q$504,"&lt;"&amp;(C$84+7)))</f>
        <v/>
      </c>
      <c r="D89" s="10">
        <f>IF(OR($A89="",D$84&gt;TODAY()),"",COUNTIFS('CCS追っかけ'!$B$5:$B$504,$A89,'CCS追っかけ'!$P$5:$P$504,"✅正式",'CCS追っかけ'!$Q$5:$Q$504,"&gt;="&amp;D$84,'CCS追っかけ'!$Q$5:$Q$504,"&lt;"&amp;(D$84+7)))</f>
        <v/>
      </c>
      <c r="E89" s="10">
        <f>IF(OR($A89="",E$84&gt;TODAY()),"",COUNTIFS('CCS追っかけ'!$B$5:$B$504,$A89,'CCS追っかけ'!$P$5:$P$504,"✅正式",'CCS追っかけ'!$Q$5:$Q$504,"&gt;="&amp;E$84,'CCS追っかけ'!$Q$5:$Q$504,"&lt;"&amp;(E$84+7)))</f>
        <v/>
      </c>
      <c r="F89" s="10">
        <f>IF(OR($A89="",F$84&gt;TODAY()),"",COUNTIFS('CCS追っかけ'!$B$5:$B$504,$A89,'CCS追っかけ'!$P$5:$P$504,"✅正式",'CCS追っかけ'!$Q$5:$Q$504,"&gt;="&amp;F$84,'CCS追っかけ'!$Q$5:$Q$504,"&lt;"&amp;(F$84+7)))</f>
        <v/>
      </c>
      <c r="G89" s="10">
        <f>IF(OR($A89="",G$84&gt;TODAY()),"",COUNTIFS('CCS追っかけ'!$B$5:$B$504,$A89,'CCS追っかけ'!$P$5:$P$504,"✅正式",'CCS追っかけ'!$Q$5:$Q$504,"&gt;="&amp;G$84,'CCS追っかけ'!$Q$5:$Q$504,"&lt;"&amp;(G$84+7)))</f>
        <v/>
      </c>
      <c r="H89" s="10">
        <f>IF(OR($A89="",H$84&gt;TODAY()),"",COUNTIFS('CCS追っかけ'!$B$5:$B$504,$A89,'CCS追っかけ'!$P$5:$P$504,"✅正式",'CCS追っかけ'!$Q$5:$Q$504,"&gt;="&amp;H$84,'CCS追っかけ'!$Q$5:$Q$504,"&lt;"&amp;(H$84+7)))</f>
        <v/>
      </c>
      <c r="I89" s="10">
        <f>IF(OR($A89="",I$84&gt;TODAY()),"",COUNTIFS('CCS追っかけ'!$B$5:$B$504,$A89,'CCS追っかけ'!$P$5:$P$504,"✅正式",'CCS追っかけ'!$Q$5:$Q$504,"&gt;="&amp;I$84,'CCS追っかけ'!$Q$5:$Q$504,"&lt;"&amp;(I$84+7)))</f>
        <v/>
      </c>
      <c r="J89" s="10">
        <f>IF(OR($A89="",J$84&gt;TODAY()),"",COUNTIFS('CCS追っかけ'!$B$5:$B$504,$A89,'CCS追っかけ'!$P$5:$P$504,"✅正式",'CCS追っかけ'!$Q$5:$Q$504,"&gt;="&amp;J$84,'CCS追っかけ'!$Q$5:$Q$504,"&lt;"&amp;(J$84+7)))</f>
        <v/>
      </c>
      <c r="K89" s="10">
        <f>IF(OR($A89="",K$84&gt;TODAY()),"",COUNTIFS('CCS追っかけ'!$B$5:$B$504,$A89,'CCS追っかけ'!$P$5:$P$504,"✅正式",'CCS追っかけ'!$Q$5:$Q$504,"&gt;="&amp;K$84,'CCS追っかけ'!$Q$5:$Q$504,"&lt;"&amp;(K$84+7)))</f>
        <v/>
      </c>
      <c r="L89" s="10">
        <f>IF(OR($A89="",L$84&gt;TODAY()),"",COUNTIFS('CCS追っかけ'!$B$5:$B$504,$A89,'CCS追っかけ'!$P$5:$P$504,"✅正式",'CCS追っかけ'!$Q$5:$Q$504,"&gt;="&amp;L$84,'CCS追っかけ'!$Q$5:$Q$504,"&lt;"&amp;(L$84+7)))</f>
        <v/>
      </c>
      <c r="M89" s="10">
        <f>IF(OR($A89="",M$84&gt;TODAY()),"",COUNTIFS('CCS追っかけ'!$B$5:$B$504,$A89,'CCS追っかけ'!$P$5:$P$504,"✅正式",'CCS追っかけ'!$Q$5:$Q$504,"&gt;="&amp;M$84,'CCS追っかけ'!$Q$5:$Q$504,"&lt;"&amp;(M$84+7)))</f>
        <v/>
      </c>
      <c r="N89" s="10">
        <f>IF(OR($A89="",N$84&gt;TODAY()),"",COUNTIFS('CCS追っかけ'!$B$5:$B$504,$A89,'CCS追っかけ'!$P$5:$P$504,"✅正式",'CCS追っかけ'!$Q$5:$Q$504,"&gt;="&amp;N$84,'CCS追っかけ'!$Q$5:$Q$504,"&lt;"&amp;(N$84+7)))</f>
        <v/>
      </c>
      <c r="O89" s="19">
        <f>IF($A89="","",SUM(B89:N89))</f>
        <v/>
      </c>
    </row>
    <row r="90">
      <c r="A90" s="15">
        <f>'📊ダッシュボード'!A13&amp;""</f>
        <v/>
      </c>
      <c r="B90" s="10">
        <f>IF(OR($A90="",B$84&gt;TODAY()),"",COUNTIFS('CCS追っかけ'!$B$5:$B$504,$A90,'CCS追っかけ'!$P$5:$P$504,"✅正式",'CCS追っかけ'!$Q$5:$Q$504,"&gt;="&amp;B$84,'CCS追っかけ'!$Q$5:$Q$504,"&lt;"&amp;(B$84+7)))</f>
        <v/>
      </c>
      <c r="C90" s="10">
        <f>IF(OR($A90="",C$84&gt;TODAY()),"",COUNTIFS('CCS追っかけ'!$B$5:$B$504,$A90,'CCS追っかけ'!$P$5:$P$504,"✅正式",'CCS追っかけ'!$Q$5:$Q$504,"&gt;="&amp;C$84,'CCS追っかけ'!$Q$5:$Q$504,"&lt;"&amp;(C$84+7)))</f>
        <v/>
      </c>
      <c r="D90" s="10">
        <f>IF(OR($A90="",D$84&gt;TODAY()),"",COUNTIFS('CCS追っかけ'!$B$5:$B$504,$A90,'CCS追っかけ'!$P$5:$P$504,"✅正式",'CCS追っかけ'!$Q$5:$Q$504,"&gt;="&amp;D$84,'CCS追っかけ'!$Q$5:$Q$504,"&lt;"&amp;(D$84+7)))</f>
        <v/>
      </c>
      <c r="E90" s="10">
        <f>IF(OR($A90="",E$84&gt;TODAY()),"",COUNTIFS('CCS追っかけ'!$B$5:$B$504,$A90,'CCS追っかけ'!$P$5:$P$504,"✅正式",'CCS追っかけ'!$Q$5:$Q$504,"&gt;="&amp;E$84,'CCS追っかけ'!$Q$5:$Q$504,"&lt;"&amp;(E$84+7)))</f>
        <v/>
      </c>
      <c r="F90" s="10">
        <f>IF(OR($A90="",F$84&gt;TODAY()),"",COUNTIFS('CCS追っかけ'!$B$5:$B$504,$A90,'CCS追っかけ'!$P$5:$P$504,"✅正式",'CCS追っかけ'!$Q$5:$Q$504,"&gt;="&amp;F$84,'CCS追っかけ'!$Q$5:$Q$504,"&lt;"&amp;(F$84+7)))</f>
        <v/>
      </c>
      <c r="G90" s="10">
        <f>IF(OR($A90="",G$84&gt;TODAY()),"",COUNTIFS('CCS追っかけ'!$B$5:$B$504,$A90,'CCS追っかけ'!$P$5:$P$504,"✅正式",'CCS追っかけ'!$Q$5:$Q$504,"&gt;="&amp;G$84,'CCS追っかけ'!$Q$5:$Q$504,"&lt;"&amp;(G$84+7)))</f>
        <v/>
      </c>
      <c r="H90" s="10">
        <f>IF(OR($A90="",H$84&gt;TODAY()),"",COUNTIFS('CCS追っかけ'!$B$5:$B$504,$A90,'CCS追っかけ'!$P$5:$P$504,"✅正式",'CCS追っかけ'!$Q$5:$Q$504,"&gt;="&amp;H$84,'CCS追っかけ'!$Q$5:$Q$504,"&lt;"&amp;(H$84+7)))</f>
        <v/>
      </c>
      <c r="I90" s="10">
        <f>IF(OR($A90="",I$84&gt;TODAY()),"",COUNTIFS('CCS追っかけ'!$B$5:$B$504,$A90,'CCS追っかけ'!$P$5:$P$504,"✅正式",'CCS追っかけ'!$Q$5:$Q$504,"&gt;="&amp;I$84,'CCS追っかけ'!$Q$5:$Q$504,"&lt;"&amp;(I$84+7)))</f>
        <v/>
      </c>
      <c r="J90" s="10">
        <f>IF(OR($A90="",J$84&gt;TODAY()),"",COUNTIFS('CCS追っかけ'!$B$5:$B$504,$A90,'CCS追っかけ'!$P$5:$P$504,"✅正式",'CCS追っかけ'!$Q$5:$Q$504,"&gt;="&amp;J$84,'CCS追っかけ'!$Q$5:$Q$504,"&lt;"&amp;(J$84+7)))</f>
        <v/>
      </c>
      <c r="K90" s="10">
        <f>IF(OR($A90="",K$84&gt;TODAY()),"",COUNTIFS('CCS追っかけ'!$B$5:$B$504,$A90,'CCS追っかけ'!$P$5:$P$504,"✅正式",'CCS追っかけ'!$Q$5:$Q$504,"&gt;="&amp;K$84,'CCS追っかけ'!$Q$5:$Q$504,"&lt;"&amp;(K$84+7)))</f>
        <v/>
      </c>
      <c r="L90" s="10">
        <f>IF(OR($A90="",L$84&gt;TODAY()),"",COUNTIFS('CCS追っかけ'!$B$5:$B$504,$A90,'CCS追っかけ'!$P$5:$P$504,"✅正式",'CCS追っかけ'!$Q$5:$Q$504,"&gt;="&amp;L$84,'CCS追っかけ'!$Q$5:$Q$504,"&lt;"&amp;(L$84+7)))</f>
        <v/>
      </c>
      <c r="M90" s="10">
        <f>IF(OR($A90="",M$84&gt;TODAY()),"",COUNTIFS('CCS追っかけ'!$B$5:$B$504,$A90,'CCS追っかけ'!$P$5:$P$504,"✅正式",'CCS追っかけ'!$Q$5:$Q$504,"&gt;="&amp;M$84,'CCS追っかけ'!$Q$5:$Q$504,"&lt;"&amp;(M$84+7)))</f>
        <v/>
      </c>
      <c r="N90" s="10">
        <f>IF(OR($A90="",N$84&gt;TODAY()),"",COUNTIFS('CCS追っかけ'!$B$5:$B$504,$A90,'CCS追っかけ'!$P$5:$P$504,"✅正式",'CCS追っかけ'!$Q$5:$Q$504,"&gt;="&amp;N$84,'CCS追っかけ'!$Q$5:$Q$504,"&lt;"&amp;(N$84+7)))</f>
        <v/>
      </c>
      <c r="O90" s="19">
        <f>IF($A90="","",SUM(B90:N90))</f>
        <v/>
      </c>
    </row>
    <row r="91">
      <c r="A91" s="15">
        <f>'📊ダッシュボード'!A14&amp;""</f>
        <v/>
      </c>
      <c r="B91" s="10">
        <f>IF(OR($A91="",B$84&gt;TODAY()),"",COUNTIFS('CCS追っかけ'!$B$5:$B$504,$A91,'CCS追っかけ'!$P$5:$P$504,"✅正式",'CCS追っかけ'!$Q$5:$Q$504,"&gt;="&amp;B$84,'CCS追っかけ'!$Q$5:$Q$504,"&lt;"&amp;(B$84+7)))</f>
        <v/>
      </c>
      <c r="C91" s="10">
        <f>IF(OR($A91="",C$84&gt;TODAY()),"",COUNTIFS('CCS追っかけ'!$B$5:$B$504,$A91,'CCS追っかけ'!$P$5:$P$504,"✅正式",'CCS追っかけ'!$Q$5:$Q$504,"&gt;="&amp;C$84,'CCS追っかけ'!$Q$5:$Q$504,"&lt;"&amp;(C$84+7)))</f>
        <v/>
      </c>
      <c r="D91" s="10">
        <f>IF(OR($A91="",D$84&gt;TODAY()),"",COUNTIFS('CCS追っかけ'!$B$5:$B$504,$A91,'CCS追っかけ'!$P$5:$P$504,"✅正式",'CCS追っかけ'!$Q$5:$Q$504,"&gt;="&amp;D$84,'CCS追っかけ'!$Q$5:$Q$504,"&lt;"&amp;(D$84+7)))</f>
        <v/>
      </c>
      <c r="E91" s="10">
        <f>IF(OR($A91="",E$84&gt;TODAY()),"",COUNTIFS('CCS追っかけ'!$B$5:$B$504,$A91,'CCS追っかけ'!$P$5:$P$504,"✅正式",'CCS追っかけ'!$Q$5:$Q$504,"&gt;="&amp;E$84,'CCS追っかけ'!$Q$5:$Q$504,"&lt;"&amp;(E$84+7)))</f>
        <v/>
      </c>
      <c r="F91" s="10">
        <f>IF(OR($A91="",F$84&gt;TODAY()),"",COUNTIFS('CCS追っかけ'!$B$5:$B$504,$A91,'CCS追っかけ'!$P$5:$P$504,"✅正式",'CCS追っかけ'!$Q$5:$Q$504,"&gt;="&amp;F$84,'CCS追っかけ'!$Q$5:$Q$504,"&lt;"&amp;(F$84+7)))</f>
        <v/>
      </c>
      <c r="G91" s="10">
        <f>IF(OR($A91="",G$84&gt;TODAY()),"",COUNTIFS('CCS追っかけ'!$B$5:$B$504,$A91,'CCS追っかけ'!$P$5:$P$504,"✅正式",'CCS追っかけ'!$Q$5:$Q$504,"&gt;="&amp;G$84,'CCS追っかけ'!$Q$5:$Q$504,"&lt;"&amp;(G$84+7)))</f>
        <v/>
      </c>
      <c r="H91" s="10">
        <f>IF(OR($A91="",H$84&gt;TODAY()),"",COUNTIFS('CCS追っかけ'!$B$5:$B$504,$A91,'CCS追っかけ'!$P$5:$P$504,"✅正式",'CCS追っかけ'!$Q$5:$Q$504,"&gt;="&amp;H$84,'CCS追っかけ'!$Q$5:$Q$504,"&lt;"&amp;(H$84+7)))</f>
        <v/>
      </c>
      <c r="I91" s="10">
        <f>IF(OR($A91="",I$84&gt;TODAY()),"",COUNTIFS('CCS追っかけ'!$B$5:$B$504,$A91,'CCS追っかけ'!$P$5:$P$504,"✅正式",'CCS追っかけ'!$Q$5:$Q$504,"&gt;="&amp;I$84,'CCS追っかけ'!$Q$5:$Q$504,"&lt;"&amp;(I$84+7)))</f>
        <v/>
      </c>
      <c r="J91" s="10">
        <f>IF(OR($A91="",J$84&gt;TODAY()),"",COUNTIFS('CCS追っかけ'!$B$5:$B$504,$A91,'CCS追っかけ'!$P$5:$P$504,"✅正式",'CCS追っかけ'!$Q$5:$Q$504,"&gt;="&amp;J$84,'CCS追っかけ'!$Q$5:$Q$504,"&lt;"&amp;(J$84+7)))</f>
        <v/>
      </c>
      <c r="K91" s="10">
        <f>IF(OR($A91="",K$84&gt;TODAY()),"",COUNTIFS('CCS追っかけ'!$B$5:$B$504,$A91,'CCS追っかけ'!$P$5:$P$504,"✅正式",'CCS追っかけ'!$Q$5:$Q$504,"&gt;="&amp;K$84,'CCS追っかけ'!$Q$5:$Q$504,"&lt;"&amp;(K$84+7)))</f>
        <v/>
      </c>
      <c r="L91" s="10">
        <f>IF(OR($A91="",L$84&gt;TODAY()),"",COUNTIFS('CCS追っかけ'!$B$5:$B$504,$A91,'CCS追っかけ'!$P$5:$P$504,"✅正式",'CCS追っかけ'!$Q$5:$Q$504,"&gt;="&amp;L$84,'CCS追っかけ'!$Q$5:$Q$504,"&lt;"&amp;(L$84+7)))</f>
        <v/>
      </c>
      <c r="M91" s="10">
        <f>IF(OR($A91="",M$84&gt;TODAY()),"",COUNTIFS('CCS追っかけ'!$B$5:$B$504,$A91,'CCS追っかけ'!$P$5:$P$504,"✅正式",'CCS追っかけ'!$Q$5:$Q$504,"&gt;="&amp;M$84,'CCS追っかけ'!$Q$5:$Q$504,"&lt;"&amp;(M$84+7)))</f>
        <v/>
      </c>
      <c r="N91" s="10">
        <f>IF(OR($A91="",N$84&gt;TODAY()),"",COUNTIFS('CCS追っかけ'!$B$5:$B$504,$A91,'CCS追っかけ'!$P$5:$P$504,"✅正式",'CCS追っかけ'!$Q$5:$Q$504,"&gt;="&amp;N$84,'CCS追っかけ'!$Q$5:$Q$504,"&lt;"&amp;(N$84+7)))</f>
        <v/>
      </c>
      <c r="O91" s="19">
        <f>IF($A91="","",SUM(B91:N91))</f>
        <v/>
      </c>
    </row>
    <row r="92">
      <c r="A92" s="15">
        <f>'📊ダッシュボード'!A15&amp;""</f>
        <v/>
      </c>
      <c r="B92" s="10">
        <f>IF(OR($A92="",B$84&gt;TODAY()),"",COUNTIFS('CCS追っかけ'!$B$5:$B$504,$A92,'CCS追っかけ'!$P$5:$P$504,"✅正式",'CCS追っかけ'!$Q$5:$Q$504,"&gt;="&amp;B$84,'CCS追っかけ'!$Q$5:$Q$504,"&lt;"&amp;(B$84+7)))</f>
        <v/>
      </c>
      <c r="C92" s="10">
        <f>IF(OR($A92="",C$84&gt;TODAY()),"",COUNTIFS('CCS追っかけ'!$B$5:$B$504,$A92,'CCS追っかけ'!$P$5:$P$504,"✅正式",'CCS追っかけ'!$Q$5:$Q$504,"&gt;="&amp;C$84,'CCS追っかけ'!$Q$5:$Q$504,"&lt;"&amp;(C$84+7)))</f>
        <v/>
      </c>
      <c r="D92" s="10">
        <f>IF(OR($A92="",D$84&gt;TODAY()),"",COUNTIFS('CCS追っかけ'!$B$5:$B$504,$A92,'CCS追っかけ'!$P$5:$P$504,"✅正式",'CCS追っかけ'!$Q$5:$Q$504,"&gt;="&amp;D$84,'CCS追っかけ'!$Q$5:$Q$504,"&lt;"&amp;(D$84+7)))</f>
        <v/>
      </c>
      <c r="E92" s="10">
        <f>IF(OR($A92="",E$84&gt;TODAY()),"",COUNTIFS('CCS追っかけ'!$B$5:$B$504,$A92,'CCS追っかけ'!$P$5:$P$504,"✅正式",'CCS追っかけ'!$Q$5:$Q$504,"&gt;="&amp;E$84,'CCS追っかけ'!$Q$5:$Q$504,"&lt;"&amp;(E$84+7)))</f>
        <v/>
      </c>
      <c r="F92" s="10">
        <f>IF(OR($A92="",F$84&gt;TODAY()),"",COUNTIFS('CCS追っかけ'!$B$5:$B$504,$A92,'CCS追っかけ'!$P$5:$P$504,"✅正式",'CCS追っかけ'!$Q$5:$Q$504,"&gt;="&amp;F$84,'CCS追っかけ'!$Q$5:$Q$504,"&lt;"&amp;(F$84+7)))</f>
        <v/>
      </c>
      <c r="G92" s="10">
        <f>IF(OR($A92="",G$84&gt;TODAY()),"",COUNTIFS('CCS追っかけ'!$B$5:$B$504,$A92,'CCS追っかけ'!$P$5:$P$504,"✅正式",'CCS追っかけ'!$Q$5:$Q$504,"&gt;="&amp;G$84,'CCS追っかけ'!$Q$5:$Q$504,"&lt;"&amp;(G$84+7)))</f>
        <v/>
      </c>
      <c r="H92" s="10">
        <f>IF(OR($A92="",H$84&gt;TODAY()),"",COUNTIFS('CCS追っかけ'!$B$5:$B$504,$A92,'CCS追っかけ'!$P$5:$P$504,"✅正式",'CCS追っかけ'!$Q$5:$Q$504,"&gt;="&amp;H$84,'CCS追っかけ'!$Q$5:$Q$504,"&lt;"&amp;(H$84+7)))</f>
        <v/>
      </c>
      <c r="I92" s="10">
        <f>IF(OR($A92="",I$84&gt;TODAY()),"",COUNTIFS('CCS追っかけ'!$B$5:$B$504,$A92,'CCS追っかけ'!$P$5:$P$504,"✅正式",'CCS追っかけ'!$Q$5:$Q$504,"&gt;="&amp;I$84,'CCS追っかけ'!$Q$5:$Q$504,"&lt;"&amp;(I$84+7)))</f>
        <v/>
      </c>
      <c r="J92" s="10">
        <f>IF(OR($A92="",J$84&gt;TODAY()),"",COUNTIFS('CCS追っかけ'!$B$5:$B$504,$A92,'CCS追っかけ'!$P$5:$P$504,"✅正式",'CCS追っかけ'!$Q$5:$Q$504,"&gt;="&amp;J$84,'CCS追っかけ'!$Q$5:$Q$504,"&lt;"&amp;(J$84+7)))</f>
        <v/>
      </c>
      <c r="K92" s="10">
        <f>IF(OR($A92="",K$84&gt;TODAY()),"",COUNTIFS('CCS追っかけ'!$B$5:$B$504,$A92,'CCS追っかけ'!$P$5:$P$504,"✅正式",'CCS追っかけ'!$Q$5:$Q$504,"&gt;="&amp;K$84,'CCS追っかけ'!$Q$5:$Q$504,"&lt;"&amp;(K$84+7)))</f>
        <v/>
      </c>
      <c r="L92" s="10">
        <f>IF(OR($A92="",L$84&gt;TODAY()),"",COUNTIFS('CCS追っかけ'!$B$5:$B$504,$A92,'CCS追っかけ'!$P$5:$P$504,"✅正式",'CCS追っかけ'!$Q$5:$Q$504,"&gt;="&amp;L$84,'CCS追っかけ'!$Q$5:$Q$504,"&lt;"&amp;(L$84+7)))</f>
        <v/>
      </c>
      <c r="M92" s="10">
        <f>IF(OR($A92="",M$84&gt;TODAY()),"",COUNTIFS('CCS追っかけ'!$B$5:$B$504,$A92,'CCS追っかけ'!$P$5:$P$504,"✅正式",'CCS追っかけ'!$Q$5:$Q$504,"&gt;="&amp;M$84,'CCS追っかけ'!$Q$5:$Q$504,"&lt;"&amp;(M$84+7)))</f>
        <v/>
      </c>
      <c r="N92" s="10">
        <f>IF(OR($A92="",N$84&gt;TODAY()),"",COUNTIFS('CCS追っかけ'!$B$5:$B$504,$A92,'CCS追っかけ'!$P$5:$P$504,"✅正式",'CCS追っかけ'!$Q$5:$Q$504,"&gt;="&amp;N$84,'CCS追っかけ'!$Q$5:$Q$504,"&lt;"&amp;(N$84+7)))</f>
        <v/>
      </c>
      <c r="O92" s="19">
        <f>IF($A92="","",SUM(B92:N92))</f>
        <v/>
      </c>
    </row>
    <row r="93">
      <c r="A93" s="15">
        <f>'📊ダッシュボード'!A16&amp;""</f>
        <v/>
      </c>
      <c r="B93" s="10">
        <f>IF(OR($A93="",B$84&gt;TODAY()),"",COUNTIFS('CCS追っかけ'!$B$5:$B$504,$A93,'CCS追っかけ'!$P$5:$P$504,"✅正式",'CCS追っかけ'!$Q$5:$Q$504,"&gt;="&amp;B$84,'CCS追っかけ'!$Q$5:$Q$504,"&lt;"&amp;(B$84+7)))</f>
        <v/>
      </c>
      <c r="C93" s="10">
        <f>IF(OR($A93="",C$84&gt;TODAY()),"",COUNTIFS('CCS追っかけ'!$B$5:$B$504,$A93,'CCS追っかけ'!$P$5:$P$504,"✅正式",'CCS追っかけ'!$Q$5:$Q$504,"&gt;="&amp;C$84,'CCS追っかけ'!$Q$5:$Q$504,"&lt;"&amp;(C$84+7)))</f>
        <v/>
      </c>
      <c r="D93" s="10">
        <f>IF(OR($A93="",D$84&gt;TODAY()),"",COUNTIFS('CCS追っかけ'!$B$5:$B$504,$A93,'CCS追っかけ'!$P$5:$P$504,"✅正式",'CCS追っかけ'!$Q$5:$Q$504,"&gt;="&amp;D$84,'CCS追っかけ'!$Q$5:$Q$504,"&lt;"&amp;(D$84+7)))</f>
        <v/>
      </c>
      <c r="E93" s="10">
        <f>IF(OR($A93="",E$84&gt;TODAY()),"",COUNTIFS('CCS追っかけ'!$B$5:$B$504,$A93,'CCS追っかけ'!$P$5:$P$504,"✅正式",'CCS追っかけ'!$Q$5:$Q$504,"&gt;="&amp;E$84,'CCS追っかけ'!$Q$5:$Q$504,"&lt;"&amp;(E$84+7)))</f>
        <v/>
      </c>
      <c r="F93" s="10">
        <f>IF(OR($A93="",F$84&gt;TODAY()),"",COUNTIFS('CCS追っかけ'!$B$5:$B$504,$A93,'CCS追っかけ'!$P$5:$P$504,"✅正式",'CCS追っかけ'!$Q$5:$Q$504,"&gt;="&amp;F$84,'CCS追っかけ'!$Q$5:$Q$504,"&lt;"&amp;(F$84+7)))</f>
        <v/>
      </c>
      <c r="G93" s="10">
        <f>IF(OR($A93="",G$84&gt;TODAY()),"",COUNTIFS('CCS追っかけ'!$B$5:$B$504,$A93,'CCS追っかけ'!$P$5:$P$504,"✅正式",'CCS追っかけ'!$Q$5:$Q$504,"&gt;="&amp;G$84,'CCS追っかけ'!$Q$5:$Q$504,"&lt;"&amp;(G$84+7)))</f>
        <v/>
      </c>
      <c r="H93" s="10">
        <f>IF(OR($A93="",H$84&gt;TODAY()),"",COUNTIFS('CCS追っかけ'!$B$5:$B$504,$A93,'CCS追っかけ'!$P$5:$P$504,"✅正式",'CCS追っかけ'!$Q$5:$Q$504,"&gt;="&amp;H$84,'CCS追っかけ'!$Q$5:$Q$504,"&lt;"&amp;(H$84+7)))</f>
        <v/>
      </c>
      <c r="I93" s="10">
        <f>IF(OR($A93="",I$84&gt;TODAY()),"",COUNTIFS('CCS追っかけ'!$B$5:$B$504,$A93,'CCS追っかけ'!$P$5:$P$504,"✅正式",'CCS追っかけ'!$Q$5:$Q$504,"&gt;="&amp;I$84,'CCS追っかけ'!$Q$5:$Q$504,"&lt;"&amp;(I$84+7)))</f>
        <v/>
      </c>
      <c r="J93" s="10">
        <f>IF(OR($A93="",J$84&gt;TODAY()),"",COUNTIFS('CCS追っかけ'!$B$5:$B$504,$A93,'CCS追っかけ'!$P$5:$P$504,"✅正式",'CCS追っかけ'!$Q$5:$Q$504,"&gt;="&amp;J$84,'CCS追っかけ'!$Q$5:$Q$504,"&lt;"&amp;(J$84+7)))</f>
        <v/>
      </c>
      <c r="K93" s="10">
        <f>IF(OR($A93="",K$84&gt;TODAY()),"",COUNTIFS('CCS追っかけ'!$B$5:$B$504,$A93,'CCS追っかけ'!$P$5:$P$504,"✅正式",'CCS追っかけ'!$Q$5:$Q$504,"&gt;="&amp;K$84,'CCS追っかけ'!$Q$5:$Q$504,"&lt;"&amp;(K$84+7)))</f>
        <v/>
      </c>
      <c r="L93" s="10">
        <f>IF(OR($A93="",L$84&gt;TODAY()),"",COUNTIFS('CCS追っかけ'!$B$5:$B$504,$A93,'CCS追っかけ'!$P$5:$P$504,"✅正式",'CCS追っかけ'!$Q$5:$Q$504,"&gt;="&amp;L$84,'CCS追っかけ'!$Q$5:$Q$504,"&lt;"&amp;(L$84+7)))</f>
        <v/>
      </c>
      <c r="M93" s="10">
        <f>IF(OR($A93="",M$84&gt;TODAY()),"",COUNTIFS('CCS追っかけ'!$B$5:$B$504,$A93,'CCS追っかけ'!$P$5:$P$504,"✅正式",'CCS追っかけ'!$Q$5:$Q$504,"&gt;="&amp;M$84,'CCS追っかけ'!$Q$5:$Q$504,"&lt;"&amp;(M$84+7)))</f>
        <v/>
      </c>
      <c r="N93" s="10">
        <f>IF(OR($A93="",N$84&gt;TODAY()),"",COUNTIFS('CCS追っかけ'!$B$5:$B$504,$A93,'CCS追っかけ'!$P$5:$P$504,"✅正式",'CCS追っかけ'!$Q$5:$Q$504,"&gt;="&amp;N$84,'CCS追っかけ'!$Q$5:$Q$504,"&lt;"&amp;(N$84+7)))</f>
        <v/>
      </c>
      <c r="O93" s="19">
        <f>IF($A93="","",SUM(B93:N93))</f>
        <v/>
      </c>
    </row>
    <row r="94">
      <c r="A94" s="15">
        <f>'📊ダッシュボード'!A17&amp;""</f>
        <v/>
      </c>
      <c r="B94" s="10">
        <f>IF(OR($A94="",B$84&gt;TODAY()),"",COUNTIFS('CCS追っかけ'!$B$5:$B$504,$A94,'CCS追っかけ'!$P$5:$P$504,"✅正式",'CCS追っかけ'!$Q$5:$Q$504,"&gt;="&amp;B$84,'CCS追っかけ'!$Q$5:$Q$504,"&lt;"&amp;(B$84+7)))</f>
        <v/>
      </c>
      <c r="C94" s="10">
        <f>IF(OR($A94="",C$84&gt;TODAY()),"",COUNTIFS('CCS追っかけ'!$B$5:$B$504,$A94,'CCS追っかけ'!$P$5:$P$504,"✅正式",'CCS追っかけ'!$Q$5:$Q$504,"&gt;="&amp;C$84,'CCS追っかけ'!$Q$5:$Q$504,"&lt;"&amp;(C$84+7)))</f>
        <v/>
      </c>
      <c r="D94" s="10">
        <f>IF(OR($A94="",D$84&gt;TODAY()),"",COUNTIFS('CCS追っかけ'!$B$5:$B$504,$A94,'CCS追っかけ'!$P$5:$P$504,"✅正式",'CCS追っかけ'!$Q$5:$Q$504,"&gt;="&amp;D$84,'CCS追っかけ'!$Q$5:$Q$504,"&lt;"&amp;(D$84+7)))</f>
        <v/>
      </c>
      <c r="E94" s="10">
        <f>IF(OR($A94="",E$84&gt;TODAY()),"",COUNTIFS('CCS追っかけ'!$B$5:$B$504,$A94,'CCS追っかけ'!$P$5:$P$504,"✅正式",'CCS追っかけ'!$Q$5:$Q$504,"&gt;="&amp;E$84,'CCS追っかけ'!$Q$5:$Q$504,"&lt;"&amp;(E$84+7)))</f>
        <v/>
      </c>
      <c r="F94" s="10">
        <f>IF(OR($A94="",F$84&gt;TODAY()),"",COUNTIFS('CCS追っかけ'!$B$5:$B$504,$A94,'CCS追っかけ'!$P$5:$P$504,"✅正式",'CCS追っかけ'!$Q$5:$Q$504,"&gt;="&amp;F$84,'CCS追っかけ'!$Q$5:$Q$504,"&lt;"&amp;(F$84+7)))</f>
        <v/>
      </c>
      <c r="G94" s="10">
        <f>IF(OR($A94="",G$84&gt;TODAY()),"",COUNTIFS('CCS追っかけ'!$B$5:$B$504,$A94,'CCS追っかけ'!$P$5:$P$504,"✅正式",'CCS追っかけ'!$Q$5:$Q$504,"&gt;="&amp;G$84,'CCS追っかけ'!$Q$5:$Q$504,"&lt;"&amp;(G$84+7)))</f>
        <v/>
      </c>
      <c r="H94" s="10">
        <f>IF(OR($A94="",H$84&gt;TODAY()),"",COUNTIFS('CCS追っかけ'!$B$5:$B$504,$A94,'CCS追っかけ'!$P$5:$P$504,"✅正式",'CCS追っかけ'!$Q$5:$Q$504,"&gt;="&amp;H$84,'CCS追っかけ'!$Q$5:$Q$504,"&lt;"&amp;(H$84+7)))</f>
        <v/>
      </c>
      <c r="I94" s="10">
        <f>IF(OR($A94="",I$84&gt;TODAY()),"",COUNTIFS('CCS追っかけ'!$B$5:$B$504,$A94,'CCS追っかけ'!$P$5:$P$504,"✅正式",'CCS追っかけ'!$Q$5:$Q$504,"&gt;="&amp;I$84,'CCS追っかけ'!$Q$5:$Q$504,"&lt;"&amp;(I$84+7)))</f>
        <v/>
      </c>
      <c r="J94" s="10">
        <f>IF(OR($A94="",J$84&gt;TODAY()),"",COUNTIFS('CCS追っかけ'!$B$5:$B$504,$A94,'CCS追っかけ'!$P$5:$P$504,"✅正式",'CCS追っかけ'!$Q$5:$Q$504,"&gt;="&amp;J$84,'CCS追っかけ'!$Q$5:$Q$504,"&lt;"&amp;(J$84+7)))</f>
        <v/>
      </c>
      <c r="K94" s="10">
        <f>IF(OR($A94="",K$84&gt;TODAY()),"",COUNTIFS('CCS追っかけ'!$B$5:$B$504,$A94,'CCS追っかけ'!$P$5:$P$504,"✅正式",'CCS追っかけ'!$Q$5:$Q$504,"&gt;="&amp;K$84,'CCS追っかけ'!$Q$5:$Q$504,"&lt;"&amp;(K$84+7)))</f>
        <v/>
      </c>
      <c r="L94" s="10">
        <f>IF(OR($A94="",L$84&gt;TODAY()),"",COUNTIFS('CCS追っかけ'!$B$5:$B$504,$A94,'CCS追っかけ'!$P$5:$P$504,"✅正式",'CCS追っかけ'!$Q$5:$Q$504,"&gt;="&amp;L$84,'CCS追っかけ'!$Q$5:$Q$504,"&lt;"&amp;(L$84+7)))</f>
        <v/>
      </c>
      <c r="M94" s="10">
        <f>IF(OR($A94="",M$84&gt;TODAY()),"",COUNTIFS('CCS追っかけ'!$B$5:$B$504,$A94,'CCS追っかけ'!$P$5:$P$504,"✅正式",'CCS追っかけ'!$Q$5:$Q$504,"&gt;="&amp;M$84,'CCS追っかけ'!$Q$5:$Q$504,"&lt;"&amp;(M$84+7)))</f>
        <v/>
      </c>
      <c r="N94" s="10">
        <f>IF(OR($A94="",N$84&gt;TODAY()),"",COUNTIFS('CCS追っかけ'!$B$5:$B$504,$A94,'CCS追っかけ'!$P$5:$P$504,"✅正式",'CCS追っかけ'!$Q$5:$Q$504,"&gt;="&amp;N$84,'CCS追っかけ'!$Q$5:$Q$504,"&lt;"&amp;(N$84+7)))</f>
        <v/>
      </c>
      <c r="O94" s="19">
        <f>IF($A94="","",SUM(B94:N94))</f>
        <v/>
      </c>
    </row>
    <row r="95">
      <c r="A95" s="15">
        <f>'📊ダッシュボード'!A18&amp;""</f>
        <v/>
      </c>
      <c r="B95" s="10">
        <f>IF(OR($A95="",B$84&gt;TODAY()),"",COUNTIFS('CCS追っかけ'!$B$5:$B$504,$A95,'CCS追っかけ'!$P$5:$P$504,"✅正式",'CCS追っかけ'!$Q$5:$Q$504,"&gt;="&amp;B$84,'CCS追っかけ'!$Q$5:$Q$504,"&lt;"&amp;(B$84+7)))</f>
        <v/>
      </c>
      <c r="C95" s="10">
        <f>IF(OR($A95="",C$84&gt;TODAY()),"",COUNTIFS('CCS追っかけ'!$B$5:$B$504,$A95,'CCS追っかけ'!$P$5:$P$504,"✅正式",'CCS追っかけ'!$Q$5:$Q$504,"&gt;="&amp;C$84,'CCS追っかけ'!$Q$5:$Q$504,"&lt;"&amp;(C$84+7)))</f>
        <v/>
      </c>
      <c r="D95" s="10">
        <f>IF(OR($A95="",D$84&gt;TODAY()),"",COUNTIFS('CCS追っかけ'!$B$5:$B$504,$A95,'CCS追っかけ'!$P$5:$P$504,"✅正式",'CCS追っかけ'!$Q$5:$Q$504,"&gt;="&amp;D$84,'CCS追っかけ'!$Q$5:$Q$504,"&lt;"&amp;(D$84+7)))</f>
        <v/>
      </c>
      <c r="E95" s="10">
        <f>IF(OR($A95="",E$84&gt;TODAY()),"",COUNTIFS('CCS追っかけ'!$B$5:$B$504,$A95,'CCS追っかけ'!$P$5:$P$504,"✅正式",'CCS追っかけ'!$Q$5:$Q$504,"&gt;="&amp;E$84,'CCS追っかけ'!$Q$5:$Q$504,"&lt;"&amp;(E$84+7)))</f>
        <v/>
      </c>
      <c r="F95" s="10">
        <f>IF(OR($A95="",F$84&gt;TODAY()),"",COUNTIFS('CCS追っかけ'!$B$5:$B$504,$A95,'CCS追っかけ'!$P$5:$P$504,"✅正式",'CCS追っかけ'!$Q$5:$Q$504,"&gt;="&amp;F$84,'CCS追っかけ'!$Q$5:$Q$504,"&lt;"&amp;(F$84+7)))</f>
        <v/>
      </c>
      <c r="G95" s="10">
        <f>IF(OR($A95="",G$84&gt;TODAY()),"",COUNTIFS('CCS追っかけ'!$B$5:$B$504,$A95,'CCS追っかけ'!$P$5:$P$504,"✅正式",'CCS追っかけ'!$Q$5:$Q$504,"&gt;="&amp;G$84,'CCS追っかけ'!$Q$5:$Q$504,"&lt;"&amp;(G$84+7)))</f>
        <v/>
      </c>
      <c r="H95" s="10">
        <f>IF(OR($A95="",H$84&gt;TODAY()),"",COUNTIFS('CCS追っかけ'!$B$5:$B$504,$A95,'CCS追っかけ'!$P$5:$P$504,"✅正式",'CCS追っかけ'!$Q$5:$Q$504,"&gt;="&amp;H$84,'CCS追っかけ'!$Q$5:$Q$504,"&lt;"&amp;(H$84+7)))</f>
        <v/>
      </c>
      <c r="I95" s="10">
        <f>IF(OR($A95="",I$84&gt;TODAY()),"",COUNTIFS('CCS追っかけ'!$B$5:$B$504,$A95,'CCS追っかけ'!$P$5:$P$504,"✅正式",'CCS追っかけ'!$Q$5:$Q$504,"&gt;="&amp;I$84,'CCS追っかけ'!$Q$5:$Q$504,"&lt;"&amp;(I$84+7)))</f>
        <v/>
      </c>
      <c r="J95" s="10">
        <f>IF(OR($A95="",J$84&gt;TODAY()),"",COUNTIFS('CCS追っかけ'!$B$5:$B$504,$A95,'CCS追っかけ'!$P$5:$P$504,"✅正式",'CCS追っかけ'!$Q$5:$Q$504,"&gt;="&amp;J$84,'CCS追っかけ'!$Q$5:$Q$504,"&lt;"&amp;(J$84+7)))</f>
        <v/>
      </c>
      <c r="K95" s="10">
        <f>IF(OR($A95="",K$84&gt;TODAY()),"",COUNTIFS('CCS追っかけ'!$B$5:$B$504,$A95,'CCS追っかけ'!$P$5:$P$504,"✅正式",'CCS追っかけ'!$Q$5:$Q$504,"&gt;="&amp;K$84,'CCS追っかけ'!$Q$5:$Q$504,"&lt;"&amp;(K$84+7)))</f>
        <v/>
      </c>
      <c r="L95" s="10">
        <f>IF(OR($A95="",L$84&gt;TODAY()),"",COUNTIFS('CCS追っかけ'!$B$5:$B$504,$A95,'CCS追っかけ'!$P$5:$P$504,"✅正式",'CCS追っかけ'!$Q$5:$Q$504,"&gt;="&amp;L$84,'CCS追っかけ'!$Q$5:$Q$504,"&lt;"&amp;(L$84+7)))</f>
        <v/>
      </c>
      <c r="M95" s="10">
        <f>IF(OR($A95="",M$84&gt;TODAY()),"",COUNTIFS('CCS追っかけ'!$B$5:$B$504,$A95,'CCS追っかけ'!$P$5:$P$504,"✅正式",'CCS追っかけ'!$Q$5:$Q$504,"&gt;="&amp;M$84,'CCS追っかけ'!$Q$5:$Q$504,"&lt;"&amp;(M$84+7)))</f>
        <v/>
      </c>
      <c r="N95" s="10">
        <f>IF(OR($A95="",N$84&gt;TODAY()),"",COUNTIFS('CCS追っかけ'!$B$5:$B$504,$A95,'CCS追っかけ'!$P$5:$P$504,"✅正式",'CCS追っかけ'!$Q$5:$Q$504,"&gt;="&amp;N$84,'CCS追っかけ'!$Q$5:$Q$504,"&lt;"&amp;(N$84+7)))</f>
        <v/>
      </c>
      <c r="O95" s="19">
        <f>IF($A95="","",SUM(B95:N95))</f>
        <v/>
      </c>
    </row>
    <row r="96">
      <c r="A96" s="15">
        <f>'📊ダッシュボード'!A19&amp;""</f>
        <v/>
      </c>
      <c r="B96" s="10">
        <f>IF(OR($A96="",B$84&gt;TODAY()),"",COUNTIFS('CCS追っかけ'!$B$5:$B$504,$A96,'CCS追っかけ'!$P$5:$P$504,"✅正式",'CCS追っかけ'!$Q$5:$Q$504,"&gt;="&amp;B$84,'CCS追っかけ'!$Q$5:$Q$504,"&lt;"&amp;(B$84+7)))</f>
        <v/>
      </c>
      <c r="C96" s="10">
        <f>IF(OR($A96="",C$84&gt;TODAY()),"",COUNTIFS('CCS追っかけ'!$B$5:$B$504,$A96,'CCS追っかけ'!$P$5:$P$504,"✅正式",'CCS追っかけ'!$Q$5:$Q$504,"&gt;="&amp;C$84,'CCS追っかけ'!$Q$5:$Q$504,"&lt;"&amp;(C$84+7)))</f>
        <v/>
      </c>
      <c r="D96" s="10">
        <f>IF(OR($A96="",D$84&gt;TODAY()),"",COUNTIFS('CCS追っかけ'!$B$5:$B$504,$A96,'CCS追っかけ'!$P$5:$P$504,"✅正式",'CCS追っかけ'!$Q$5:$Q$504,"&gt;="&amp;D$84,'CCS追っかけ'!$Q$5:$Q$504,"&lt;"&amp;(D$84+7)))</f>
        <v/>
      </c>
      <c r="E96" s="10">
        <f>IF(OR($A96="",E$84&gt;TODAY()),"",COUNTIFS('CCS追っかけ'!$B$5:$B$504,$A96,'CCS追っかけ'!$P$5:$P$504,"✅正式",'CCS追っかけ'!$Q$5:$Q$504,"&gt;="&amp;E$84,'CCS追っかけ'!$Q$5:$Q$504,"&lt;"&amp;(E$84+7)))</f>
        <v/>
      </c>
      <c r="F96" s="10">
        <f>IF(OR($A96="",F$84&gt;TODAY()),"",COUNTIFS('CCS追っかけ'!$B$5:$B$504,$A96,'CCS追っかけ'!$P$5:$P$504,"✅正式",'CCS追っかけ'!$Q$5:$Q$504,"&gt;="&amp;F$84,'CCS追っかけ'!$Q$5:$Q$504,"&lt;"&amp;(F$84+7)))</f>
        <v/>
      </c>
      <c r="G96" s="10">
        <f>IF(OR($A96="",G$84&gt;TODAY()),"",COUNTIFS('CCS追っかけ'!$B$5:$B$504,$A96,'CCS追っかけ'!$P$5:$P$504,"✅正式",'CCS追っかけ'!$Q$5:$Q$504,"&gt;="&amp;G$84,'CCS追っかけ'!$Q$5:$Q$504,"&lt;"&amp;(G$84+7)))</f>
        <v/>
      </c>
      <c r="H96" s="10">
        <f>IF(OR($A96="",H$84&gt;TODAY()),"",COUNTIFS('CCS追っかけ'!$B$5:$B$504,$A96,'CCS追っかけ'!$P$5:$P$504,"✅正式",'CCS追っかけ'!$Q$5:$Q$504,"&gt;="&amp;H$84,'CCS追っかけ'!$Q$5:$Q$504,"&lt;"&amp;(H$84+7)))</f>
        <v/>
      </c>
      <c r="I96" s="10">
        <f>IF(OR($A96="",I$84&gt;TODAY()),"",COUNTIFS('CCS追っかけ'!$B$5:$B$504,$A96,'CCS追っかけ'!$P$5:$P$504,"✅正式",'CCS追っかけ'!$Q$5:$Q$504,"&gt;="&amp;I$84,'CCS追っかけ'!$Q$5:$Q$504,"&lt;"&amp;(I$84+7)))</f>
        <v/>
      </c>
      <c r="J96" s="10">
        <f>IF(OR($A96="",J$84&gt;TODAY()),"",COUNTIFS('CCS追っかけ'!$B$5:$B$504,$A96,'CCS追っかけ'!$P$5:$P$504,"✅正式",'CCS追っかけ'!$Q$5:$Q$504,"&gt;="&amp;J$84,'CCS追っかけ'!$Q$5:$Q$504,"&lt;"&amp;(J$84+7)))</f>
        <v/>
      </c>
      <c r="K96" s="10">
        <f>IF(OR($A96="",K$84&gt;TODAY()),"",COUNTIFS('CCS追っかけ'!$B$5:$B$504,$A96,'CCS追っかけ'!$P$5:$P$504,"✅正式",'CCS追っかけ'!$Q$5:$Q$504,"&gt;="&amp;K$84,'CCS追っかけ'!$Q$5:$Q$504,"&lt;"&amp;(K$84+7)))</f>
        <v/>
      </c>
      <c r="L96" s="10">
        <f>IF(OR($A96="",L$84&gt;TODAY()),"",COUNTIFS('CCS追っかけ'!$B$5:$B$504,$A96,'CCS追っかけ'!$P$5:$P$504,"✅正式",'CCS追っかけ'!$Q$5:$Q$504,"&gt;="&amp;L$84,'CCS追っかけ'!$Q$5:$Q$504,"&lt;"&amp;(L$84+7)))</f>
        <v/>
      </c>
      <c r="M96" s="10">
        <f>IF(OR($A96="",M$84&gt;TODAY()),"",COUNTIFS('CCS追っかけ'!$B$5:$B$504,$A96,'CCS追っかけ'!$P$5:$P$504,"✅正式",'CCS追っかけ'!$Q$5:$Q$504,"&gt;="&amp;M$84,'CCS追っかけ'!$Q$5:$Q$504,"&lt;"&amp;(M$84+7)))</f>
        <v/>
      </c>
      <c r="N96" s="10">
        <f>IF(OR($A96="",N$84&gt;TODAY()),"",COUNTIFS('CCS追っかけ'!$B$5:$B$504,$A96,'CCS追っかけ'!$P$5:$P$504,"✅正式",'CCS追っかけ'!$Q$5:$Q$504,"&gt;="&amp;N$84,'CCS追っかけ'!$Q$5:$Q$504,"&lt;"&amp;(N$84+7)))</f>
        <v/>
      </c>
      <c r="O96" s="19">
        <f>IF($A96="","",SUM(B96:N96))</f>
        <v/>
      </c>
    </row>
    <row r="97">
      <c r="A97" s="15">
        <f>'📊ダッシュボード'!A20&amp;""</f>
        <v/>
      </c>
      <c r="B97" s="10">
        <f>IF(OR($A97="",B$84&gt;TODAY()),"",COUNTIFS('CCS追っかけ'!$B$5:$B$504,$A97,'CCS追っかけ'!$P$5:$P$504,"✅正式",'CCS追っかけ'!$Q$5:$Q$504,"&gt;="&amp;B$84,'CCS追っかけ'!$Q$5:$Q$504,"&lt;"&amp;(B$84+7)))</f>
        <v/>
      </c>
      <c r="C97" s="10">
        <f>IF(OR($A97="",C$84&gt;TODAY()),"",COUNTIFS('CCS追っかけ'!$B$5:$B$504,$A97,'CCS追っかけ'!$P$5:$P$504,"✅正式",'CCS追っかけ'!$Q$5:$Q$504,"&gt;="&amp;C$84,'CCS追っかけ'!$Q$5:$Q$504,"&lt;"&amp;(C$84+7)))</f>
        <v/>
      </c>
      <c r="D97" s="10">
        <f>IF(OR($A97="",D$84&gt;TODAY()),"",COUNTIFS('CCS追っかけ'!$B$5:$B$504,$A97,'CCS追っかけ'!$P$5:$P$504,"✅正式",'CCS追っかけ'!$Q$5:$Q$504,"&gt;="&amp;D$84,'CCS追っかけ'!$Q$5:$Q$504,"&lt;"&amp;(D$84+7)))</f>
        <v/>
      </c>
      <c r="E97" s="10">
        <f>IF(OR($A97="",E$84&gt;TODAY()),"",COUNTIFS('CCS追っかけ'!$B$5:$B$504,$A97,'CCS追っかけ'!$P$5:$P$504,"✅正式",'CCS追っかけ'!$Q$5:$Q$504,"&gt;="&amp;E$84,'CCS追っかけ'!$Q$5:$Q$504,"&lt;"&amp;(E$84+7)))</f>
        <v/>
      </c>
      <c r="F97" s="10">
        <f>IF(OR($A97="",F$84&gt;TODAY()),"",COUNTIFS('CCS追っかけ'!$B$5:$B$504,$A97,'CCS追っかけ'!$P$5:$P$504,"✅正式",'CCS追っかけ'!$Q$5:$Q$504,"&gt;="&amp;F$84,'CCS追っかけ'!$Q$5:$Q$504,"&lt;"&amp;(F$84+7)))</f>
        <v/>
      </c>
      <c r="G97" s="10">
        <f>IF(OR($A97="",G$84&gt;TODAY()),"",COUNTIFS('CCS追っかけ'!$B$5:$B$504,$A97,'CCS追っかけ'!$P$5:$P$504,"✅正式",'CCS追っかけ'!$Q$5:$Q$504,"&gt;="&amp;G$84,'CCS追っかけ'!$Q$5:$Q$504,"&lt;"&amp;(G$84+7)))</f>
        <v/>
      </c>
      <c r="H97" s="10">
        <f>IF(OR($A97="",H$84&gt;TODAY()),"",COUNTIFS('CCS追っかけ'!$B$5:$B$504,$A97,'CCS追っかけ'!$P$5:$P$504,"✅正式",'CCS追っかけ'!$Q$5:$Q$504,"&gt;="&amp;H$84,'CCS追っかけ'!$Q$5:$Q$504,"&lt;"&amp;(H$84+7)))</f>
        <v/>
      </c>
      <c r="I97" s="10">
        <f>IF(OR($A97="",I$84&gt;TODAY()),"",COUNTIFS('CCS追っかけ'!$B$5:$B$504,$A97,'CCS追っかけ'!$P$5:$P$504,"✅正式",'CCS追っかけ'!$Q$5:$Q$504,"&gt;="&amp;I$84,'CCS追っかけ'!$Q$5:$Q$504,"&lt;"&amp;(I$84+7)))</f>
        <v/>
      </c>
      <c r="J97" s="10">
        <f>IF(OR($A97="",J$84&gt;TODAY()),"",COUNTIFS('CCS追っかけ'!$B$5:$B$504,$A97,'CCS追っかけ'!$P$5:$P$504,"✅正式",'CCS追っかけ'!$Q$5:$Q$504,"&gt;="&amp;J$84,'CCS追っかけ'!$Q$5:$Q$504,"&lt;"&amp;(J$84+7)))</f>
        <v/>
      </c>
      <c r="K97" s="10">
        <f>IF(OR($A97="",K$84&gt;TODAY()),"",COUNTIFS('CCS追っかけ'!$B$5:$B$504,$A97,'CCS追っかけ'!$P$5:$P$504,"✅正式",'CCS追っかけ'!$Q$5:$Q$504,"&gt;="&amp;K$84,'CCS追っかけ'!$Q$5:$Q$504,"&lt;"&amp;(K$84+7)))</f>
        <v/>
      </c>
      <c r="L97" s="10">
        <f>IF(OR($A97="",L$84&gt;TODAY()),"",COUNTIFS('CCS追っかけ'!$B$5:$B$504,$A97,'CCS追っかけ'!$P$5:$P$504,"✅正式",'CCS追っかけ'!$Q$5:$Q$504,"&gt;="&amp;L$84,'CCS追っかけ'!$Q$5:$Q$504,"&lt;"&amp;(L$84+7)))</f>
        <v/>
      </c>
      <c r="M97" s="10">
        <f>IF(OR($A97="",M$84&gt;TODAY()),"",COUNTIFS('CCS追っかけ'!$B$5:$B$504,$A97,'CCS追っかけ'!$P$5:$P$504,"✅正式",'CCS追っかけ'!$Q$5:$Q$504,"&gt;="&amp;M$84,'CCS追っかけ'!$Q$5:$Q$504,"&lt;"&amp;(M$84+7)))</f>
        <v/>
      </c>
      <c r="N97" s="10">
        <f>IF(OR($A97="",N$84&gt;TODAY()),"",COUNTIFS('CCS追っかけ'!$B$5:$B$504,$A97,'CCS追っかけ'!$P$5:$P$504,"✅正式",'CCS追っかけ'!$Q$5:$Q$504,"&gt;="&amp;N$84,'CCS追っかけ'!$Q$5:$Q$504,"&lt;"&amp;(N$84+7)))</f>
        <v/>
      </c>
      <c r="O97" s="19">
        <f>IF($A97="","",SUM(B97:N97))</f>
        <v/>
      </c>
    </row>
    <row r="98">
      <c r="A98" s="15">
        <f>'📊ダッシュボード'!A21&amp;""</f>
        <v/>
      </c>
      <c r="B98" s="10">
        <f>IF(OR($A98="",B$84&gt;TODAY()),"",COUNTIFS('CCS追っかけ'!$B$5:$B$504,$A98,'CCS追っかけ'!$P$5:$P$504,"✅正式",'CCS追っかけ'!$Q$5:$Q$504,"&gt;="&amp;B$84,'CCS追っかけ'!$Q$5:$Q$504,"&lt;"&amp;(B$84+7)))</f>
        <v/>
      </c>
      <c r="C98" s="10">
        <f>IF(OR($A98="",C$84&gt;TODAY()),"",COUNTIFS('CCS追っかけ'!$B$5:$B$504,$A98,'CCS追っかけ'!$P$5:$P$504,"✅正式",'CCS追っかけ'!$Q$5:$Q$504,"&gt;="&amp;C$84,'CCS追っかけ'!$Q$5:$Q$504,"&lt;"&amp;(C$84+7)))</f>
        <v/>
      </c>
      <c r="D98" s="10">
        <f>IF(OR($A98="",D$84&gt;TODAY()),"",COUNTIFS('CCS追っかけ'!$B$5:$B$504,$A98,'CCS追っかけ'!$P$5:$P$504,"✅正式",'CCS追っかけ'!$Q$5:$Q$504,"&gt;="&amp;D$84,'CCS追っかけ'!$Q$5:$Q$504,"&lt;"&amp;(D$84+7)))</f>
        <v/>
      </c>
      <c r="E98" s="10">
        <f>IF(OR($A98="",E$84&gt;TODAY()),"",COUNTIFS('CCS追っかけ'!$B$5:$B$504,$A98,'CCS追っかけ'!$P$5:$P$504,"✅正式",'CCS追っかけ'!$Q$5:$Q$504,"&gt;="&amp;E$84,'CCS追っかけ'!$Q$5:$Q$504,"&lt;"&amp;(E$84+7)))</f>
        <v/>
      </c>
      <c r="F98" s="10">
        <f>IF(OR($A98="",F$84&gt;TODAY()),"",COUNTIFS('CCS追っかけ'!$B$5:$B$504,$A98,'CCS追っかけ'!$P$5:$P$504,"✅正式",'CCS追っかけ'!$Q$5:$Q$504,"&gt;="&amp;F$84,'CCS追っかけ'!$Q$5:$Q$504,"&lt;"&amp;(F$84+7)))</f>
        <v/>
      </c>
      <c r="G98" s="10">
        <f>IF(OR($A98="",G$84&gt;TODAY()),"",COUNTIFS('CCS追っかけ'!$B$5:$B$504,$A98,'CCS追っかけ'!$P$5:$P$504,"✅正式",'CCS追っかけ'!$Q$5:$Q$504,"&gt;="&amp;G$84,'CCS追っかけ'!$Q$5:$Q$504,"&lt;"&amp;(G$84+7)))</f>
        <v/>
      </c>
      <c r="H98" s="10">
        <f>IF(OR($A98="",H$84&gt;TODAY()),"",COUNTIFS('CCS追っかけ'!$B$5:$B$504,$A98,'CCS追っかけ'!$P$5:$P$504,"✅正式",'CCS追っかけ'!$Q$5:$Q$504,"&gt;="&amp;H$84,'CCS追っかけ'!$Q$5:$Q$504,"&lt;"&amp;(H$84+7)))</f>
        <v/>
      </c>
      <c r="I98" s="10">
        <f>IF(OR($A98="",I$84&gt;TODAY()),"",COUNTIFS('CCS追っかけ'!$B$5:$B$504,$A98,'CCS追っかけ'!$P$5:$P$504,"✅正式",'CCS追っかけ'!$Q$5:$Q$504,"&gt;="&amp;I$84,'CCS追っかけ'!$Q$5:$Q$504,"&lt;"&amp;(I$84+7)))</f>
        <v/>
      </c>
      <c r="J98" s="10">
        <f>IF(OR($A98="",J$84&gt;TODAY()),"",COUNTIFS('CCS追っかけ'!$B$5:$B$504,$A98,'CCS追っかけ'!$P$5:$P$504,"✅正式",'CCS追っかけ'!$Q$5:$Q$504,"&gt;="&amp;J$84,'CCS追っかけ'!$Q$5:$Q$504,"&lt;"&amp;(J$84+7)))</f>
        <v/>
      </c>
      <c r="K98" s="10">
        <f>IF(OR($A98="",K$84&gt;TODAY()),"",COUNTIFS('CCS追っかけ'!$B$5:$B$504,$A98,'CCS追っかけ'!$P$5:$P$504,"✅正式",'CCS追っかけ'!$Q$5:$Q$504,"&gt;="&amp;K$84,'CCS追っかけ'!$Q$5:$Q$504,"&lt;"&amp;(K$84+7)))</f>
        <v/>
      </c>
      <c r="L98" s="10">
        <f>IF(OR($A98="",L$84&gt;TODAY()),"",COUNTIFS('CCS追っかけ'!$B$5:$B$504,$A98,'CCS追っかけ'!$P$5:$P$504,"✅正式",'CCS追っかけ'!$Q$5:$Q$504,"&gt;="&amp;L$84,'CCS追っかけ'!$Q$5:$Q$504,"&lt;"&amp;(L$84+7)))</f>
        <v/>
      </c>
      <c r="M98" s="10">
        <f>IF(OR($A98="",M$84&gt;TODAY()),"",COUNTIFS('CCS追っかけ'!$B$5:$B$504,$A98,'CCS追っかけ'!$P$5:$P$504,"✅正式",'CCS追っかけ'!$Q$5:$Q$504,"&gt;="&amp;M$84,'CCS追っかけ'!$Q$5:$Q$504,"&lt;"&amp;(M$84+7)))</f>
        <v/>
      </c>
      <c r="N98" s="10">
        <f>IF(OR($A98="",N$84&gt;TODAY()),"",COUNTIFS('CCS追っかけ'!$B$5:$B$504,$A98,'CCS追っかけ'!$P$5:$P$504,"✅正式",'CCS追っかけ'!$Q$5:$Q$504,"&gt;="&amp;N$84,'CCS追っかけ'!$Q$5:$Q$504,"&lt;"&amp;(N$84+7)))</f>
        <v/>
      </c>
      <c r="O98" s="19">
        <f>IF($A98="","",SUM(B98:N98))</f>
        <v/>
      </c>
    </row>
    <row r="99">
      <c r="A99" s="15">
        <f>'📊ダッシュボード'!A22&amp;""</f>
        <v/>
      </c>
      <c r="B99" s="10">
        <f>IF(OR($A99="",B$84&gt;TODAY()),"",COUNTIFS('CCS追っかけ'!$B$5:$B$504,$A99,'CCS追っかけ'!$P$5:$P$504,"✅正式",'CCS追っかけ'!$Q$5:$Q$504,"&gt;="&amp;B$84,'CCS追っかけ'!$Q$5:$Q$504,"&lt;"&amp;(B$84+7)))</f>
        <v/>
      </c>
      <c r="C99" s="10">
        <f>IF(OR($A99="",C$84&gt;TODAY()),"",COUNTIFS('CCS追っかけ'!$B$5:$B$504,$A99,'CCS追っかけ'!$P$5:$P$504,"✅正式",'CCS追っかけ'!$Q$5:$Q$504,"&gt;="&amp;C$84,'CCS追っかけ'!$Q$5:$Q$504,"&lt;"&amp;(C$84+7)))</f>
        <v/>
      </c>
      <c r="D99" s="10">
        <f>IF(OR($A99="",D$84&gt;TODAY()),"",COUNTIFS('CCS追っかけ'!$B$5:$B$504,$A99,'CCS追っかけ'!$P$5:$P$504,"✅正式",'CCS追っかけ'!$Q$5:$Q$504,"&gt;="&amp;D$84,'CCS追っかけ'!$Q$5:$Q$504,"&lt;"&amp;(D$84+7)))</f>
        <v/>
      </c>
      <c r="E99" s="10">
        <f>IF(OR($A99="",E$84&gt;TODAY()),"",COUNTIFS('CCS追っかけ'!$B$5:$B$504,$A99,'CCS追っかけ'!$P$5:$P$504,"✅正式",'CCS追っかけ'!$Q$5:$Q$504,"&gt;="&amp;E$84,'CCS追っかけ'!$Q$5:$Q$504,"&lt;"&amp;(E$84+7)))</f>
        <v/>
      </c>
      <c r="F99" s="10">
        <f>IF(OR($A99="",F$84&gt;TODAY()),"",COUNTIFS('CCS追っかけ'!$B$5:$B$504,$A99,'CCS追っかけ'!$P$5:$P$504,"✅正式",'CCS追っかけ'!$Q$5:$Q$504,"&gt;="&amp;F$84,'CCS追っかけ'!$Q$5:$Q$504,"&lt;"&amp;(F$84+7)))</f>
        <v/>
      </c>
      <c r="G99" s="10">
        <f>IF(OR($A99="",G$84&gt;TODAY()),"",COUNTIFS('CCS追っかけ'!$B$5:$B$504,$A99,'CCS追っかけ'!$P$5:$P$504,"✅正式",'CCS追っかけ'!$Q$5:$Q$504,"&gt;="&amp;G$84,'CCS追っかけ'!$Q$5:$Q$504,"&lt;"&amp;(G$84+7)))</f>
        <v/>
      </c>
      <c r="H99" s="10">
        <f>IF(OR($A99="",H$84&gt;TODAY()),"",COUNTIFS('CCS追っかけ'!$B$5:$B$504,$A99,'CCS追っかけ'!$P$5:$P$504,"✅正式",'CCS追っかけ'!$Q$5:$Q$504,"&gt;="&amp;H$84,'CCS追っかけ'!$Q$5:$Q$504,"&lt;"&amp;(H$84+7)))</f>
        <v/>
      </c>
      <c r="I99" s="10">
        <f>IF(OR($A99="",I$84&gt;TODAY()),"",COUNTIFS('CCS追っかけ'!$B$5:$B$504,$A99,'CCS追っかけ'!$P$5:$P$504,"✅正式",'CCS追っかけ'!$Q$5:$Q$504,"&gt;="&amp;I$84,'CCS追っかけ'!$Q$5:$Q$504,"&lt;"&amp;(I$84+7)))</f>
        <v/>
      </c>
      <c r="J99" s="10">
        <f>IF(OR($A99="",J$84&gt;TODAY()),"",COUNTIFS('CCS追っかけ'!$B$5:$B$504,$A99,'CCS追っかけ'!$P$5:$P$504,"✅正式",'CCS追っかけ'!$Q$5:$Q$504,"&gt;="&amp;J$84,'CCS追っかけ'!$Q$5:$Q$504,"&lt;"&amp;(J$84+7)))</f>
        <v/>
      </c>
      <c r="K99" s="10">
        <f>IF(OR($A99="",K$84&gt;TODAY()),"",COUNTIFS('CCS追っかけ'!$B$5:$B$504,$A99,'CCS追っかけ'!$P$5:$P$504,"✅正式",'CCS追っかけ'!$Q$5:$Q$504,"&gt;="&amp;K$84,'CCS追っかけ'!$Q$5:$Q$504,"&lt;"&amp;(K$84+7)))</f>
        <v/>
      </c>
      <c r="L99" s="10">
        <f>IF(OR($A99="",L$84&gt;TODAY()),"",COUNTIFS('CCS追っかけ'!$B$5:$B$504,$A99,'CCS追っかけ'!$P$5:$P$504,"✅正式",'CCS追っかけ'!$Q$5:$Q$504,"&gt;="&amp;L$84,'CCS追っかけ'!$Q$5:$Q$504,"&lt;"&amp;(L$84+7)))</f>
        <v/>
      </c>
      <c r="M99" s="10">
        <f>IF(OR($A99="",M$84&gt;TODAY()),"",COUNTIFS('CCS追っかけ'!$B$5:$B$504,$A99,'CCS追っかけ'!$P$5:$P$504,"✅正式",'CCS追っかけ'!$Q$5:$Q$504,"&gt;="&amp;M$84,'CCS追っかけ'!$Q$5:$Q$504,"&lt;"&amp;(M$84+7)))</f>
        <v/>
      </c>
      <c r="N99" s="10">
        <f>IF(OR($A99="",N$84&gt;TODAY()),"",COUNTIFS('CCS追っかけ'!$B$5:$B$504,$A99,'CCS追っかけ'!$P$5:$P$504,"✅正式",'CCS追っかけ'!$Q$5:$Q$504,"&gt;="&amp;N$84,'CCS追っかけ'!$Q$5:$Q$504,"&lt;"&amp;(N$84+7)))</f>
        <v/>
      </c>
      <c r="O99" s="19">
        <f>IF($A99="","",SUM(B99:N99))</f>
        <v/>
      </c>
    </row>
    <row r="100">
      <c r="A100" s="15">
        <f>'📊ダッシュボード'!A23&amp;""</f>
        <v/>
      </c>
      <c r="B100" s="10">
        <f>IF(OR($A100="",B$84&gt;TODAY()),"",COUNTIFS('CCS追っかけ'!$B$5:$B$504,$A100,'CCS追っかけ'!$P$5:$P$504,"✅正式",'CCS追っかけ'!$Q$5:$Q$504,"&gt;="&amp;B$84,'CCS追っかけ'!$Q$5:$Q$504,"&lt;"&amp;(B$84+7)))</f>
        <v/>
      </c>
      <c r="C100" s="10">
        <f>IF(OR($A100="",C$84&gt;TODAY()),"",COUNTIFS('CCS追っかけ'!$B$5:$B$504,$A100,'CCS追っかけ'!$P$5:$P$504,"✅正式",'CCS追っかけ'!$Q$5:$Q$504,"&gt;="&amp;C$84,'CCS追っかけ'!$Q$5:$Q$504,"&lt;"&amp;(C$84+7)))</f>
        <v/>
      </c>
      <c r="D100" s="10">
        <f>IF(OR($A100="",D$84&gt;TODAY()),"",COUNTIFS('CCS追っかけ'!$B$5:$B$504,$A100,'CCS追っかけ'!$P$5:$P$504,"✅正式",'CCS追っかけ'!$Q$5:$Q$504,"&gt;="&amp;D$84,'CCS追っかけ'!$Q$5:$Q$504,"&lt;"&amp;(D$84+7)))</f>
        <v/>
      </c>
      <c r="E100" s="10">
        <f>IF(OR($A100="",E$84&gt;TODAY()),"",COUNTIFS('CCS追っかけ'!$B$5:$B$504,$A100,'CCS追っかけ'!$P$5:$P$504,"✅正式",'CCS追っかけ'!$Q$5:$Q$504,"&gt;="&amp;E$84,'CCS追っかけ'!$Q$5:$Q$504,"&lt;"&amp;(E$84+7)))</f>
        <v/>
      </c>
      <c r="F100" s="10">
        <f>IF(OR($A100="",F$84&gt;TODAY()),"",COUNTIFS('CCS追っかけ'!$B$5:$B$504,$A100,'CCS追っかけ'!$P$5:$P$504,"✅正式",'CCS追っかけ'!$Q$5:$Q$504,"&gt;="&amp;F$84,'CCS追っかけ'!$Q$5:$Q$504,"&lt;"&amp;(F$84+7)))</f>
        <v/>
      </c>
      <c r="G100" s="10">
        <f>IF(OR($A100="",G$84&gt;TODAY()),"",COUNTIFS('CCS追っかけ'!$B$5:$B$504,$A100,'CCS追っかけ'!$P$5:$P$504,"✅正式",'CCS追っかけ'!$Q$5:$Q$504,"&gt;="&amp;G$84,'CCS追っかけ'!$Q$5:$Q$504,"&lt;"&amp;(G$84+7)))</f>
        <v/>
      </c>
      <c r="H100" s="10">
        <f>IF(OR($A100="",H$84&gt;TODAY()),"",COUNTIFS('CCS追っかけ'!$B$5:$B$504,$A100,'CCS追っかけ'!$P$5:$P$504,"✅正式",'CCS追っかけ'!$Q$5:$Q$504,"&gt;="&amp;H$84,'CCS追っかけ'!$Q$5:$Q$504,"&lt;"&amp;(H$84+7)))</f>
        <v/>
      </c>
      <c r="I100" s="10">
        <f>IF(OR($A100="",I$84&gt;TODAY()),"",COUNTIFS('CCS追っかけ'!$B$5:$B$504,$A100,'CCS追っかけ'!$P$5:$P$504,"✅正式",'CCS追っかけ'!$Q$5:$Q$504,"&gt;="&amp;I$84,'CCS追っかけ'!$Q$5:$Q$504,"&lt;"&amp;(I$84+7)))</f>
        <v/>
      </c>
      <c r="J100" s="10">
        <f>IF(OR($A100="",J$84&gt;TODAY()),"",COUNTIFS('CCS追っかけ'!$B$5:$B$504,$A100,'CCS追っかけ'!$P$5:$P$504,"✅正式",'CCS追っかけ'!$Q$5:$Q$504,"&gt;="&amp;J$84,'CCS追っかけ'!$Q$5:$Q$504,"&lt;"&amp;(J$84+7)))</f>
        <v/>
      </c>
      <c r="K100" s="10">
        <f>IF(OR($A100="",K$84&gt;TODAY()),"",COUNTIFS('CCS追っかけ'!$B$5:$B$504,$A100,'CCS追っかけ'!$P$5:$P$504,"✅正式",'CCS追っかけ'!$Q$5:$Q$504,"&gt;="&amp;K$84,'CCS追っかけ'!$Q$5:$Q$504,"&lt;"&amp;(K$84+7)))</f>
        <v/>
      </c>
      <c r="L100" s="10">
        <f>IF(OR($A100="",L$84&gt;TODAY()),"",COUNTIFS('CCS追っかけ'!$B$5:$B$504,$A100,'CCS追っかけ'!$P$5:$P$504,"✅正式",'CCS追っかけ'!$Q$5:$Q$504,"&gt;="&amp;L$84,'CCS追っかけ'!$Q$5:$Q$504,"&lt;"&amp;(L$84+7)))</f>
        <v/>
      </c>
      <c r="M100" s="10">
        <f>IF(OR($A100="",M$84&gt;TODAY()),"",COUNTIFS('CCS追っかけ'!$B$5:$B$504,$A100,'CCS追っかけ'!$P$5:$P$504,"✅正式",'CCS追っかけ'!$Q$5:$Q$504,"&gt;="&amp;M$84,'CCS追っかけ'!$Q$5:$Q$504,"&lt;"&amp;(M$84+7)))</f>
        <v/>
      </c>
      <c r="N100" s="10">
        <f>IF(OR($A100="",N$84&gt;TODAY()),"",COUNTIFS('CCS追っかけ'!$B$5:$B$504,$A100,'CCS追っかけ'!$P$5:$P$504,"✅正式",'CCS追っかけ'!$Q$5:$Q$504,"&gt;="&amp;N$84,'CCS追っかけ'!$Q$5:$Q$504,"&lt;"&amp;(N$84+7)))</f>
        <v/>
      </c>
      <c r="O100" s="19">
        <f>IF($A100="","",SUM(B100:N100))</f>
        <v/>
      </c>
    </row>
    <row r="101">
      <c r="A101" s="15">
        <f>'📊ダッシュボード'!A24&amp;""</f>
        <v/>
      </c>
      <c r="B101" s="10">
        <f>IF(OR($A101="",B$84&gt;TODAY()),"",COUNTIFS('CCS追っかけ'!$B$5:$B$504,$A101,'CCS追っかけ'!$P$5:$P$504,"✅正式",'CCS追っかけ'!$Q$5:$Q$504,"&gt;="&amp;B$84,'CCS追っかけ'!$Q$5:$Q$504,"&lt;"&amp;(B$84+7)))</f>
        <v/>
      </c>
      <c r="C101" s="10">
        <f>IF(OR($A101="",C$84&gt;TODAY()),"",COUNTIFS('CCS追っかけ'!$B$5:$B$504,$A101,'CCS追っかけ'!$P$5:$P$504,"✅正式",'CCS追っかけ'!$Q$5:$Q$504,"&gt;="&amp;C$84,'CCS追っかけ'!$Q$5:$Q$504,"&lt;"&amp;(C$84+7)))</f>
        <v/>
      </c>
      <c r="D101" s="10">
        <f>IF(OR($A101="",D$84&gt;TODAY()),"",COUNTIFS('CCS追っかけ'!$B$5:$B$504,$A101,'CCS追っかけ'!$P$5:$P$504,"✅正式",'CCS追っかけ'!$Q$5:$Q$504,"&gt;="&amp;D$84,'CCS追っかけ'!$Q$5:$Q$504,"&lt;"&amp;(D$84+7)))</f>
        <v/>
      </c>
      <c r="E101" s="10">
        <f>IF(OR($A101="",E$84&gt;TODAY()),"",COUNTIFS('CCS追っかけ'!$B$5:$B$504,$A101,'CCS追っかけ'!$P$5:$P$504,"✅正式",'CCS追っかけ'!$Q$5:$Q$504,"&gt;="&amp;E$84,'CCS追っかけ'!$Q$5:$Q$504,"&lt;"&amp;(E$84+7)))</f>
        <v/>
      </c>
      <c r="F101" s="10">
        <f>IF(OR($A101="",F$84&gt;TODAY()),"",COUNTIFS('CCS追っかけ'!$B$5:$B$504,$A101,'CCS追っかけ'!$P$5:$P$504,"✅正式",'CCS追っかけ'!$Q$5:$Q$504,"&gt;="&amp;F$84,'CCS追っかけ'!$Q$5:$Q$504,"&lt;"&amp;(F$84+7)))</f>
        <v/>
      </c>
      <c r="G101" s="10">
        <f>IF(OR($A101="",G$84&gt;TODAY()),"",COUNTIFS('CCS追っかけ'!$B$5:$B$504,$A101,'CCS追っかけ'!$P$5:$P$504,"✅正式",'CCS追っかけ'!$Q$5:$Q$504,"&gt;="&amp;G$84,'CCS追っかけ'!$Q$5:$Q$504,"&lt;"&amp;(G$84+7)))</f>
        <v/>
      </c>
      <c r="H101" s="10">
        <f>IF(OR($A101="",H$84&gt;TODAY()),"",COUNTIFS('CCS追っかけ'!$B$5:$B$504,$A101,'CCS追っかけ'!$P$5:$P$504,"✅正式",'CCS追っかけ'!$Q$5:$Q$504,"&gt;="&amp;H$84,'CCS追っかけ'!$Q$5:$Q$504,"&lt;"&amp;(H$84+7)))</f>
        <v/>
      </c>
      <c r="I101" s="10">
        <f>IF(OR($A101="",I$84&gt;TODAY()),"",COUNTIFS('CCS追っかけ'!$B$5:$B$504,$A101,'CCS追っかけ'!$P$5:$P$504,"✅正式",'CCS追っかけ'!$Q$5:$Q$504,"&gt;="&amp;I$84,'CCS追っかけ'!$Q$5:$Q$504,"&lt;"&amp;(I$84+7)))</f>
        <v/>
      </c>
      <c r="J101" s="10">
        <f>IF(OR($A101="",J$84&gt;TODAY()),"",COUNTIFS('CCS追っかけ'!$B$5:$B$504,$A101,'CCS追っかけ'!$P$5:$P$504,"✅正式",'CCS追っかけ'!$Q$5:$Q$504,"&gt;="&amp;J$84,'CCS追っかけ'!$Q$5:$Q$504,"&lt;"&amp;(J$84+7)))</f>
        <v/>
      </c>
      <c r="K101" s="10">
        <f>IF(OR($A101="",K$84&gt;TODAY()),"",COUNTIFS('CCS追っかけ'!$B$5:$B$504,$A101,'CCS追っかけ'!$P$5:$P$504,"✅正式",'CCS追っかけ'!$Q$5:$Q$504,"&gt;="&amp;K$84,'CCS追っかけ'!$Q$5:$Q$504,"&lt;"&amp;(K$84+7)))</f>
        <v/>
      </c>
      <c r="L101" s="10">
        <f>IF(OR($A101="",L$84&gt;TODAY()),"",COUNTIFS('CCS追っかけ'!$B$5:$B$504,$A101,'CCS追っかけ'!$P$5:$P$504,"✅正式",'CCS追っかけ'!$Q$5:$Q$504,"&gt;="&amp;L$84,'CCS追っかけ'!$Q$5:$Q$504,"&lt;"&amp;(L$84+7)))</f>
        <v/>
      </c>
      <c r="M101" s="10">
        <f>IF(OR($A101="",M$84&gt;TODAY()),"",COUNTIFS('CCS追っかけ'!$B$5:$B$504,$A101,'CCS追っかけ'!$P$5:$P$504,"✅正式",'CCS追っかけ'!$Q$5:$Q$504,"&gt;="&amp;M$84,'CCS追っかけ'!$Q$5:$Q$504,"&lt;"&amp;(M$84+7)))</f>
        <v/>
      </c>
      <c r="N101" s="10">
        <f>IF(OR($A101="",N$84&gt;TODAY()),"",COUNTIFS('CCS追っかけ'!$B$5:$B$504,$A101,'CCS追っかけ'!$P$5:$P$504,"✅正式",'CCS追っかけ'!$Q$5:$Q$504,"&gt;="&amp;N$84,'CCS追っかけ'!$Q$5:$Q$504,"&lt;"&amp;(N$84+7)))</f>
        <v/>
      </c>
      <c r="O101" s="19">
        <f>IF($A101="","",SUM(B101:N101))</f>
        <v/>
      </c>
    </row>
    <row r="102">
      <c r="A102" s="15">
        <f>'📊ダッシュボード'!A25&amp;""</f>
        <v/>
      </c>
      <c r="B102" s="10">
        <f>IF(OR($A102="",B$84&gt;TODAY()),"",COUNTIFS('CCS追っかけ'!$B$5:$B$504,$A102,'CCS追っかけ'!$P$5:$P$504,"✅正式",'CCS追っかけ'!$Q$5:$Q$504,"&gt;="&amp;B$84,'CCS追っかけ'!$Q$5:$Q$504,"&lt;"&amp;(B$84+7)))</f>
        <v/>
      </c>
      <c r="C102" s="10">
        <f>IF(OR($A102="",C$84&gt;TODAY()),"",COUNTIFS('CCS追っかけ'!$B$5:$B$504,$A102,'CCS追っかけ'!$P$5:$P$504,"✅正式",'CCS追っかけ'!$Q$5:$Q$504,"&gt;="&amp;C$84,'CCS追っかけ'!$Q$5:$Q$504,"&lt;"&amp;(C$84+7)))</f>
        <v/>
      </c>
      <c r="D102" s="10">
        <f>IF(OR($A102="",D$84&gt;TODAY()),"",COUNTIFS('CCS追っかけ'!$B$5:$B$504,$A102,'CCS追っかけ'!$P$5:$P$504,"✅正式",'CCS追っかけ'!$Q$5:$Q$504,"&gt;="&amp;D$84,'CCS追っかけ'!$Q$5:$Q$504,"&lt;"&amp;(D$84+7)))</f>
        <v/>
      </c>
      <c r="E102" s="10">
        <f>IF(OR($A102="",E$84&gt;TODAY()),"",COUNTIFS('CCS追っかけ'!$B$5:$B$504,$A102,'CCS追っかけ'!$P$5:$P$504,"✅正式",'CCS追っかけ'!$Q$5:$Q$504,"&gt;="&amp;E$84,'CCS追っかけ'!$Q$5:$Q$504,"&lt;"&amp;(E$84+7)))</f>
        <v/>
      </c>
      <c r="F102" s="10">
        <f>IF(OR($A102="",F$84&gt;TODAY()),"",COUNTIFS('CCS追っかけ'!$B$5:$B$504,$A102,'CCS追っかけ'!$P$5:$P$504,"✅正式",'CCS追っかけ'!$Q$5:$Q$504,"&gt;="&amp;F$84,'CCS追っかけ'!$Q$5:$Q$504,"&lt;"&amp;(F$84+7)))</f>
        <v/>
      </c>
      <c r="G102" s="10">
        <f>IF(OR($A102="",G$84&gt;TODAY()),"",COUNTIFS('CCS追っかけ'!$B$5:$B$504,$A102,'CCS追っかけ'!$P$5:$P$504,"✅正式",'CCS追っかけ'!$Q$5:$Q$504,"&gt;="&amp;G$84,'CCS追っかけ'!$Q$5:$Q$504,"&lt;"&amp;(G$84+7)))</f>
        <v/>
      </c>
      <c r="H102" s="10">
        <f>IF(OR($A102="",H$84&gt;TODAY()),"",COUNTIFS('CCS追っかけ'!$B$5:$B$504,$A102,'CCS追っかけ'!$P$5:$P$504,"✅正式",'CCS追っかけ'!$Q$5:$Q$504,"&gt;="&amp;H$84,'CCS追っかけ'!$Q$5:$Q$504,"&lt;"&amp;(H$84+7)))</f>
        <v/>
      </c>
      <c r="I102" s="10">
        <f>IF(OR($A102="",I$84&gt;TODAY()),"",COUNTIFS('CCS追っかけ'!$B$5:$B$504,$A102,'CCS追っかけ'!$P$5:$P$504,"✅正式",'CCS追っかけ'!$Q$5:$Q$504,"&gt;="&amp;I$84,'CCS追っかけ'!$Q$5:$Q$504,"&lt;"&amp;(I$84+7)))</f>
        <v/>
      </c>
      <c r="J102" s="10">
        <f>IF(OR($A102="",J$84&gt;TODAY()),"",COUNTIFS('CCS追っかけ'!$B$5:$B$504,$A102,'CCS追っかけ'!$P$5:$P$504,"✅正式",'CCS追っかけ'!$Q$5:$Q$504,"&gt;="&amp;J$84,'CCS追っかけ'!$Q$5:$Q$504,"&lt;"&amp;(J$84+7)))</f>
        <v/>
      </c>
      <c r="K102" s="10">
        <f>IF(OR($A102="",K$84&gt;TODAY()),"",COUNTIFS('CCS追っかけ'!$B$5:$B$504,$A102,'CCS追っかけ'!$P$5:$P$504,"✅正式",'CCS追っかけ'!$Q$5:$Q$504,"&gt;="&amp;K$84,'CCS追っかけ'!$Q$5:$Q$504,"&lt;"&amp;(K$84+7)))</f>
        <v/>
      </c>
      <c r="L102" s="10">
        <f>IF(OR($A102="",L$84&gt;TODAY()),"",COUNTIFS('CCS追っかけ'!$B$5:$B$504,$A102,'CCS追っかけ'!$P$5:$P$504,"✅正式",'CCS追っかけ'!$Q$5:$Q$504,"&gt;="&amp;L$84,'CCS追っかけ'!$Q$5:$Q$504,"&lt;"&amp;(L$84+7)))</f>
        <v/>
      </c>
      <c r="M102" s="10">
        <f>IF(OR($A102="",M$84&gt;TODAY()),"",COUNTIFS('CCS追っかけ'!$B$5:$B$504,$A102,'CCS追っかけ'!$P$5:$P$504,"✅正式",'CCS追っかけ'!$Q$5:$Q$504,"&gt;="&amp;M$84,'CCS追っかけ'!$Q$5:$Q$504,"&lt;"&amp;(M$84+7)))</f>
        <v/>
      </c>
      <c r="N102" s="10">
        <f>IF(OR($A102="",N$84&gt;TODAY()),"",COUNTIFS('CCS追っかけ'!$B$5:$B$504,$A102,'CCS追っかけ'!$P$5:$P$504,"✅正式",'CCS追っかけ'!$Q$5:$Q$504,"&gt;="&amp;N$84,'CCS追っかけ'!$Q$5:$Q$504,"&lt;"&amp;(N$84+7)))</f>
        <v/>
      </c>
      <c r="O102" s="19">
        <f>IF($A102="","",SUM(B102:N102))</f>
        <v/>
      </c>
    </row>
    <row r="103">
      <c r="A103" s="15">
        <f>'📊ダッシュボード'!A26&amp;""</f>
        <v/>
      </c>
      <c r="B103" s="10">
        <f>IF(OR($A103="",B$84&gt;TODAY()),"",COUNTIFS('CCS追っかけ'!$B$5:$B$504,$A103,'CCS追っかけ'!$P$5:$P$504,"✅正式",'CCS追っかけ'!$Q$5:$Q$504,"&gt;="&amp;B$84,'CCS追っかけ'!$Q$5:$Q$504,"&lt;"&amp;(B$84+7)))</f>
        <v/>
      </c>
      <c r="C103" s="10">
        <f>IF(OR($A103="",C$84&gt;TODAY()),"",COUNTIFS('CCS追っかけ'!$B$5:$B$504,$A103,'CCS追っかけ'!$P$5:$P$504,"✅正式",'CCS追っかけ'!$Q$5:$Q$504,"&gt;="&amp;C$84,'CCS追っかけ'!$Q$5:$Q$504,"&lt;"&amp;(C$84+7)))</f>
        <v/>
      </c>
      <c r="D103" s="10">
        <f>IF(OR($A103="",D$84&gt;TODAY()),"",COUNTIFS('CCS追っかけ'!$B$5:$B$504,$A103,'CCS追っかけ'!$P$5:$P$504,"✅正式",'CCS追っかけ'!$Q$5:$Q$504,"&gt;="&amp;D$84,'CCS追っかけ'!$Q$5:$Q$504,"&lt;"&amp;(D$84+7)))</f>
        <v/>
      </c>
      <c r="E103" s="10">
        <f>IF(OR($A103="",E$84&gt;TODAY()),"",COUNTIFS('CCS追っかけ'!$B$5:$B$504,$A103,'CCS追っかけ'!$P$5:$P$504,"✅正式",'CCS追っかけ'!$Q$5:$Q$504,"&gt;="&amp;E$84,'CCS追っかけ'!$Q$5:$Q$504,"&lt;"&amp;(E$84+7)))</f>
        <v/>
      </c>
      <c r="F103" s="10">
        <f>IF(OR($A103="",F$84&gt;TODAY()),"",COUNTIFS('CCS追っかけ'!$B$5:$B$504,$A103,'CCS追っかけ'!$P$5:$P$504,"✅正式",'CCS追っかけ'!$Q$5:$Q$504,"&gt;="&amp;F$84,'CCS追っかけ'!$Q$5:$Q$504,"&lt;"&amp;(F$84+7)))</f>
        <v/>
      </c>
      <c r="G103" s="10">
        <f>IF(OR($A103="",G$84&gt;TODAY()),"",COUNTIFS('CCS追っかけ'!$B$5:$B$504,$A103,'CCS追っかけ'!$P$5:$P$504,"✅正式",'CCS追っかけ'!$Q$5:$Q$504,"&gt;="&amp;G$84,'CCS追っかけ'!$Q$5:$Q$504,"&lt;"&amp;(G$84+7)))</f>
        <v/>
      </c>
      <c r="H103" s="10">
        <f>IF(OR($A103="",H$84&gt;TODAY()),"",COUNTIFS('CCS追っかけ'!$B$5:$B$504,$A103,'CCS追っかけ'!$P$5:$P$504,"✅正式",'CCS追っかけ'!$Q$5:$Q$504,"&gt;="&amp;H$84,'CCS追っかけ'!$Q$5:$Q$504,"&lt;"&amp;(H$84+7)))</f>
        <v/>
      </c>
      <c r="I103" s="10">
        <f>IF(OR($A103="",I$84&gt;TODAY()),"",COUNTIFS('CCS追っかけ'!$B$5:$B$504,$A103,'CCS追っかけ'!$P$5:$P$504,"✅正式",'CCS追っかけ'!$Q$5:$Q$504,"&gt;="&amp;I$84,'CCS追っかけ'!$Q$5:$Q$504,"&lt;"&amp;(I$84+7)))</f>
        <v/>
      </c>
      <c r="J103" s="10">
        <f>IF(OR($A103="",J$84&gt;TODAY()),"",COUNTIFS('CCS追っかけ'!$B$5:$B$504,$A103,'CCS追っかけ'!$P$5:$P$504,"✅正式",'CCS追っかけ'!$Q$5:$Q$504,"&gt;="&amp;J$84,'CCS追っかけ'!$Q$5:$Q$504,"&lt;"&amp;(J$84+7)))</f>
        <v/>
      </c>
      <c r="K103" s="10">
        <f>IF(OR($A103="",K$84&gt;TODAY()),"",COUNTIFS('CCS追っかけ'!$B$5:$B$504,$A103,'CCS追っかけ'!$P$5:$P$504,"✅正式",'CCS追っかけ'!$Q$5:$Q$504,"&gt;="&amp;K$84,'CCS追っかけ'!$Q$5:$Q$504,"&lt;"&amp;(K$84+7)))</f>
        <v/>
      </c>
      <c r="L103" s="10">
        <f>IF(OR($A103="",L$84&gt;TODAY()),"",COUNTIFS('CCS追っかけ'!$B$5:$B$504,$A103,'CCS追っかけ'!$P$5:$P$504,"✅正式",'CCS追っかけ'!$Q$5:$Q$504,"&gt;="&amp;L$84,'CCS追っかけ'!$Q$5:$Q$504,"&lt;"&amp;(L$84+7)))</f>
        <v/>
      </c>
      <c r="M103" s="10">
        <f>IF(OR($A103="",M$84&gt;TODAY()),"",COUNTIFS('CCS追っかけ'!$B$5:$B$504,$A103,'CCS追っかけ'!$P$5:$P$504,"✅正式",'CCS追っかけ'!$Q$5:$Q$504,"&gt;="&amp;M$84,'CCS追っかけ'!$Q$5:$Q$504,"&lt;"&amp;(M$84+7)))</f>
        <v/>
      </c>
      <c r="N103" s="10">
        <f>IF(OR($A103="",N$84&gt;TODAY()),"",COUNTIFS('CCS追っかけ'!$B$5:$B$504,$A103,'CCS追っかけ'!$P$5:$P$504,"✅正式",'CCS追っかけ'!$Q$5:$Q$504,"&gt;="&amp;N$84,'CCS追っかけ'!$Q$5:$Q$504,"&lt;"&amp;(N$84+7)))</f>
        <v/>
      </c>
      <c r="O103" s="19">
        <f>IF($A103="","",SUM(B103:N103))</f>
        <v/>
      </c>
    </row>
    <row r="104">
      <c r="A104" s="15">
        <f>'📊ダッシュボード'!A27&amp;""</f>
        <v/>
      </c>
      <c r="B104" s="10">
        <f>IF(OR($A104="",B$84&gt;TODAY()),"",COUNTIFS('CCS追っかけ'!$B$5:$B$504,$A104,'CCS追っかけ'!$P$5:$P$504,"✅正式",'CCS追っかけ'!$Q$5:$Q$504,"&gt;="&amp;B$84,'CCS追っかけ'!$Q$5:$Q$504,"&lt;"&amp;(B$84+7)))</f>
        <v/>
      </c>
      <c r="C104" s="10">
        <f>IF(OR($A104="",C$84&gt;TODAY()),"",COUNTIFS('CCS追っかけ'!$B$5:$B$504,$A104,'CCS追っかけ'!$P$5:$P$504,"✅正式",'CCS追っかけ'!$Q$5:$Q$504,"&gt;="&amp;C$84,'CCS追っかけ'!$Q$5:$Q$504,"&lt;"&amp;(C$84+7)))</f>
        <v/>
      </c>
      <c r="D104" s="10">
        <f>IF(OR($A104="",D$84&gt;TODAY()),"",COUNTIFS('CCS追っかけ'!$B$5:$B$504,$A104,'CCS追っかけ'!$P$5:$P$504,"✅正式",'CCS追っかけ'!$Q$5:$Q$504,"&gt;="&amp;D$84,'CCS追っかけ'!$Q$5:$Q$504,"&lt;"&amp;(D$84+7)))</f>
        <v/>
      </c>
      <c r="E104" s="10">
        <f>IF(OR($A104="",E$84&gt;TODAY()),"",COUNTIFS('CCS追っかけ'!$B$5:$B$504,$A104,'CCS追っかけ'!$P$5:$P$504,"✅正式",'CCS追っかけ'!$Q$5:$Q$504,"&gt;="&amp;E$84,'CCS追っかけ'!$Q$5:$Q$504,"&lt;"&amp;(E$84+7)))</f>
        <v/>
      </c>
      <c r="F104" s="10">
        <f>IF(OR($A104="",F$84&gt;TODAY()),"",COUNTIFS('CCS追っかけ'!$B$5:$B$504,$A104,'CCS追っかけ'!$P$5:$P$504,"✅正式",'CCS追っかけ'!$Q$5:$Q$504,"&gt;="&amp;F$84,'CCS追っかけ'!$Q$5:$Q$504,"&lt;"&amp;(F$84+7)))</f>
        <v/>
      </c>
      <c r="G104" s="10">
        <f>IF(OR($A104="",G$84&gt;TODAY()),"",COUNTIFS('CCS追っかけ'!$B$5:$B$504,$A104,'CCS追っかけ'!$P$5:$P$504,"✅正式",'CCS追っかけ'!$Q$5:$Q$504,"&gt;="&amp;G$84,'CCS追っかけ'!$Q$5:$Q$504,"&lt;"&amp;(G$84+7)))</f>
        <v/>
      </c>
      <c r="H104" s="10">
        <f>IF(OR($A104="",H$84&gt;TODAY()),"",COUNTIFS('CCS追っかけ'!$B$5:$B$504,$A104,'CCS追っかけ'!$P$5:$P$504,"✅正式",'CCS追っかけ'!$Q$5:$Q$504,"&gt;="&amp;H$84,'CCS追っかけ'!$Q$5:$Q$504,"&lt;"&amp;(H$84+7)))</f>
        <v/>
      </c>
      <c r="I104" s="10">
        <f>IF(OR($A104="",I$84&gt;TODAY()),"",COUNTIFS('CCS追っかけ'!$B$5:$B$504,$A104,'CCS追っかけ'!$P$5:$P$504,"✅正式",'CCS追っかけ'!$Q$5:$Q$504,"&gt;="&amp;I$84,'CCS追っかけ'!$Q$5:$Q$504,"&lt;"&amp;(I$84+7)))</f>
        <v/>
      </c>
      <c r="J104" s="10">
        <f>IF(OR($A104="",J$84&gt;TODAY()),"",COUNTIFS('CCS追っかけ'!$B$5:$B$504,$A104,'CCS追っかけ'!$P$5:$P$504,"✅正式",'CCS追っかけ'!$Q$5:$Q$504,"&gt;="&amp;J$84,'CCS追っかけ'!$Q$5:$Q$504,"&lt;"&amp;(J$84+7)))</f>
        <v/>
      </c>
      <c r="K104" s="10">
        <f>IF(OR($A104="",K$84&gt;TODAY()),"",COUNTIFS('CCS追っかけ'!$B$5:$B$504,$A104,'CCS追っかけ'!$P$5:$P$504,"✅正式",'CCS追っかけ'!$Q$5:$Q$504,"&gt;="&amp;K$84,'CCS追っかけ'!$Q$5:$Q$504,"&lt;"&amp;(K$84+7)))</f>
        <v/>
      </c>
      <c r="L104" s="10">
        <f>IF(OR($A104="",L$84&gt;TODAY()),"",COUNTIFS('CCS追っかけ'!$B$5:$B$504,$A104,'CCS追っかけ'!$P$5:$P$504,"✅正式",'CCS追っかけ'!$Q$5:$Q$504,"&gt;="&amp;L$84,'CCS追っかけ'!$Q$5:$Q$504,"&lt;"&amp;(L$84+7)))</f>
        <v/>
      </c>
      <c r="M104" s="10">
        <f>IF(OR($A104="",M$84&gt;TODAY()),"",COUNTIFS('CCS追っかけ'!$B$5:$B$504,$A104,'CCS追っかけ'!$P$5:$P$504,"✅正式",'CCS追っかけ'!$Q$5:$Q$504,"&gt;="&amp;M$84,'CCS追っかけ'!$Q$5:$Q$504,"&lt;"&amp;(M$84+7)))</f>
        <v/>
      </c>
      <c r="N104" s="10">
        <f>IF(OR($A104="",N$84&gt;TODAY()),"",COUNTIFS('CCS追っかけ'!$B$5:$B$504,$A104,'CCS追っかけ'!$P$5:$P$504,"✅正式",'CCS追っかけ'!$Q$5:$Q$504,"&gt;="&amp;N$84,'CCS追っかけ'!$Q$5:$Q$504,"&lt;"&amp;(N$84+7)))</f>
        <v/>
      </c>
      <c r="O104" s="19">
        <f>IF($A104="","",SUM(B104:N104))</f>
        <v/>
      </c>
    </row>
    <row r="105">
      <c r="A105" s="20" t="inlineStr">
        <is>
          <t>リージョン合計</t>
        </is>
      </c>
      <c r="B105" s="21">
        <f>IF(B$84&gt;TODAY(),"",SUM(B85:B104))</f>
        <v/>
      </c>
      <c r="C105" s="21">
        <f>IF(C$84&gt;TODAY(),"",SUM(C85:C104))</f>
        <v/>
      </c>
      <c r="D105" s="21">
        <f>IF(D$84&gt;TODAY(),"",SUM(D85:D104))</f>
        <v/>
      </c>
      <c r="E105" s="21">
        <f>IF(E$84&gt;TODAY(),"",SUM(E85:E104))</f>
        <v/>
      </c>
      <c r="F105" s="21">
        <f>IF(F$84&gt;TODAY(),"",SUM(F85:F104))</f>
        <v/>
      </c>
      <c r="G105" s="21">
        <f>IF(G$84&gt;TODAY(),"",SUM(G85:G104))</f>
        <v/>
      </c>
      <c r="H105" s="21">
        <f>IF(H$84&gt;TODAY(),"",SUM(H85:H104))</f>
        <v/>
      </c>
      <c r="I105" s="21">
        <f>IF(I$84&gt;TODAY(),"",SUM(I85:I104))</f>
        <v/>
      </c>
      <c r="J105" s="21">
        <f>IF(J$84&gt;TODAY(),"",SUM(J85:J104))</f>
        <v/>
      </c>
      <c r="K105" s="21">
        <f>IF(K$84&gt;TODAY(),"",SUM(K85:K104))</f>
        <v/>
      </c>
      <c r="L105" s="21">
        <f>IF(L$84&gt;TODAY(),"",SUM(L85:L104))</f>
        <v/>
      </c>
      <c r="M105" s="21">
        <f>IF(M$84&gt;TODAY(),"",SUM(M85:M104))</f>
        <v/>
      </c>
      <c r="N105" s="21">
        <f>IF(N$84&gt;TODAY(),"",SUM(N85:N104))</f>
        <v/>
      </c>
      <c r="O105" s="21">
        <f>SUM(O85:O104)</f>
        <v/>
      </c>
    </row>
  </sheetData>
  <conditionalFormatting sqref="B7:N27">
    <cfRule type="expression" priority="1" dxfId="6">
      <formula>AND(TODAY()&gt;=B$6,TODAY()&lt;B$6+7)</formula>
    </cfRule>
  </conditionalFormatting>
  <conditionalFormatting sqref="B7:N26">
    <cfRule type="expression" priority="2" dxfId="4">
      <formula>AND($A7&lt;&gt;"",ISNUMBER(B7),B7=0,B$6+7&lt;=TODAY())</formula>
    </cfRule>
  </conditionalFormatting>
  <conditionalFormatting sqref="B6:N6">
    <cfRule type="expression" priority="3" dxfId="7">
      <formula>AND(TODAY()&gt;=B$6,TODAY()&lt;B$6+7)</formula>
    </cfRule>
  </conditionalFormatting>
  <conditionalFormatting sqref="B33:N53">
    <cfRule type="expression" priority="4" dxfId="6">
      <formula>AND(TODAY()&gt;=B$32,TODAY()&lt;B$32+7)</formula>
    </cfRule>
  </conditionalFormatting>
  <conditionalFormatting sqref="B33:N52">
    <cfRule type="expression" priority="5" dxfId="4">
      <formula>AND($A33&lt;&gt;"",ISNUMBER(B33),B33=0,B$32+7&lt;=TODAY())</formula>
    </cfRule>
  </conditionalFormatting>
  <conditionalFormatting sqref="B32:N32">
    <cfRule type="expression" priority="6" dxfId="7">
      <formula>AND(TODAY()&gt;=B$32,TODAY()&lt;B$32+7)</formula>
    </cfRule>
  </conditionalFormatting>
  <conditionalFormatting sqref="B59:N79">
    <cfRule type="expression" priority="7" dxfId="6">
      <formula>AND(TODAY()&gt;=B$58,TODAY()&lt;B$58+7)</formula>
    </cfRule>
  </conditionalFormatting>
  <conditionalFormatting sqref="B59:N78">
    <cfRule type="expression" priority="8" dxfId="4">
      <formula>AND($A59&lt;&gt;"",ISNUMBER(B59),B59=0,B$58+7&lt;=TODAY())</formula>
    </cfRule>
  </conditionalFormatting>
  <conditionalFormatting sqref="B58:N58">
    <cfRule type="expression" priority="9" dxfId="7">
      <formula>AND(TODAY()&gt;=B$58,TODAY()&lt;B$58+7)</formula>
    </cfRule>
  </conditionalFormatting>
  <conditionalFormatting sqref="B85:N105">
    <cfRule type="expression" priority="10" dxfId="6">
      <formula>AND(TODAY()&gt;=B$84,TODAY()&lt;B$84+7)</formula>
    </cfRule>
  </conditionalFormatting>
  <conditionalFormatting sqref="B85:N104">
    <cfRule type="expression" priority="11" dxfId="4">
      <formula>AND($A85&lt;&gt;"",ISNUMBER(B85),B85=0,B$84+7&lt;=TODAY())</formula>
    </cfRule>
  </conditionalFormatting>
  <conditionalFormatting sqref="B84:N84">
    <cfRule type="expression" priority="12" dxfId="7">
      <formula>AND(TODAY()&gt;=B$84,TODAY()&lt;B$84+7)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0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3" customWidth="1" min="4" max="4"/>
    <col width="13" customWidth="1" min="5" max="5"/>
    <col width="14" customWidth="1" min="6" max="6"/>
    <col width="16" customWidth="1" min="7" max="7"/>
    <col width="13" customWidth="1" min="8" max="8"/>
    <col width="20" customWidth="1" min="9" max="9"/>
    <col width="16" customWidth="1" min="10" max="10"/>
    <col width="11" customWidth="1" min="11" max="11"/>
    <col width="12" customWidth="1" min="12" max="12"/>
    <col width="7" customWidth="1" min="13" max="13"/>
    <col width="7" customWidth="1" min="14" max="14"/>
    <col width="8" customWidth="1" min="15" max="15"/>
    <col width="9" customWidth="1" min="16" max="16"/>
    <col width="11" customWidth="1" min="17" max="17"/>
    <col width="11" customWidth="1" min="18" max="18"/>
    <col width="6" customWidth="1" min="19" max="19"/>
    <col width="24" customWidth="1" min="20" max="20"/>
    <col width="11" customWidth="1" min="21" max="21"/>
    <col width="7" customWidth="1" min="22" max="22"/>
    <col width="22" customWidth="1" min="23" max="23"/>
    <col width="9" customWidth="1" min="24" max="24"/>
    <col width="22" customWidth="1" min="25" max="25"/>
  </cols>
  <sheetData>
    <row r="1">
      <c r="A1" s="1" t="inlineStr">
        <is>
          <t>CCS追っかけ（リストアップ〜入会まで・全ローンチ共通・1人1行）</t>
        </is>
      </c>
    </row>
    <row r="2">
      <c r="A2" s="2" t="inlineStr">
        <is>
          <t>担当＝リストアップしたメンバー。担当がCCSまで追いかけます。申込書・振込控え・プリコア同意書の3つが✓で『✅正式』（RCSローンチ方針(7)）。現状や✓を編集すると最終接触日は自動で今日（GAS）</t>
        </is>
      </c>
    </row>
    <row r="4" ht="32" customHeight="1">
      <c r="A4" s="8" t="inlineStr">
        <is>
          <t>No</t>
        </is>
      </c>
      <c r="B4" s="8" t="inlineStr">
        <is>
          <t>ローンチ（LD名）</t>
        </is>
      </c>
      <c r="C4" s="8" t="inlineStr">
        <is>
          <t>担当（リストアップしたメンバー）</t>
        </is>
      </c>
      <c r="D4" s="8" t="inlineStr">
        <is>
          <t>見込み客名</t>
        </is>
      </c>
      <c r="E4" s="8" t="inlineStr">
        <is>
          <t>ふりがな</t>
        </is>
      </c>
      <c r="F4" s="8" t="inlineStr">
        <is>
          <t>カテゴリー</t>
        </is>
      </c>
      <c r="G4" s="8" t="inlineStr">
        <is>
          <t>会社名</t>
        </is>
      </c>
      <c r="H4" s="8" t="inlineStr">
        <is>
          <t>電話番号</t>
        </is>
      </c>
      <c r="I4" s="8" t="inlineStr">
        <is>
          <t>メール</t>
        </is>
      </c>
      <c r="J4" s="8" t="inlineStr">
        <is>
          <t>現状</t>
        </is>
      </c>
      <c r="K4" s="8" t="inlineStr">
        <is>
          <t>CCS日</t>
        </is>
      </c>
      <c r="L4" s="8" t="inlineStr">
        <is>
          <t>CCS実施（DNA）</t>
        </is>
      </c>
      <c r="M4" s="8" t="inlineStr">
        <is>
          <t>申込書</t>
        </is>
      </c>
      <c r="N4" s="8" t="inlineStr">
        <is>
          <t>振込控え</t>
        </is>
      </c>
      <c r="O4" s="8" t="inlineStr">
        <is>
          <t>プリコア同意書</t>
        </is>
      </c>
      <c r="P4" s="8" t="inlineStr">
        <is>
          <t>手続き判定</t>
        </is>
      </c>
      <c r="Q4" s="8" t="inlineStr">
        <is>
          <t>正式化日</t>
        </is>
      </c>
      <c r="R4" s="8" t="inlineStr">
        <is>
          <t>最終接触日</t>
        </is>
      </c>
      <c r="S4" s="8" t="inlineStr">
        <is>
          <t>放置日数</t>
        </is>
      </c>
      <c r="T4" s="8" t="inlineStr">
        <is>
          <t>次のアクション</t>
        </is>
      </c>
      <c r="U4" s="8" t="inlineStr">
        <is>
          <t>期日</t>
        </is>
      </c>
      <c r="V4" s="8" t="inlineStr">
        <is>
          <t>状態</t>
        </is>
      </c>
      <c r="W4" s="8" t="inlineStr">
        <is>
          <t>アラート</t>
        </is>
      </c>
      <c r="X4" s="8" t="inlineStr">
        <is>
          <t>行動リスト</t>
        </is>
      </c>
      <c r="Y4" s="8" t="inlineStr">
        <is>
          <t>備考</t>
        </is>
      </c>
    </row>
    <row r="5">
      <c r="A5" s="10">
        <f>IF(D5="","",ROW()-4)</f>
        <v/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3" t="n"/>
      <c r="K5" s="24" t="n"/>
      <c r="L5" s="22" t="n"/>
      <c r="M5" s="23" t="n"/>
      <c r="N5" s="23" t="n"/>
      <c r="O5" s="23" t="n"/>
      <c r="P5" s="10">
        <f>IF(D5="","",IF(AND(M5="✓",N5="✓",O5="✓"),"✅正式",IF(M5&amp;N5&amp;O5="","入会前","手続き中")))</f>
        <v/>
      </c>
      <c r="Q5" s="24" t="n"/>
      <c r="R5" s="24" t="n"/>
      <c r="S5" s="10">
        <f>IF(OR(D5="",R5=""),"",TODAY()-R5)</f>
        <v/>
      </c>
      <c r="T5" s="22" t="n"/>
      <c r="U5" s="24" t="n"/>
      <c r="V5" s="23" t="n"/>
      <c r="W5" s="14">
        <f>IF(OR(D5="",V5="辞退",V5="保留",P5="✅正式"),"",TRIM(IF(AND(U5&lt;&gt;"",U5&lt;TODAY()),"期日超過 ","")&amp;IF(AND(S5&lt;&gt;"",S5&gt;='設定'!$B$9),"放置"&amp;S5&amp;"日 ","")&amp;IF(AND(J5="CCS済",M5&lt;&gt;"✓"),"CCS後の申込待ち ","")&amp;IF(AND(M5="✓",N5&lt;&gt;"✓"),"振込待ち ","")&amp;IF(AND(N5="✓",O5&lt;&gt;"✓"),"同意書待ち ","")&amp;IF(T5="","次アクション未設定","")))</f>
        <v/>
      </c>
      <c r="X5" s="10" t="n"/>
      <c r="Y5" s="22" t="n"/>
    </row>
    <row r="6">
      <c r="A6" s="10">
        <f>IF(D6="","",ROW()-4)</f>
        <v/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3" t="n"/>
      <c r="K6" s="24" t="n"/>
      <c r="L6" s="22" t="n"/>
      <c r="M6" s="23" t="n"/>
      <c r="N6" s="23" t="n"/>
      <c r="O6" s="23" t="n"/>
      <c r="P6" s="10">
        <f>IF(D6="","",IF(AND(M6="✓",N6="✓",O6="✓"),"✅正式",IF(M6&amp;N6&amp;O6="","入会前","手続き中")))</f>
        <v/>
      </c>
      <c r="Q6" s="24" t="n"/>
      <c r="R6" s="24" t="n"/>
      <c r="S6" s="10">
        <f>IF(OR(D6="",R6=""),"",TODAY()-R6)</f>
        <v/>
      </c>
      <c r="T6" s="22" t="n"/>
      <c r="U6" s="24" t="n"/>
      <c r="V6" s="23" t="n"/>
      <c r="W6" s="14">
        <f>IF(OR(D6="",V6="辞退",V6="保留",P6="✅正式"),"",TRIM(IF(AND(U6&lt;&gt;"",U6&lt;TODAY()),"期日超過 ","")&amp;IF(AND(S6&lt;&gt;"",S6&gt;='設定'!$B$9),"放置"&amp;S6&amp;"日 ","")&amp;IF(AND(J6="CCS済",M6&lt;&gt;"✓"),"CCS後の申込待ち ","")&amp;IF(AND(M6="✓",N6&lt;&gt;"✓"),"振込待ち ","")&amp;IF(AND(N6="✓",O6&lt;&gt;"✓"),"同意書待ち ","")&amp;IF(T6="","次アクション未設定","")))</f>
        <v/>
      </c>
      <c r="X6" s="10" t="n"/>
      <c r="Y6" s="22" t="n"/>
    </row>
    <row r="7">
      <c r="A7" s="10">
        <f>IF(D7="","",ROW()-4)</f>
        <v/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3" t="n"/>
      <c r="K7" s="24" t="n"/>
      <c r="L7" s="22" t="n"/>
      <c r="M7" s="23" t="n"/>
      <c r="N7" s="23" t="n"/>
      <c r="O7" s="23" t="n"/>
      <c r="P7" s="10">
        <f>IF(D7="","",IF(AND(M7="✓",N7="✓",O7="✓"),"✅正式",IF(M7&amp;N7&amp;O7="","入会前","手続き中")))</f>
        <v/>
      </c>
      <c r="Q7" s="24" t="n"/>
      <c r="R7" s="24" t="n"/>
      <c r="S7" s="10">
        <f>IF(OR(D7="",R7=""),"",TODAY()-R7)</f>
        <v/>
      </c>
      <c r="T7" s="22" t="n"/>
      <c r="U7" s="24" t="n"/>
      <c r="V7" s="23" t="n"/>
      <c r="W7" s="14">
        <f>IF(OR(D7="",V7="辞退",V7="保留",P7="✅正式"),"",TRIM(IF(AND(U7&lt;&gt;"",U7&lt;TODAY()),"期日超過 ","")&amp;IF(AND(S7&lt;&gt;"",S7&gt;='設定'!$B$9),"放置"&amp;S7&amp;"日 ","")&amp;IF(AND(J7="CCS済",M7&lt;&gt;"✓"),"CCS後の申込待ち ","")&amp;IF(AND(M7="✓",N7&lt;&gt;"✓"),"振込待ち ","")&amp;IF(AND(N7="✓",O7&lt;&gt;"✓"),"同意書待ち ","")&amp;IF(T7="","次アクション未設定","")))</f>
        <v/>
      </c>
      <c r="X7" s="10" t="n"/>
      <c r="Y7" s="22" t="n"/>
    </row>
    <row r="8">
      <c r="A8" s="10">
        <f>IF(D8="","",ROW()-4)</f>
        <v/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3" t="n"/>
      <c r="K8" s="24" t="n"/>
      <c r="L8" s="22" t="n"/>
      <c r="M8" s="23" t="n"/>
      <c r="N8" s="23" t="n"/>
      <c r="O8" s="23" t="n"/>
      <c r="P8" s="10">
        <f>IF(D8="","",IF(AND(M8="✓",N8="✓",O8="✓"),"✅正式",IF(M8&amp;N8&amp;O8="","入会前","手続き中")))</f>
        <v/>
      </c>
      <c r="Q8" s="24" t="n"/>
      <c r="R8" s="24" t="n"/>
      <c r="S8" s="10">
        <f>IF(OR(D8="",R8=""),"",TODAY()-R8)</f>
        <v/>
      </c>
      <c r="T8" s="22" t="n"/>
      <c r="U8" s="24" t="n"/>
      <c r="V8" s="23" t="n"/>
      <c r="W8" s="14">
        <f>IF(OR(D8="",V8="辞退",V8="保留",P8="✅正式"),"",TRIM(IF(AND(U8&lt;&gt;"",U8&lt;TODAY()),"期日超過 ","")&amp;IF(AND(S8&lt;&gt;"",S8&gt;='設定'!$B$9),"放置"&amp;S8&amp;"日 ","")&amp;IF(AND(J8="CCS済",M8&lt;&gt;"✓"),"CCS後の申込待ち ","")&amp;IF(AND(M8="✓",N8&lt;&gt;"✓"),"振込待ち ","")&amp;IF(AND(N8="✓",O8&lt;&gt;"✓"),"同意書待ち ","")&amp;IF(T8="","次アクション未設定","")))</f>
        <v/>
      </c>
      <c r="X8" s="10" t="n"/>
      <c r="Y8" s="22" t="n"/>
    </row>
    <row r="9">
      <c r="A9" s="10">
        <f>IF(D9="","",ROW()-4)</f>
        <v/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3" t="n"/>
      <c r="K9" s="24" t="n"/>
      <c r="L9" s="22" t="n"/>
      <c r="M9" s="23" t="n"/>
      <c r="N9" s="23" t="n"/>
      <c r="O9" s="23" t="n"/>
      <c r="P9" s="10">
        <f>IF(D9="","",IF(AND(M9="✓",N9="✓",O9="✓"),"✅正式",IF(M9&amp;N9&amp;O9="","入会前","手続き中")))</f>
        <v/>
      </c>
      <c r="Q9" s="24" t="n"/>
      <c r="R9" s="24" t="n"/>
      <c r="S9" s="10">
        <f>IF(OR(D9="",R9=""),"",TODAY()-R9)</f>
        <v/>
      </c>
      <c r="T9" s="22" t="n"/>
      <c r="U9" s="24" t="n"/>
      <c r="V9" s="23" t="n"/>
      <c r="W9" s="14">
        <f>IF(OR(D9="",V9="辞退",V9="保留",P9="✅正式"),"",TRIM(IF(AND(U9&lt;&gt;"",U9&lt;TODAY()),"期日超過 ","")&amp;IF(AND(S9&lt;&gt;"",S9&gt;='設定'!$B$9),"放置"&amp;S9&amp;"日 ","")&amp;IF(AND(J9="CCS済",M9&lt;&gt;"✓"),"CCS後の申込待ち ","")&amp;IF(AND(M9="✓",N9&lt;&gt;"✓"),"振込待ち ","")&amp;IF(AND(N9="✓",O9&lt;&gt;"✓"),"同意書待ち ","")&amp;IF(T9="","次アクション未設定","")))</f>
        <v/>
      </c>
      <c r="X9" s="10" t="n"/>
      <c r="Y9" s="22" t="n"/>
    </row>
    <row r="10">
      <c r="A10" s="10">
        <f>IF(D10="","",ROW()-4)</f>
        <v/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3" t="n"/>
      <c r="K10" s="24" t="n"/>
      <c r="L10" s="22" t="n"/>
      <c r="M10" s="23" t="n"/>
      <c r="N10" s="23" t="n"/>
      <c r="O10" s="23" t="n"/>
      <c r="P10" s="10">
        <f>IF(D10="","",IF(AND(M10="✓",N10="✓",O10="✓"),"✅正式",IF(M10&amp;N10&amp;O10="","入会前","手続き中")))</f>
        <v/>
      </c>
      <c r="Q10" s="24" t="n"/>
      <c r="R10" s="24" t="n"/>
      <c r="S10" s="10">
        <f>IF(OR(D10="",R10=""),"",TODAY()-R10)</f>
        <v/>
      </c>
      <c r="T10" s="22" t="n"/>
      <c r="U10" s="24" t="n"/>
      <c r="V10" s="23" t="n"/>
      <c r="W10" s="14">
        <f>IF(OR(D10="",V10="辞退",V10="保留",P10="✅正式"),"",TRIM(IF(AND(U10&lt;&gt;"",U10&lt;TODAY()),"期日超過 ","")&amp;IF(AND(S10&lt;&gt;"",S10&gt;='設定'!$B$9),"放置"&amp;S10&amp;"日 ","")&amp;IF(AND(J10="CCS済",M10&lt;&gt;"✓"),"CCS後の申込待ち ","")&amp;IF(AND(M10="✓",N10&lt;&gt;"✓"),"振込待ち ","")&amp;IF(AND(N10="✓",O10&lt;&gt;"✓"),"同意書待ち ","")&amp;IF(T10="","次アクション未設定","")))</f>
        <v/>
      </c>
      <c r="X10" s="10" t="n"/>
      <c r="Y10" s="22" t="n"/>
    </row>
    <row r="11">
      <c r="A11" s="10">
        <f>IF(D11="","",ROW()-4)</f>
        <v/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4" t="n"/>
      <c r="L11" s="22" t="n"/>
      <c r="M11" s="23" t="n"/>
      <c r="N11" s="23" t="n"/>
      <c r="O11" s="23" t="n"/>
      <c r="P11" s="10">
        <f>IF(D11="","",IF(AND(M11="✓",N11="✓",O11="✓"),"✅正式",IF(M11&amp;N11&amp;O11="","入会前","手続き中")))</f>
        <v/>
      </c>
      <c r="Q11" s="24" t="n"/>
      <c r="R11" s="24" t="n"/>
      <c r="S11" s="10">
        <f>IF(OR(D11="",R11=""),"",TODAY()-R11)</f>
        <v/>
      </c>
      <c r="T11" s="22" t="n"/>
      <c r="U11" s="24" t="n"/>
      <c r="V11" s="23" t="n"/>
      <c r="W11" s="14">
        <f>IF(OR(D11="",V11="辞退",V11="保留",P11="✅正式"),"",TRIM(IF(AND(U11&lt;&gt;"",U11&lt;TODAY()),"期日超過 ","")&amp;IF(AND(S11&lt;&gt;"",S11&gt;='設定'!$B$9),"放置"&amp;S11&amp;"日 ","")&amp;IF(AND(J11="CCS済",M11&lt;&gt;"✓"),"CCS後の申込待ち ","")&amp;IF(AND(M11="✓",N11&lt;&gt;"✓"),"振込待ち ","")&amp;IF(AND(N11="✓",O11&lt;&gt;"✓"),"同意書待ち ","")&amp;IF(T11="","次アクション未設定","")))</f>
        <v/>
      </c>
      <c r="X11" s="10" t="n"/>
      <c r="Y11" s="22" t="n"/>
    </row>
    <row r="12">
      <c r="A12" s="10">
        <f>IF(D12="","",ROW()-4)</f>
        <v/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3" t="n"/>
      <c r="K12" s="24" t="n"/>
      <c r="L12" s="22" t="n"/>
      <c r="M12" s="23" t="n"/>
      <c r="N12" s="23" t="n"/>
      <c r="O12" s="23" t="n"/>
      <c r="P12" s="10">
        <f>IF(D12="","",IF(AND(M12="✓",N12="✓",O12="✓"),"✅正式",IF(M12&amp;N12&amp;O12="","入会前","手続き中")))</f>
        <v/>
      </c>
      <c r="Q12" s="24" t="n"/>
      <c r="R12" s="24" t="n"/>
      <c r="S12" s="10">
        <f>IF(OR(D12="",R12=""),"",TODAY()-R12)</f>
        <v/>
      </c>
      <c r="T12" s="22" t="n"/>
      <c r="U12" s="24" t="n"/>
      <c r="V12" s="23" t="n"/>
      <c r="W12" s="14">
        <f>IF(OR(D12="",V12="辞退",V12="保留",P12="✅正式"),"",TRIM(IF(AND(U12&lt;&gt;"",U12&lt;TODAY()),"期日超過 ","")&amp;IF(AND(S12&lt;&gt;"",S12&gt;='設定'!$B$9),"放置"&amp;S12&amp;"日 ","")&amp;IF(AND(J12="CCS済",M12&lt;&gt;"✓"),"CCS後の申込待ち ","")&amp;IF(AND(M12="✓",N12&lt;&gt;"✓"),"振込待ち ","")&amp;IF(AND(N12="✓",O12&lt;&gt;"✓"),"同意書待ち ","")&amp;IF(T12="","次アクション未設定","")))</f>
        <v/>
      </c>
      <c r="X12" s="10" t="n"/>
      <c r="Y12" s="22" t="n"/>
    </row>
    <row r="13">
      <c r="A13" s="10">
        <f>IF(D13="","",ROW()-4)</f>
        <v/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4" t="n"/>
      <c r="L13" s="22" t="n"/>
      <c r="M13" s="23" t="n"/>
      <c r="N13" s="23" t="n"/>
      <c r="O13" s="23" t="n"/>
      <c r="P13" s="10">
        <f>IF(D13="","",IF(AND(M13="✓",N13="✓",O13="✓"),"✅正式",IF(M13&amp;N13&amp;O13="","入会前","手続き中")))</f>
        <v/>
      </c>
      <c r="Q13" s="24" t="n"/>
      <c r="R13" s="24" t="n"/>
      <c r="S13" s="10">
        <f>IF(OR(D13="",R13=""),"",TODAY()-R13)</f>
        <v/>
      </c>
      <c r="T13" s="22" t="n"/>
      <c r="U13" s="24" t="n"/>
      <c r="V13" s="23" t="n"/>
      <c r="W13" s="14">
        <f>IF(OR(D13="",V13="辞退",V13="保留",P13="✅正式"),"",TRIM(IF(AND(U13&lt;&gt;"",U13&lt;TODAY()),"期日超過 ","")&amp;IF(AND(S13&lt;&gt;"",S13&gt;='設定'!$B$9),"放置"&amp;S13&amp;"日 ","")&amp;IF(AND(J13="CCS済",M13&lt;&gt;"✓"),"CCS後の申込待ち ","")&amp;IF(AND(M13="✓",N13&lt;&gt;"✓"),"振込待ち ","")&amp;IF(AND(N13="✓",O13&lt;&gt;"✓"),"同意書待ち ","")&amp;IF(T13="","次アクション未設定","")))</f>
        <v/>
      </c>
      <c r="X13" s="10" t="n"/>
      <c r="Y13" s="22" t="n"/>
    </row>
    <row r="14">
      <c r="A14" s="10">
        <f>IF(D14="","",ROW()-4)</f>
        <v/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3" t="n"/>
      <c r="K14" s="24" t="n"/>
      <c r="L14" s="22" t="n"/>
      <c r="M14" s="23" t="n"/>
      <c r="N14" s="23" t="n"/>
      <c r="O14" s="23" t="n"/>
      <c r="P14" s="10">
        <f>IF(D14="","",IF(AND(M14="✓",N14="✓",O14="✓"),"✅正式",IF(M14&amp;N14&amp;O14="","入会前","手続き中")))</f>
        <v/>
      </c>
      <c r="Q14" s="24" t="n"/>
      <c r="R14" s="24" t="n"/>
      <c r="S14" s="10">
        <f>IF(OR(D14="",R14=""),"",TODAY()-R14)</f>
        <v/>
      </c>
      <c r="T14" s="22" t="n"/>
      <c r="U14" s="24" t="n"/>
      <c r="V14" s="23" t="n"/>
      <c r="W14" s="14">
        <f>IF(OR(D14="",V14="辞退",V14="保留",P14="✅正式"),"",TRIM(IF(AND(U14&lt;&gt;"",U14&lt;TODAY()),"期日超過 ","")&amp;IF(AND(S14&lt;&gt;"",S14&gt;='設定'!$B$9),"放置"&amp;S14&amp;"日 ","")&amp;IF(AND(J14="CCS済",M14&lt;&gt;"✓"),"CCS後の申込待ち ","")&amp;IF(AND(M14="✓",N14&lt;&gt;"✓"),"振込待ち ","")&amp;IF(AND(N14="✓",O14&lt;&gt;"✓"),"同意書待ち ","")&amp;IF(T14="","次アクション未設定","")))</f>
        <v/>
      </c>
      <c r="X14" s="10" t="n"/>
      <c r="Y14" s="22" t="n"/>
    </row>
    <row r="15">
      <c r="A15" s="10">
        <f>IF(D15="","",ROW()-4)</f>
        <v/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4" t="n"/>
      <c r="L15" s="22" t="n"/>
      <c r="M15" s="23" t="n"/>
      <c r="N15" s="23" t="n"/>
      <c r="O15" s="23" t="n"/>
      <c r="P15" s="10">
        <f>IF(D15="","",IF(AND(M15="✓",N15="✓",O15="✓"),"✅正式",IF(M15&amp;N15&amp;O15="","入会前","手続き中")))</f>
        <v/>
      </c>
      <c r="Q15" s="24" t="n"/>
      <c r="R15" s="24" t="n"/>
      <c r="S15" s="10">
        <f>IF(OR(D15="",R15=""),"",TODAY()-R15)</f>
        <v/>
      </c>
      <c r="T15" s="22" t="n"/>
      <c r="U15" s="24" t="n"/>
      <c r="V15" s="23" t="n"/>
      <c r="W15" s="14">
        <f>IF(OR(D15="",V15="辞退",V15="保留",P15="✅正式"),"",TRIM(IF(AND(U15&lt;&gt;"",U15&lt;TODAY()),"期日超過 ","")&amp;IF(AND(S15&lt;&gt;"",S15&gt;='設定'!$B$9),"放置"&amp;S15&amp;"日 ","")&amp;IF(AND(J15="CCS済",M15&lt;&gt;"✓"),"CCS後の申込待ち ","")&amp;IF(AND(M15="✓",N15&lt;&gt;"✓"),"振込待ち ","")&amp;IF(AND(N15="✓",O15&lt;&gt;"✓"),"同意書待ち ","")&amp;IF(T15="","次アクション未設定","")))</f>
        <v/>
      </c>
      <c r="X15" s="10" t="n"/>
      <c r="Y15" s="22" t="n"/>
    </row>
    <row r="16">
      <c r="A16" s="10">
        <f>IF(D16="","",ROW()-4)</f>
        <v/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3" t="n"/>
      <c r="K16" s="24" t="n"/>
      <c r="L16" s="22" t="n"/>
      <c r="M16" s="23" t="n"/>
      <c r="N16" s="23" t="n"/>
      <c r="O16" s="23" t="n"/>
      <c r="P16" s="10">
        <f>IF(D16="","",IF(AND(M16="✓",N16="✓",O16="✓"),"✅正式",IF(M16&amp;N16&amp;O16="","入会前","手続き中")))</f>
        <v/>
      </c>
      <c r="Q16" s="24" t="n"/>
      <c r="R16" s="24" t="n"/>
      <c r="S16" s="10">
        <f>IF(OR(D16="",R16=""),"",TODAY()-R16)</f>
        <v/>
      </c>
      <c r="T16" s="22" t="n"/>
      <c r="U16" s="24" t="n"/>
      <c r="V16" s="23" t="n"/>
      <c r="W16" s="14">
        <f>IF(OR(D16="",V16="辞退",V16="保留",P16="✅正式"),"",TRIM(IF(AND(U16&lt;&gt;"",U16&lt;TODAY()),"期日超過 ","")&amp;IF(AND(S16&lt;&gt;"",S16&gt;='設定'!$B$9),"放置"&amp;S16&amp;"日 ","")&amp;IF(AND(J16="CCS済",M16&lt;&gt;"✓"),"CCS後の申込待ち ","")&amp;IF(AND(M16="✓",N16&lt;&gt;"✓"),"振込待ち ","")&amp;IF(AND(N16="✓",O16&lt;&gt;"✓"),"同意書待ち ","")&amp;IF(T16="","次アクション未設定","")))</f>
        <v/>
      </c>
      <c r="X16" s="10" t="n"/>
      <c r="Y16" s="22" t="n"/>
    </row>
    <row r="17">
      <c r="A17" s="10">
        <f>IF(D17="","",ROW()-4)</f>
        <v/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4" t="n"/>
      <c r="L17" s="22" t="n"/>
      <c r="M17" s="23" t="n"/>
      <c r="N17" s="23" t="n"/>
      <c r="O17" s="23" t="n"/>
      <c r="P17" s="10">
        <f>IF(D17="","",IF(AND(M17="✓",N17="✓",O17="✓"),"✅正式",IF(M17&amp;N17&amp;O17="","入会前","手続き中")))</f>
        <v/>
      </c>
      <c r="Q17" s="24" t="n"/>
      <c r="R17" s="24" t="n"/>
      <c r="S17" s="10">
        <f>IF(OR(D17="",R17=""),"",TODAY()-R17)</f>
        <v/>
      </c>
      <c r="T17" s="22" t="n"/>
      <c r="U17" s="24" t="n"/>
      <c r="V17" s="23" t="n"/>
      <c r="W17" s="14">
        <f>IF(OR(D17="",V17="辞退",V17="保留",P17="✅正式"),"",TRIM(IF(AND(U17&lt;&gt;"",U17&lt;TODAY()),"期日超過 ","")&amp;IF(AND(S17&lt;&gt;"",S17&gt;='設定'!$B$9),"放置"&amp;S17&amp;"日 ","")&amp;IF(AND(J17="CCS済",M17&lt;&gt;"✓"),"CCS後の申込待ち ","")&amp;IF(AND(M17="✓",N17&lt;&gt;"✓"),"振込待ち ","")&amp;IF(AND(N17="✓",O17&lt;&gt;"✓"),"同意書待ち ","")&amp;IF(T17="","次アクション未設定","")))</f>
        <v/>
      </c>
      <c r="X17" s="10" t="n"/>
      <c r="Y17" s="22" t="n"/>
    </row>
    <row r="18">
      <c r="A18" s="10">
        <f>IF(D18="","",ROW()-4)</f>
        <v/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3" t="n"/>
      <c r="K18" s="24" t="n"/>
      <c r="L18" s="22" t="n"/>
      <c r="M18" s="23" t="n"/>
      <c r="N18" s="23" t="n"/>
      <c r="O18" s="23" t="n"/>
      <c r="P18" s="10">
        <f>IF(D18="","",IF(AND(M18="✓",N18="✓",O18="✓"),"✅正式",IF(M18&amp;N18&amp;O18="","入会前","手続き中")))</f>
        <v/>
      </c>
      <c r="Q18" s="24" t="n"/>
      <c r="R18" s="24" t="n"/>
      <c r="S18" s="10">
        <f>IF(OR(D18="",R18=""),"",TODAY()-R18)</f>
        <v/>
      </c>
      <c r="T18" s="22" t="n"/>
      <c r="U18" s="24" t="n"/>
      <c r="V18" s="23" t="n"/>
      <c r="W18" s="14">
        <f>IF(OR(D18="",V18="辞退",V18="保留",P18="✅正式"),"",TRIM(IF(AND(U18&lt;&gt;"",U18&lt;TODAY()),"期日超過 ","")&amp;IF(AND(S18&lt;&gt;"",S18&gt;='設定'!$B$9),"放置"&amp;S18&amp;"日 ","")&amp;IF(AND(J18="CCS済",M18&lt;&gt;"✓"),"CCS後の申込待ち ","")&amp;IF(AND(M18="✓",N18&lt;&gt;"✓"),"振込待ち ","")&amp;IF(AND(N18="✓",O18&lt;&gt;"✓"),"同意書待ち ","")&amp;IF(T18="","次アクション未設定","")))</f>
        <v/>
      </c>
      <c r="X18" s="10" t="n"/>
      <c r="Y18" s="22" t="n"/>
    </row>
    <row r="19">
      <c r="A19" s="10">
        <f>IF(D19="","",ROW()-4)</f>
        <v/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4" t="n"/>
      <c r="L19" s="22" t="n"/>
      <c r="M19" s="23" t="n"/>
      <c r="N19" s="23" t="n"/>
      <c r="O19" s="23" t="n"/>
      <c r="P19" s="10">
        <f>IF(D19="","",IF(AND(M19="✓",N19="✓",O19="✓"),"✅正式",IF(M19&amp;N19&amp;O19="","入会前","手続き中")))</f>
        <v/>
      </c>
      <c r="Q19" s="24" t="n"/>
      <c r="R19" s="24" t="n"/>
      <c r="S19" s="10">
        <f>IF(OR(D19="",R19=""),"",TODAY()-R19)</f>
        <v/>
      </c>
      <c r="T19" s="22" t="n"/>
      <c r="U19" s="24" t="n"/>
      <c r="V19" s="23" t="n"/>
      <c r="W19" s="14">
        <f>IF(OR(D19="",V19="辞退",V19="保留",P19="✅正式"),"",TRIM(IF(AND(U19&lt;&gt;"",U19&lt;TODAY()),"期日超過 ","")&amp;IF(AND(S19&lt;&gt;"",S19&gt;='設定'!$B$9),"放置"&amp;S19&amp;"日 ","")&amp;IF(AND(J19="CCS済",M19&lt;&gt;"✓"),"CCS後の申込待ち ","")&amp;IF(AND(M19="✓",N19&lt;&gt;"✓"),"振込待ち ","")&amp;IF(AND(N19="✓",O19&lt;&gt;"✓"),"同意書待ち ","")&amp;IF(T19="","次アクション未設定","")))</f>
        <v/>
      </c>
      <c r="X19" s="10" t="n"/>
      <c r="Y19" s="22" t="n"/>
    </row>
    <row r="20">
      <c r="A20" s="10">
        <f>IF(D20="","",ROW()-4)</f>
        <v/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3" t="n"/>
      <c r="K20" s="24" t="n"/>
      <c r="L20" s="22" t="n"/>
      <c r="M20" s="23" t="n"/>
      <c r="N20" s="23" t="n"/>
      <c r="O20" s="23" t="n"/>
      <c r="P20" s="10">
        <f>IF(D20="","",IF(AND(M20="✓",N20="✓",O20="✓"),"✅正式",IF(M20&amp;N20&amp;O20="","入会前","手続き中")))</f>
        <v/>
      </c>
      <c r="Q20" s="24" t="n"/>
      <c r="R20" s="24" t="n"/>
      <c r="S20" s="10">
        <f>IF(OR(D20="",R20=""),"",TODAY()-R20)</f>
        <v/>
      </c>
      <c r="T20" s="22" t="n"/>
      <c r="U20" s="24" t="n"/>
      <c r="V20" s="23" t="n"/>
      <c r="W20" s="14">
        <f>IF(OR(D20="",V20="辞退",V20="保留",P20="✅正式"),"",TRIM(IF(AND(U20&lt;&gt;"",U20&lt;TODAY()),"期日超過 ","")&amp;IF(AND(S20&lt;&gt;"",S20&gt;='設定'!$B$9),"放置"&amp;S20&amp;"日 ","")&amp;IF(AND(J20="CCS済",M20&lt;&gt;"✓"),"CCS後の申込待ち ","")&amp;IF(AND(M20="✓",N20&lt;&gt;"✓"),"振込待ち ","")&amp;IF(AND(N20="✓",O20&lt;&gt;"✓"),"同意書待ち ","")&amp;IF(T20="","次アクション未設定","")))</f>
        <v/>
      </c>
      <c r="X20" s="10" t="n"/>
      <c r="Y20" s="22" t="n"/>
    </row>
    <row r="21">
      <c r="A21" s="10">
        <f>IF(D21="","",ROW()-4)</f>
        <v/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4" t="n"/>
      <c r="L21" s="22" t="n"/>
      <c r="M21" s="23" t="n"/>
      <c r="N21" s="23" t="n"/>
      <c r="O21" s="23" t="n"/>
      <c r="P21" s="10">
        <f>IF(D21="","",IF(AND(M21="✓",N21="✓",O21="✓"),"✅正式",IF(M21&amp;N21&amp;O21="","入会前","手続き中")))</f>
        <v/>
      </c>
      <c r="Q21" s="24" t="n"/>
      <c r="R21" s="24" t="n"/>
      <c r="S21" s="10">
        <f>IF(OR(D21="",R21=""),"",TODAY()-R21)</f>
        <v/>
      </c>
      <c r="T21" s="22" t="n"/>
      <c r="U21" s="24" t="n"/>
      <c r="V21" s="23" t="n"/>
      <c r="W21" s="14">
        <f>IF(OR(D21="",V21="辞退",V21="保留",P21="✅正式"),"",TRIM(IF(AND(U21&lt;&gt;"",U21&lt;TODAY()),"期日超過 ","")&amp;IF(AND(S21&lt;&gt;"",S21&gt;='設定'!$B$9),"放置"&amp;S21&amp;"日 ","")&amp;IF(AND(J21="CCS済",M21&lt;&gt;"✓"),"CCS後の申込待ち ","")&amp;IF(AND(M21="✓",N21&lt;&gt;"✓"),"振込待ち ","")&amp;IF(AND(N21="✓",O21&lt;&gt;"✓"),"同意書待ち ","")&amp;IF(T21="","次アクション未設定","")))</f>
        <v/>
      </c>
      <c r="X21" s="10" t="n"/>
      <c r="Y21" s="22" t="n"/>
    </row>
    <row r="22">
      <c r="A22" s="10">
        <f>IF(D22="","",ROW()-4)</f>
        <v/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3" t="n"/>
      <c r="K22" s="24" t="n"/>
      <c r="L22" s="22" t="n"/>
      <c r="M22" s="23" t="n"/>
      <c r="N22" s="23" t="n"/>
      <c r="O22" s="23" t="n"/>
      <c r="P22" s="10">
        <f>IF(D22="","",IF(AND(M22="✓",N22="✓",O22="✓"),"✅正式",IF(M22&amp;N22&amp;O22="","入会前","手続き中")))</f>
        <v/>
      </c>
      <c r="Q22" s="24" t="n"/>
      <c r="R22" s="24" t="n"/>
      <c r="S22" s="10">
        <f>IF(OR(D22="",R22=""),"",TODAY()-R22)</f>
        <v/>
      </c>
      <c r="T22" s="22" t="n"/>
      <c r="U22" s="24" t="n"/>
      <c r="V22" s="23" t="n"/>
      <c r="W22" s="14">
        <f>IF(OR(D22="",V22="辞退",V22="保留",P22="✅正式"),"",TRIM(IF(AND(U22&lt;&gt;"",U22&lt;TODAY()),"期日超過 ","")&amp;IF(AND(S22&lt;&gt;"",S22&gt;='設定'!$B$9),"放置"&amp;S22&amp;"日 ","")&amp;IF(AND(J22="CCS済",M22&lt;&gt;"✓"),"CCS後の申込待ち ","")&amp;IF(AND(M22="✓",N22&lt;&gt;"✓"),"振込待ち ","")&amp;IF(AND(N22="✓",O22&lt;&gt;"✓"),"同意書待ち ","")&amp;IF(T22="","次アクション未設定","")))</f>
        <v/>
      </c>
      <c r="X22" s="10" t="n"/>
      <c r="Y22" s="22" t="n"/>
    </row>
    <row r="23">
      <c r="A23" s="10">
        <f>IF(D23="","",ROW()-4)</f>
        <v/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4" t="n"/>
      <c r="L23" s="22" t="n"/>
      <c r="M23" s="23" t="n"/>
      <c r="N23" s="23" t="n"/>
      <c r="O23" s="23" t="n"/>
      <c r="P23" s="10">
        <f>IF(D23="","",IF(AND(M23="✓",N23="✓",O23="✓"),"✅正式",IF(M23&amp;N23&amp;O23="","入会前","手続き中")))</f>
        <v/>
      </c>
      <c r="Q23" s="24" t="n"/>
      <c r="R23" s="24" t="n"/>
      <c r="S23" s="10">
        <f>IF(OR(D23="",R23=""),"",TODAY()-R23)</f>
        <v/>
      </c>
      <c r="T23" s="22" t="n"/>
      <c r="U23" s="24" t="n"/>
      <c r="V23" s="23" t="n"/>
      <c r="W23" s="14">
        <f>IF(OR(D23="",V23="辞退",V23="保留",P23="✅正式"),"",TRIM(IF(AND(U23&lt;&gt;"",U23&lt;TODAY()),"期日超過 ","")&amp;IF(AND(S23&lt;&gt;"",S23&gt;='設定'!$B$9),"放置"&amp;S23&amp;"日 ","")&amp;IF(AND(J23="CCS済",M23&lt;&gt;"✓"),"CCS後の申込待ち ","")&amp;IF(AND(M23="✓",N23&lt;&gt;"✓"),"振込待ち ","")&amp;IF(AND(N23="✓",O23&lt;&gt;"✓"),"同意書待ち ","")&amp;IF(T23="","次アクション未設定","")))</f>
        <v/>
      </c>
      <c r="X23" s="10" t="n"/>
      <c r="Y23" s="22" t="n"/>
    </row>
    <row r="24">
      <c r="A24" s="10">
        <f>IF(D24="","",ROW()-4)</f>
        <v/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3" t="n"/>
      <c r="K24" s="24" t="n"/>
      <c r="L24" s="22" t="n"/>
      <c r="M24" s="23" t="n"/>
      <c r="N24" s="23" t="n"/>
      <c r="O24" s="23" t="n"/>
      <c r="P24" s="10">
        <f>IF(D24="","",IF(AND(M24="✓",N24="✓",O24="✓"),"✅正式",IF(M24&amp;N24&amp;O24="","入会前","手続き中")))</f>
        <v/>
      </c>
      <c r="Q24" s="24" t="n"/>
      <c r="R24" s="24" t="n"/>
      <c r="S24" s="10">
        <f>IF(OR(D24="",R24=""),"",TODAY()-R24)</f>
        <v/>
      </c>
      <c r="T24" s="22" t="n"/>
      <c r="U24" s="24" t="n"/>
      <c r="V24" s="23" t="n"/>
      <c r="W24" s="14">
        <f>IF(OR(D24="",V24="辞退",V24="保留",P24="✅正式"),"",TRIM(IF(AND(U24&lt;&gt;"",U24&lt;TODAY()),"期日超過 ","")&amp;IF(AND(S24&lt;&gt;"",S24&gt;='設定'!$B$9),"放置"&amp;S24&amp;"日 ","")&amp;IF(AND(J24="CCS済",M24&lt;&gt;"✓"),"CCS後の申込待ち ","")&amp;IF(AND(M24="✓",N24&lt;&gt;"✓"),"振込待ち ","")&amp;IF(AND(N24="✓",O24&lt;&gt;"✓"),"同意書待ち ","")&amp;IF(T24="","次アクション未設定","")))</f>
        <v/>
      </c>
      <c r="X24" s="10" t="n"/>
      <c r="Y24" s="22" t="n"/>
    </row>
    <row r="25">
      <c r="A25" s="10">
        <f>IF(D25="","",ROW()-4)</f>
        <v/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4" t="n"/>
      <c r="L25" s="22" t="n"/>
      <c r="M25" s="23" t="n"/>
      <c r="N25" s="23" t="n"/>
      <c r="O25" s="23" t="n"/>
      <c r="P25" s="10">
        <f>IF(D25="","",IF(AND(M25="✓",N25="✓",O25="✓"),"✅正式",IF(M25&amp;N25&amp;O25="","入会前","手続き中")))</f>
        <v/>
      </c>
      <c r="Q25" s="24" t="n"/>
      <c r="R25" s="24" t="n"/>
      <c r="S25" s="10">
        <f>IF(OR(D25="",R25=""),"",TODAY()-R25)</f>
        <v/>
      </c>
      <c r="T25" s="22" t="n"/>
      <c r="U25" s="24" t="n"/>
      <c r="V25" s="23" t="n"/>
      <c r="W25" s="14">
        <f>IF(OR(D25="",V25="辞退",V25="保留",P25="✅正式"),"",TRIM(IF(AND(U25&lt;&gt;"",U25&lt;TODAY()),"期日超過 ","")&amp;IF(AND(S25&lt;&gt;"",S25&gt;='設定'!$B$9),"放置"&amp;S25&amp;"日 ","")&amp;IF(AND(J25="CCS済",M25&lt;&gt;"✓"),"CCS後の申込待ち ","")&amp;IF(AND(M25="✓",N25&lt;&gt;"✓"),"振込待ち ","")&amp;IF(AND(N25="✓",O25&lt;&gt;"✓"),"同意書待ち ","")&amp;IF(T25="","次アクション未設定","")))</f>
        <v/>
      </c>
      <c r="X25" s="10" t="n"/>
      <c r="Y25" s="22" t="n"/>
    </row>
    <row r="26">
      <c r="A26" s="10">
        <f>IF(D26="","",ROW()-4)</f>
        <v/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3" t="n"/>
      <c r="K26" s="24" t="n"/>
      <c r="L26" s="22" t="n"/>
      <c r="M26" s="23" t="n"/>
      <c r="N26" s="23" t="n"/>
      <c r="O26" s="23" t="n"/>
      <c r="P26" s="10">
        <f>IF(D26="","",IF(AND(M26="✓",N26="✓",O26="✓"),"✅正式",IF(M26&amp;N26&amp;O26="","入会前","手続き中")))</f>
        <v/>
      </c>
      <c r="Q26" s="24" t="n"/>
      <c r="R26" s="24" t="n"/>
      <c r="S26" s="10">
        <f>IF(OR(D26="",R26=""),"",TODAY()-R26)</f>
        <v/>
      </c>
      <c r="T26" s="22" t="n"/>
      <c r="U26" s="24" t="n"/>
      <c r="V26" s="23" t="n"/>
      <c r="W26" s="14">
        <f>IF(OR(D26="",V26="辞退",V26="保留",P26="✅正式"),"",TRIM(IF(AND(U26&lt;&gt;"",U26&lt;TODAY()),"期日超過 ","")&amp;IF(AND(S26&lt;&gt;"",S26&gt;='設定'!$B$9),"放置"&amp;S26&amp;"日 ","")&amp;IF(AND(J26="CCS済",M26&lt;&gt;"✓"),"CCS後の申込待ち ","")&amp;IF(AND(M26="✓",N26&lt;&gt;"✓"),"振込待ち ","")&amp;IF(AND(N26="✓",O26&lt;&gt;"✓"),"同意書待ち ","")&amp;IF(T26="","次アクション未設定","")))</f>
        <v/>
      </c>
      <c r="X26" s="10" t="n"/>
      <c r="Y26" s="22" t="n"/>
    </row>
    <row r="27">
      <c r="A27" s="10">
        <f>IF(D27="","",ROW()-4)</f>
        <v/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4" t="n"/>
      <c r="L27" s="22" t="n"/>
      <c r="M27" s="23" t="n"/>
      <c r="N27" s="23" t="n"/>
      <c r="O27" s="23" t="n"/>
      <c r="P27" s="10">
        <f>IF(D27="","",IF(AND(M27="✓",N27="✓",O27="✓"),"✅正式",IF(M27&amp;N27&amp;O27="","入会前","手続き中")))</f>
        <v/>
      </c>
      <c r="Q27" s="24" t="n"/>
      <c r="R27" s="24" t="n"/>
      <c r="S27" s="10">
        <f>IF(OR(D27="",R27=""),"",TODAY()-R27)</f>
        <v/>
      </c>
      <c r="T27" s="22" t="n"/>
      <c r="U27" s="24" t="n"/>
      <c r="V27" s="23" t="n"/>
      <c r="W27" s="14">
        <f>IF(OR(D27="",V27="辞退",V27="保留",P27="✅正式"),"",TRIM(IF(AND(U27&lt;&gt;"",U27&lt;TODAY()),"期日超過 ","")&amp;IF(AND(S27&lt;&gt;"",S27&gt;='設定'!$B$9),"放置"&amp;S27&amp;"日 ","")&amp;IF(AND(J27="CCS済",M27&lt;&gt;"✓"),"CCS後の申込待ち ","")&amp;IF(AND(M27="✓",N27&lt;&gt;"✓"),"振込待ち ","")&amp;IF(AND(N27="✓",O27&lt;&gt;"✓"),"同意書待ち ","")&amp;IF(T27="","次アクション未設定","")))</f>
        <v/>
      </c>
      <c r="X27" s="10" t="n"/>
      <c r="Y27" s="22" t="n"/>
    </row>
    <row r="28">
      <c r="A28" s="10">
        <f>IF(D28="","",ROW()-4)</f>
        <v/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s="23" t="n"/>
      <c r="K28" s="24" t="n"/>
      <c r="L28" s="22" t="n"/>
      <c r="M28" s="23" t="n"/>
      <c r="N28" s="23" t="n"/>
      <c r="O28" s="23" t="n"/>
      <c r="P28" s="10">
        <f>IF(D28="","",IF(AND(M28="✓",N28="✓",O28="✓"),"✅正式",IF(M28&amp;N28&amp;O28="","入会前","手続き中")))</f>
        <v/>
      </c>
      <c r="Q28" s="24" t="n"/>
      <c r="R28" s="24" t="n"/>
      <c r="S28" s="10">
        <f>IF(OR(D28="",R28=""),"",TODAY()-R28)</f>
        <v/>
      </c>
      <c r="T28" s="22" t="n"/>
      <c r="U28" s="24" t="n"/>
      <c r="V28" s="23" t="n"/>
      <c r="W28" s="14">
        <f>IF(OR(D28="",V28="辞退",V28="保留",P28="✅正式"),"",TRIM(IF(AND(U28&lt;&gt;"",U28&lt;TODAY()),"期日超過 ","")&amp;IF(AND(S28&lt;&gt;"",S28&gt;='設定'!$B$9),"放置"&amp;S28&amp;"日 ","")&amp;IF(AND(J28="CCS済",M28&lt;&gt;"✓"),"CCS後の申込待ち ","")&amp;IF(AND(M28="✓",N28&lt;&gt;"✓"),"振込待ち ","")&amp;IF(AND(N28="✓",O28&lt;&gt;"✓"),"同意書待ち ","")&amp;IF(T28="","次アクション未設定","")))</f>
        <v/>
      </c>
      <c r="X28" s="10" t="n"/>
      <c r="Y28" s="22" t="n"/>
    </row>
    <row r="29">
      <c r="A29" s="10">
        <f>IF(D29="","",ROW()-4)</f>
        <v/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4" t="n"/>
      <c r="L29" s="22" t="n"/>
      <c r="M29" s="23" t="n"/>
      <c r="N29" s="23" t="n"/>
      <c r="O29" s="23" t="n"/>
      <c r="P29" s="10">
        <f>IF(D29="","",IF(AND(M29="✓",N29="✓",O29="✓"),"✅正式",IF(M29&amp;N29&amp;O29="","入会前","手続き中")))</f>
        <v/>
      </c>
      <c r="Q29" s="24" t="n"/>
      <c r="R29" s="24" t="n"/>
      <c r="S29" s="10">
        <f>IF(OR(D29="",R29=""),"",TODAY()-R29)</f>
        <v/>
      </c>
      <c r="T29" s="22" t="n"/>
      <c r="U29" s="24" t="n"/>
      <c r="V29" s="23" t="n"/>
      <c r="W29" s="14">
        <f>IF(OR(D29="",V29="辞退",V29="保留",P29="✅正式"),"",TRIM(IF(AND(U29&lt;&gt;"",U29&lt;TODAY()),"期日超過 ","")&amp;IF(AND(S29&lt;&gt;"",S29&gt;='設定'!$B$9),"放置"&amp;S29&amp;"日 ","")&amp;IF(AND(J29="CCS済",M29&lt;&gt;"✓"),"CCS後の申込待ち ","")&amp;IF(AND(M29="✓",N29&lt;&gt;"✓"),"振込待ち ","")&amp;IF(AND(N29="✓",O29&lt;&gt;"✓"),"同意書待ち ","")&amp;IF(T29="","次アクション未設定","")))</f>
        <v/>
      </c>
      <c r="X29" s="10" t="n"/>
      <c r="Y29" s="22" t="n"/>
    </row>
    <row r="30">
      <c r="A30" s="10">
        <f>IF(D30="","",ROW()-4)</f>
        <v/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s="23" t="n"/>
      <c r="K30" s="24" t="n"/>
      <c r="L30" s="22" t="n"/>
      <c r="M30" s="23" t="n"/>
      <c r="N30" s="23" t="n"/>
      <c r="O30" s="23" t="n"/>
      <c r="P30" s="10">
        <f>IF(D30="","",IF(AND(M30="✓",N30="✓",O30="✓"),"✅正式",IF(M30&amp;N30&amp;O30="","入会前","手続き中")))</f>
        <v/>
      </c>
      <c r="Q30" s="24" t="n"/>
      <c r="R30" s="24" t="n"/>
      <c r="S30" s="10">
        <f>IF(OR(D30="",R30=""),"",TODAY()-R30)</f>
        <v/>
      </c>
      <c r="T30" s="22" t="n"/>
      <c r="U30" s="24" t="n"/>
      <c r="V30" s="23" t="n"/>
      <c r="W30" s="14">
        <f>IF(OR(D30="",V30="辞退",V30="保留",P30="✅正式"),"",TRIM(IF(AND(U30&lt;&gt;"",U30&lt;TODAY()),"期日超過 ","")&amp;IF(AND(S30&lt;&gt;"",S30&gt;='設定'!$B$9),"放置"&amp;S30&amp;"日 ","")&amp;IF(AND(J30="CCS済",M30&lt;&gt;"✓"),"CCS後の申込待ち ","")&amp;IF(AND(M30="✓",N30&lt;&gt;"✓"),"振込待ち ","")&amp;IF(AND(N30="✓",O30&lt;&gt;"✓"),"同意書待ち ","")&amp;IF(T30="","次アクション未設定","")))</f>
        <v/>
      </c>
      <c r="X30" s="10" t="n"/>
      <c r="Y30" s="22" t="n"/>
    </row>
    <row r="31">
      <c r="A31" s="10">
        <f>IF(D31="","",ROW()-4)</f>
        <v/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4" t="n"/>
      <c r="L31" s="22" t="n"/>
      <c r="M31" s="23" t="n"/>
      <c r="N31" s="23" t="n"/>
      <c r="O31" s="23" t="n"/>
      <c r="P31" s="10">
        <f>IF(D31="","",IF(AND(M31="✓",N31="✓",O31="✓"),"✅正式",IF(M31&amp;N31&amp;O31="","入会前","手続き中")))</f>
        <v/>
      </c>
      <c r="Q31" s="24" t="n"/>
      <c r="R31" s="24" t="n"/>
      <c r="S31" s="10">
        <f>IF(OR(D31="",R31=""),"",TODAY()-R31)</f>
        <v/>
      </c>
      <c r="T31" s="22" t="n"/>
      <c r="U31" s="24" t="n"/>
      <c r="V31" s="23" t="n"/>
      <c r="W31" s="14">
        <f>IF(OR(D31="",V31="辞退",V31="保留",P31="✅正式"),"",TRIM(IF(AND(U31&lt;&gt;"",U31&lt;TODAY()),"期日超過 ","")&amp;IF(AND(S31&lt;&gt;"",S31&gt;='設定'!$B$9),"放置"&amp;S31&amp;"日 ","")&amp;IF(AND(J31="CCS済",M31&lt;&gt;"✓"),"CCS後の申込待ち ","")&amp;IF(AND(M31="✓",N31&lt;&gt;"✓"),"振込待ち ","")&amp;IF(AND(N31="✓",O31&lt;&gt;"✓"),"同意書待ち ","")&amp;IF(T31="","次アクション未設定","")))</f>
        <v/>
      </c>
      <c r="X31" s="10" t="n"/>
      <c r="Y31" s="22" t="n"/>
    </row>
    <row r="32">
      <c r="A32" s="10">
        <f>IF(D32="","",ROW()-4)</f>
        <v/>
      </c>
      <c r="B32" s="22" t="n"/>
      <c r="C32" s="22" t="n"/>
      <c r="D32" s="22" t="n"/>
      <c r="E32" s="22" t="n"/>
      <c r="F32" s="22" t="n"/>
      <c r="G32" s="22" t="n"/>
      <c r="H32" s="22" t="n"/>
      <c r="I32" s="22" t="n"/>
      <c r="J32" s="23" t="n"/>
      <c r="K32" s="24" t="n"/>
      <c r="L32" s="22" t="n"/>
      <c r="M32" s="23" t="n"/>
      <c r="N32" s="23" t="n"/>
      <c r="O32" s="23" t="n"/>
      <c r="P32" s="10">
        <f>IF(D32="","",IF(AND(M32="✓",N32="✓",O32="✓"),"✅正式",IF(M32&amp;N32&amp;O32="","入会前","手続き中")))</f>
        <v/>
      </c>
      <c r="Q32" s="24" t="n"/>
      <c r="R32" s="24" t="n"/>
      <c r="S32" s="10">
        <f>IF(OR(D32="",R32=""),"",TODAY()-R32)</f>
        <v/>
      </c>
      <c r="T32" s="22" t="n"/>
      <c r="U32" s="24" t="n"/>
      <c r="V32" s="23" t="n"/>
      <c r="W32" s="14">
        <f>IF(OR(D32="",V32="辞退",V32="保留",P32="✅正式"),"",TRIM(IF(AND(U32&lt;&gt;"",U32&lt;TODAY()),"期日超過 ","")&amp;IF(AND(S32&lt;&gt;"",S32&gt;='設定'!$B$9),"放置"&amp;S32&amp;"日 ","")&amp;IF(AND(J32="CCS済",M32&lt;&gt;"✓"),"CCS後の申込待ち ","")&amp;IF(AND(M32="✓",N32&lt;&gt;"✓"),"振込待ち ","")&amp;IF(AND(N32="✓",O32&lt;&gt;"✓"),"同意書待ち ","")&amp;IF(T32="","次アクション未設定","")))</f>
        <v/>
      </c>
      <c r="X32" s="10" t="n"/>
      <c r="Y32" s="22" t="n"/>
    </row>
    <row r="33">
      <c r="A33" s="10">
        <f>IF(D33="","",ROW()-4)</f>
        <v/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4" t="n"/>
      <c r="L33" s="22" t="n"/>
      <c r="M33" s="23" t="n"/>
      <c r="N33" s="23" t="n"/>
      <c r="O33" s="23" t="n"/>
      <c r="P33" s="10">
        <f>IF(D33="","",IF(AND(M33="✓",N33="✓",O33="✓"),"✅正式",IF(M33&amp;N33&amp;O33="","入会前","手続き中")))</f>
        <v/>
      </c>
      <c r="Q33" s="24" t="n"/>
      <c r="R33" s="24" t="n"/>
      <c r="S33" s="10">
        <f>IF(OR(D33="",R33=""),"",TODAY()-R33)</f>
        <v/>
      </c>
      <c r="T33" s="22" t="n"/>
      <c r="U33" s="24" t="n"/>
      <c r="V33" s="23" t="n"/>
      <c r="W33" s="14">
        <f>IF(OR(D33="",V33="辞退",V33="保留",P33="✅正式"),"",TRIM(IF(AND(U33&lt;&gt;"",U33&lt;TODAY()),"期日超過 ","")&amp;IF(AND(S33&lt;&gt;"",S33&gt;='設定'!$B$9),"放置"&amp;S33&amp;"日 ","")&amp;IF(AND(J33="CCS済",M33&lt;&gt;"✓"),"CCS後の申込待ち ","")&amp;IF(AND(M33="✓",N33&lt;&gt;"✓"),"振込待ち ","")&amp;IF(AND(N33="✓",O33&lt;&gt;"✓"),"同意書待ち ","")&amp;IF(T33="","次アクション未設定","")))</f>
        <v/>
      </c>
      <c r="X33" s="10" t="n"/>
      <c r="Y33" s="22" t="n"/>
    </row>
    <row r="34">
      <c r="A34" s="10">
        <f>IF(D34="","",ROW()-4)</f>
        <v/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3" t="n"/>
      <c r="K34" s="24" t="n"/>
      <c r="L34" s="22" t="n"/>
      <c r="M34" s="23" t="n"/>
      <c r="N34" s="23" t="n"/>
      <c r="O34" s="23" t="n"/>
      <c r="P34" s="10">
        <f>IF(D34="","",IF(AND(M34="✓",N34="✓",O34="✓"),"✅正式",IF(M34&amp;N34&amp;O34="","入会前","手続き中")))</f>
        <v/>
      </c>
      <c r="Q34" s="24" t="n"/>
      <c r="R34" s="24" t="n"/>
      <c r="S34" s="10">
        <f>IF(OR(D34="",R34=""),"",TODAY()-R34)</f>
        <v/>
      </c>
      <c r="T34" s="22" t="n"/>
      <c r="U34" s="24" t="n"/>
      <c r="V34" s="23" t="n"/>
      <c r="W34" s="14">
        <f>IF(OR(D34="",V34="辞退",V34="保留",P34="✅正式"),"",TRIM(IF(AND(U34&lt;&gt;"",U34&lt;TODAY()),"期日超過 ","")&amp;IF(AND(S34&lt;&gt;"",S34&gt;='設定'!$B$9),"放置"&amp;S34&amp;"日 ","")&amp;IF(AND(J34="CCS済",M34&lt;&gt;"✓"),"CCS後の申込待ち ","")&amp;IF(AND(M34="✓",N34&lt;&gt;"✓"),"振込待ち ","")&amp;IF(AND(N34="✓",O34&lt;&gt;"✓"),"同意書待ち ","")&amp;IF(T34="","次アクション未設定","")))</f>
        <v/>
      </c>
      <c r="X34" s="10" t="n"/>
      <c r="Y34" s="22" t="n"/>
    </row>
    <row r="35">
      <c r="A35" s="10">
        <f>IF(D35="","",ROW()-4)</f>
        <v/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4" t="n"/>
      <c r="L35" s="22" t="n"/>
      <c r="M35" s="23" t="n"/>
      <c r="N35" s="23" t="n"/>
      <c r="O35" s="23" t="n"/>
      <c r="P35" s="10">
        <f>IF(D35="","",IF(AND(M35="✓",N35="✓",O35="✓"),"✅正式",IF(M35&amp;N35&amp;O35="","入会前","手続き中")))</f>
        <v/>
      </c>
      <c r="Q35" s="24" t="n"/>
      <c r="R35" s="24" t="n"/>
      <c r="S35" s="10">
        <f>IF(OR(D35="",R35=""),"",TODAY()-R35)</f>
        <v/>
      </c>
      <c r="T35" s="22" t="n"/>
      <c r="U35" s="24" t="n"/>
      <c r="V35" s="23" t="n"/>
      <c r="W35" s="14">
        <f>IF(OR(D35="",V35="辞退",V35="保留",P35="✅正式"),"",TRIM(IF(AND(U35&lt;&gt;"",U35&lt;TODAY()),"期日超過 ","")&amp;IF(AND(S35&lt;&gt;"",S35&gt;='設定'!$B$9),"放置"&amp;S35&amp;"日 ","")&amp;IF(AND(J35="CCS済",M35&lt;&gt;"✓"),"CCS後の申込待ち ","")&amp;IF(AND(M35="✓",N35&lt;&gt;"✓"),"振込待ち ","")&amp;IF(AND(N35="✓",O35&lt;&gt;"✓"),"同意書待ち ","")&amp;IF(T35="","次アクション未設定","")))</f>
        <v/>
      </c>
      <c r="X35" s="10" t="n"/>
      <c r="Y35" s="22" t="n"/>
    </row>
    <row r="36">
      <c r="A36" s="10">
        <f>IF(D36="","",ROW()-4)</f>
        <v/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3" t="n"/>
      <c r="K36" s="24" t="n"/>
      <c r="L36" s="22" t="n"/>
      <c r="M36" s="23" t="n"/>
      <c r="N36" s="23" t="n"/>
      <c r="O36" s="23" t="n"/>
      <c r="P36" s="10">
        <f>IF(D36="","",IF(AND(M36="✓",N36="✓",O36="✓"),"✅正式",IF(M36&amp;N36&amp;O36="","入会前","手続き中")))</f>
        <v/>
      </c>
      <c r="Q36" s="24" t="n"/>
      <c r="R36" s="24" t="n"/>
      <c r="S36" s="10">
        <f>IF(OR(D36="",R36=""),"",TODAY()-R36)</f>
        <v/>
      </c>
      <c r="T36" s="22" t="n"/>
      <c r="U36" s="24" t="n"/>
      <c r="V36" s="23" t="n"/>
      <c r="W36" s="14">
        <f>IF(OR(D36="",V36="辞退",V36="保留",P36="✅正式"),"",TRIM(IF(AND(U36&lt;&gt;"",U36&lt;TODAY()),"期日超過 ","")&amp;IF(AND(S36&lt;&gt;"",S36&gt;='設定'!$B$9),"放置"&amp;S36&amp;"日 ","")&amp;IF(AND(J36="CCS済",M36&lt;&gt;"✓"),"CCS後の申込待ち ","")&amp;IF(AND(M36="✓",N36&lt;&gt;"✓"),"振込待ち ","")&amp;IF(AND(N36="✓",O36&lt;&gt;"✓"),"同意書待ち ","")&amp;IF(T36="","次アクション未設定","")))</f>
        <v/>
      </c>
      <c r="X36" s="10" t="n"/>
      <c r="Y36" s="22" t="n"/>
    </row>
    <row r="37">
      <c r="A37" s="10">
        <f>IF(D37="","",ROW()-4)</f>
        <v/>
      </c>
      <c r="B37" s="22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4" t="n"/>
      <c r="L37" s="22" t="n"/>
      <c r="M37" s="23" t="n"/>
      <c r="N37" s="23" t="n"/>
      <c r="O37" s="23" t="n"/>
      <c r="P37" s="10">
        <f>IF(D37="","",IF(AND(M37="✓",N37="✓",O37="✓"),"✅正式",IF(M37&amp;N37&amp;O37="","入会前","手続き中")))</f>
        <v/>
      </c>
      <c r="Q37" s="24" t="n"/>
      <c r="R37" s="24" t="n"/>
      <c r="S37" s="10">
        <f>IF(OR(D37="",R37=""),"",TODAY()-R37)</f>
        <v/>
      </c>
      <c r="T37" s="22" t="n"/>
      <c r="U37" s="24" t="n"/>
      <c r="V37" s="23" t="n"/>
      <c r="W37" s="14">
        <f>IF(OR(D37="",V37="辞退",V37="保留",P37="✅正式"),"",TRIM(IF(AND(U37&lt;&gt;"",U37&lt;TODAY()),"期日超過 ","")&amp;IF(AND(S37&lt;&gt;"",S37&gt;='設定'!$B$9),"放置"&amp;S37&amp;"日 ","")&amp;IF(AND(J37="CCS済",M37&lt;&gt;"✓"),"CCS後の申込待ち ","")&amp;IF(AND(M37="✓",N37&lt;&gt;"✓"),"振込待ち ","")&amp;IF(AND(N37="✓",O37&lt;&gt;"✓"),"同意書待ち ","")&amp;IF(T37="","次アクション未設定","")))</f>
        <v/>
      </c>
      <c r="X37" s="10" t="n"/>
      <c r="Y37" s="22" t="n"/>
    </row>
    <row r="38">
      <c r="A38" s="10">
        <f>IF(D38="","",ROW()-4)</f>
        <v/>
      </c>
      <c r="B38" s="22" t="n"/>
      <c r="C38" s="22" t="n"/>
      <c r="D38" s="22" t="n"/>
      <c r="E38" s="22" t="n"/>
      <c r="F38" s="22" t="n"/>
      <c r="G38" s="22" t="n"/>
      <c r="H38" s="22" t="n"/>
      <c r="I38" s="22" t="n"/>
      <c r="J38" s="23" t="n"/>
      <c r="K38" s="24" t="n"/>
      <c r="L38" s="22" t="n"/>
      <c r="M38" s="23" t="n"/>
      <c r="N38" s="23" t="n"/>
      <c r="O38" s="23" t="n"/>
      <c r="P38" s="10">
        <f>IF(D38="","",IF(AND(M38="✓",N38="✓",O38="✓"),"✅正式",IF(M38&amp;N38&amp;O38="","入会前","手続き中")))</f>
        <v/>
      </c>
      <c r="Q38" s="24" t="n"/>
      <c r="R38" s="24" t="n"/>
      <c r="S38" s="10">
        <f>IF(OR(D38="",R38=""),"",TODAY()-R38)</f>
        <v/>
      </c>
      <c r="T38" s="22" t="n"/>
      <c r="U38" s="24" t="n"/>
      <c r="V38" s="23" t="n"/>
      <c r="W38" s="14">
        <f>IF(OR(D38="",V38="辞退",V38="保留",P38="✅正式"),"",TRIM(IF(AND(U38&lt;&gt;"",U38&lt;TODAY()),"期日超過 ","")&amp;IF(AND(S38&lt;&gt;"",S38&gt;='設定'!$B$9),"放置"&amp;S38&amp;"日 ","")&amp;IF(AND(J38="CCS済",M38&lt;&gt;"✓"),"CCS後の申込待ち ","")&amp;IF(AND(M38="✓",N38&lt;&gt;"✓"),"振込待ち ","")&amp;IF(AND(N38="✓",O38&lt;&gt;"✓"),"同意書待ち ","")&amp;IF(T38="","次アクション未設定","")))</f>
        <v/>
      </c>
      <c r="X38" s="10" t="n"/>
      <c r="Y38" s="22" t="n"/>
    </row>
    <row r="39">
      <c r="A39" s="10">
        <f>IF(D39="","",ROW()-4)</f>
        <v/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4" t="n"/>
      <c r="L39" s="22" t="n"/>
      <c r="M39" s="23" t="n"/>
      <c r="N39" s="23" t="n"/>
      <c r="O39" s="23" t="n"/>
      <c r="P39" s="10">
        <f>IF(D39="","",IF(AND(M39="✓",N39="✓",O39="✓"),"✅正式",IF(M39&amp;N39&amp;O39="","入会前","手続き中")))</f>
        <v/>
      </c>
      <c r="Q39" s="24" t="n"/>
      <c r="R39" s="24" t="n"/>
      <c r="S39" s="10">
        <f>IF(OR(D39="",R39=""),"",TODAY()-R39)</f>
        <v/>
      </c>
      <c r="T39" s="22" t="n"/>
      <c r="U39" s="24" t="n"/>
      <c r="V39" s="23" t="n"/>
      <c r="W39" s="14">
        <f>IF(OR(D39="",V39="辞退",V39="保留",P39="✅正式"),"",TRIM(IF(AND(U39&lt;&gt;"",U39&lt;TODAY()),"期日超過 ","")&amp;IF(AND(S39&lt;&gt;"",S39&gt;='設定'!$B$9),"放置"&amp;S39&amp;"日 ","")&amp;IF(AND(J39="CCS済",M39&lt;&gt;"✓"),"CCS後の申込待ち ","")&amp;IF(AND(M39="✓",N39&lt;&gt;"✓"),"振込待ち ","")&amp;IF(AND(N39="✓",O39&lt;&gt;"✓"),"同意書待ち ","")&amp;IF(T39="","次アクション未設定","")))</f>
        <v/>
      </c>
      <c r="X39" s="10" t="n"/>
      <c r="Y39" s="22" t="n"/>
    </row>
    <row r="40">
      <c r="A40" s="10">
        <f>IF(D40="","",ROW()-4)</f>
        <v/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3" t="n"/>
      <c r="K40" s="24" t="n"/>
      <c r="L40" s="22" t="n"/>
      <c r="M40" s="23" t="n"/>
      <c r="N40" s="23" t="n"/>
      <c r="O40" s="23" t="n"/>
      <c r="P40" s="10">
        <f>IF(D40="","",IF(AND(M40="✓",N40="✓",O40="✓"),"✅正式",IF(M40&amp;N40&amp;O40="","入会前","手続き中")))</f>
        <v/>
      </c>
      <c r="Q40" s="24" t="n"/>
      <c r="R40" s="24" t="n"/>
      <c r="S40" s="10">
        <f>IF(OR(D40="",R40=""),"",TODAY()-R40)</f>
        <v/>
      </c>
      <c r="T40" s="22" t="n"/>
      <c r="U40" s="24" t="n"/>
      <c r="V40" s="23" t="n"/>
      <c r="W40" s="14">
        <f>IF(OR(D40="",V40="辞退",V40="保留",P40="✅正式"),"",TRIM(IF(AND(U40&lt;&gt;"",U40&lt;TODAY()),"期日超過 ","")&amp;IF(AND(S40&lt;&gt;"",S40&gt;='設定'!$B$9),"放置"&amp;S40&amp;"日 ","")&amp;IF(AND(J40="CCS済",M40&lt;&gt;"✓"),"CCS後の申込待ち ","")&amp;IF(AND(M40="✓",N40&lt;&gt;"✓"),"振込待ち ","")&amp;IF(AND(N40="✓",O40&lt;&gt;"✓"),"同意書待ち ","")&amp;IF(T40="","次アクション未設定","")))</f>
        <v/>
      </c>
      <c r="X40" s="10" t="n"/>
      <c r="Y40" s="22" t="n"/>
    </row>
    <row r="41">
      <c r="A41" s="10">
        <f>IF(D41="","",ROW()-4)</f>
        <v/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4" t="n"/>
      <c r="L41" s="22" t="n"/>
      <c r="M41" s="23" t="n"/>
      <c r="N41" s="23" t="n"/>
      <c r="O41" s="23" t="n"/>
      <c r="P41" s="10">
        <f>IF(D41="","",IF(AND(M41="✓",N41="✓",O41="✓"),"✅正式",IF(M41&amp;N41&amp;O41="","入会前","手続き中")))</f>
        <v/>
      </c>
      <c r="Q41" s="24" t="n"/>
      <c r="R41" s="24" t="n"/>
      <c r="S41" s="10">
        <f>IF(OR(D41="",R41=""),"",TODAY()-R41)</f>
        <v/>
      </c>
      <c r="T41" s="22" t="n"/>
      <c r="U41" s="24" t="n"/>
      <c r="V41" s="23" t="n"/>
      <c r="W41" s="14">
        <f>IF(OR(D41="",V41="辞退",V41="保留",P41="✅正式"),"",TRIM(IF(AND(U41&lt;&gt;"",U41&lt;TODAY()),"期日超過 ","")&amp;IF(AND(S41&lt;&gt;"",S41&gt;='設定'!$B$9),"放置"&amp;S41&amp;"日 ","")&amp;IF(AND(J41="CCS済",M41&lt;&gt;"✓"),"CCS後の申込待ち ","")&amp;IF(AND(M41="✓",N41&lt;&gt;"✓"),"振込待ち ","")&amp;IF(AND(N41="✓",O41&lt;&gt;"✓"),"同意書待ち ","")&amp;IF(T41="","次アクション未設定","")))</f>
        <v/>
      </c>
      <c r="X41" s="10" t="n"/>
      <c r="Y41" s="22" t="n"/>
    </row>
    <row r="42">
      <c r="A42" s="10">
        <f>IF(D42="","",ROW()-4)</f>
        <v/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s="23" t="n"/>
      <c r="K42" s="24" t="n"/>
      <c r="L42" s="22" t="n"/>
      <c r="M42" s="23" t="n"/>
      <c r="N42" s="23" t="n"/>
      <c r="O42" s="23" t="n"/>
      <c r="P42" s="10">
        <f>IF(D42="","",IF(AND(M42="✓",N42="✓",O42="✓"),"✅正式",IF(M42&amp;N42&amp;O42="","入会前","手続き中")))</f>
        <v/>
      </c>
      <c r="Q42" s="24" t="n"/>
      <c r="R42" s="24" t="n"/>
      <c r="S42" s="10">
        <f>IF(OR(D42="",R42=""),"",TODAY()-R42)</f>
        <v/>
      </c>
      <c r="T42" s="22" t="n"/>
      <c r="U42" s="24" t="n"/>
      <c r="V42" s="23" t="n"/>
      <c r="W42" s="14">
        <f>IF(OR(D42="",V42="辞退",V42="保留",P42="✅正式"),"",TRIM(IF(AND(U42&lt;&gt;"",U42&lt;TODAY()),"期日超過 ","")&amp;IF(AND(S42&lt;&gt;"",S42&gt;='設定'!$B$9),"放置"&amp;S42&amp;"日 ","")&amp;IF(AND(J42="CCS済",M42&lt;&gt;"✓"),"CCS後の申込待ち ","")&amp;IF(AND(M42="✓",N42&lt;&gt;"✓"),"振込待ち ","")&amp;IF(AND(N42="✓",O42&lt;&gt;"✓"),"同意書待ち ","")&amp;IF(T42="","次アクション未設定","")))</f>
        <v/>
      </c>
      <c r="X42" s="10" t="n"/>
      <c r="Y42" s="22" t="n"/>
    </row>
    <row r="43">
      <c r="A43" s="10">
        <f>IF(D43="","",ROW()-4)</f>
        <v/>
      </c>
      <c r="B43" s="22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4" t="n"/>
      <c r="L43" s="22" t="n"/>
      <c r="M43" s="23" t="n"/>
      <c r="N43" s="23" t="n"/>
      <c r="O43" s="23" t="n"/>
      <c r="P43" s="10">
        <f>IF(D43="","",IF(AND(M43="✓",N43="✓",O43="✓"),"✅正式",IF(M43&amp;N43&amp;O43="","入会前","手続き中")))</f>
        <v/>
      </c>
      <c r="Q43" s="24" t="n"/>
      <c r="R43" s="24" t="n"/>
      <c r="S43" s="10">
        <f>IF(OR(D43="",R43=""),"",TODAY()-R43)</f>
        <v/>
      </c>
      <c r="T43" s="22" t="n"/>
      <c r="U43" s="24" t="n"/>
      <c r="V43" s="23" t="n"/>
      <c r="W43" s="14">
        <f>IF(OR(D43="",V43="辞退",V43="保留",P43="✅正式"),"",TRIM(IF(AND(U43&lt;&gt;"",U43&lt;TODAY()),"期日超過 ","")&amp;IF(AND(S43&lt;&gt;"",S43&gt;='設定'!$B$9),"放置"&amp;S43&amp;"日 ","")&amp;IF(AND(J43="CCS済",M43&lt;&gt;"✓"),"CCS後の申込待ち ","")&amp;IF(AND(M43="✓",N43&lt;&gt;"✓"),"振込待ち ","")&amp;IF(AND(N43="✓",O43&lt;&gt;"✓"),"同意書待ち ","")&amp;IF(T43="","次アクション未設定","")))</f>
        <v/>
      </c>
      <c r="X43" s="10" t="n"/>
      <c r="Y43" s="22" t="n"/>
    </row>
    <row r="44">
      <c r="A44" s="10">
        <f>IF(D44="","",ROW()-4)</f>
        <v/>
      </c>
      <c r="B44" s="22" t="n"/>
      <c r="C44" s="22" t="n"/>
      <c r="D44" s="22" t="n"/>
      <c r="E44" s="22" t="n"/>
      <c r="F44" s="22" t="n"/>
      <c r="G44" s="22" t="n"/>
      <c r="H44" s="22" t="n"/>
      <c r="I44" s="22" t="n"/>
      <c r="J44" s="23" t="n"/>
      <c r="K44" s="24" t="n"/>
      <c r="L44" s="22" t="n"/>
      <c r="M44" s="23" t="n"/>
      <c r="N44" s="23" t="n"/>
      <c r="O44" s="23" t="n"/>
      <c r="P44" s="10">
        <f>IF(D44="","",IF(AND(M44="✓",N44="✓",O44="✓"),"✅正式",IF(M44&amp;N44&amp;O44="","入会前","手続き中")))</f>
        <v/>
      </c>
      <c r="Q44" s="24" t="n"/>
      <c r="R44" s="24" t="n"/>
      <c r="S44" s="10">
        <f>IF(OR(D44="",R44=""),"",TODAY()-R44)</f>
        <v/>
      </c>
      <c r="T44" s="22" t="n"/>
      <c r="U44" s="24" t="n"/>
      <c r="V44" s="23" t="n"/>
      <c r="W44" s="14">
        <f>IF(OR(D44="",V44="辞退",V44="保留",P44="✅正式"),"",TRIM(IF(AND(U44&lt;&gt;"",U44&lt;TODAY()),"期日超過 ","")&amp;IF(AND(S44&lt;&gt;"",S44&gt;='設定'!$B$9),"放置"&amp;S44&amp;"日 ","")&amp;IF(AND(J44="CCS済",M44&lt;&gt;"✓"),"CCS後の申込待ち ","")&amp;IF(AND(M44="✓",N44&lt;&gt;"✓"),"振込待ち ","")&amp;IF(AND(N44="✓",O44&lt;&gt;"✓"),"同意書待ち ","")&amp;IF(T44="","次アクション未設定","")))</f>
        <v/>
      </c>
      <c r="X44" s="10" t="n"/>
      <c r="Y44" s="22" t="n"/>
    </row>
    <row r="45">
      <c r="A45" s="10">
        <f>IF(D45="","",ROW()-4)</f>
        <v/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4" t="n"/>
      <c r="L45" s="22" t="n"/>
      <c r="M45" s="23" t="n"/>
      <c r="N45" s="23" t="n"/>
      <c r="O45" s="23" t="n"/>
      <c r="P45" s="10">
        <f>IF(D45="","",IF(AND(M45="✓",N45="✓",O45="✓"),"✅正式",IF(M45&amp;N45&amp;O45="","入会前","手続き中")))</f>
        <v/>
      </c>
      <c r="Q45" s="24" t="n"/>
      <c r="R45" s="24" t="n"/>
      <c r="S45" s="10">
        <f>IF(OR(D45="",R45=""),"",TODAY()-R45)</f>
        <v/>
      </c>
      <c r="T45" s="22" t="n"/>
      <c r="U45" s="24" t="n"/>
      <c r="V45" s="23" t="n"/>
      <c r="W45" s="14">
        <f>IF(OR(D45="",V45="辞退",V45="保留",P45="✅正式"),"",TRIM(IF(AND(U45&lt;&gt;"",U45&lt;TODAY()),"期日超過 ","")&amp;IF(AND(S45&lt;&gt;"",S45&gt;='設定'!$B$9),"放置"&amp;S45&amp;"日 ","")&amp;IF(AND(J45="CCS済",M45&lt;&gt;"✓"),"CCS後の申込待ち ","")&amp;IF(AND(M45="✓",N45&lt;&gt;"✓"),"振込待ち ","")&amp;IF(AND(N45="✓",O45&lt;&gt;"✓"),"同意書待ち ","")&amp;IF(T45="","次アクション未設定","")))</f>
        <v/>
      </c>
      <c r="X45" s="10" t="n"/>
      <c r="Y45" s="22" t="n"/>
    </row>
    <row r="46">
      <c r="A46" s="10">
        <f>IF(D46="","",ROW()-4)</f>
        <v/>
      </c>
      <c r="B46" s="22" t="n"/>
      <c r="C46" s="22" t="n"/>
      <c r="D46" s="22" t="n"/>
      <c r="E46" s="22" t="n"/>
      <c r="F46" s="22" t="n"/>
      <c r="G46" s="22" t="n"/>
      <c r="H46" s="22" t="n"/>
      <c r="I46" s="22" t="n"/>
      <c r="J46" s="23" t="n"/>
      <c r="K46" s="24" t="n"/>
      <c r="L46" s="22" t="n"/>
      <c r="M46" s="23" t="n"/>
      <c r="N46" s="23" t="n"/>
      <c r="O46" s="23" t="n"/>
      <c r="P46" s="10">
        <f>IF(D46="","",IF(AND(M46="✓",N46="✓",O46="✓"),"✅正式",IF(M46&amp;N46&amp;O46="","入会前","手続き中")))</f>
        <v/>
      </c>
      <c r="Q46" s="24" t="n"/>
      <c r="R46" s="24" t="n"/>
      <c r="S46" s="10">
        <f>IF(OR(D46="",R46=""),"",TODAY()-R46)</f>
        <v/>
      </c>
      <c r="T46" s="22" t="n"/>
      <c r="U46" s="24" t="n"/>
      <c r="V46" s="23" t="n"/>
      <c r="W46" s="14">
        <f>IF(OR(D46="",V46="辞退",V46="保留",P46="✅正式"),"",TRIM(IF(AND(U46&lt;&gt;"",U46&lt;TODAY()),"期日超過 ","")&amp;IF(AND(S46&lt;&gt;"",S46&gt;='設定'!$B$9),"放置"&amp;S46&amp;"日 ","")&amp;IF(AND(J46="CCS済",M46&lt;&gt;"✓"),"CCS後の申込待ち ","")&amp;IF(AND(M46="✓",N46&lt;&gt;"✓"),"振込待ち ","")&amp;IF(AND(N46="✓",O46&lt;&gt;"✓"),"同意書待ち ","")&amp;IF(T46="","次アクション未設定","")))</f>
        <v/>
      </c>
      <c r="X46" s="10" t="n"/>
      <c r="Y46" s="22" t="n"/>
    </row>
    <row r="47">
      <c r="A47" s="10">
        <f>IF(D47="","",ROW()-4)</f>
        <v/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4" t="n"/>
      <c r="L47" s="22" t="n"/>
      <c r="M47" s="23" t="n"/>
      <c r="N47" s="23" t="n"/>
      <c r="O47" s="23" t="n"/>
      <c r="P47" s="10">
        <f>IF(D47="","",IF(AND(M47="✓",N47="✓",O47="✓"),"✅正式",IF(M47&amp;N47&amp;O47="","入会前","手続き中")))</f>
        <v/>
      </c>
      <c r="Q47" s="24" t="n"/>
      <c r="R47" s="24" t="n"/>
      <c r="S47" s="10">
        <f>IF(OR(D47="",R47=""),"",TODAY()-R47)</f>
        <v/>
      </c>
      <c r="T47" s="22" t="n"/>
      <c r="U47" s="24" t="n"/>
      <c r="V47" s="23" t="n"/>
      <c r="W47" s="14">
        <f>IF(OR(D47="",V47="辞退",V47="保留",P47="✅正式"),"",TRIM(IF(AND(U47&lt;&gt;"",U47&lt;TODAY()),"期日超過 ","")&amp;IF(AND(S47&lt;&gt;"",S47&gt;='設定'!$B$9),"放置"&amp;S47&amp;"日 ","")&amp;IF(AND(J47="CCS済",M47&lt;&gt;"✓"),"CCS後の申込待ち ","")&amp;IF(AND(M47="✓",N47&lt;&gt;"✓"),"振込待ち ","")&amp;IF(AND(N47="✓",O47&lt;&gt;"✓"),"同意書待ち ","")&amp;IF(T47="","次アクション未設定","")))</f>
        <v/>
      </c>
      <c r="X47" s="10" t="n"/>
      <c r="Y47" s="22" t="n"/>
    </row>
    <row r="48">
      <c r="A48" s="10">
        <f>IF(D48="","",ROW()-4)</f>
        <v/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s="23" t="n"/>
      <c r="K48" s="24" t="n"/>
      <c r="L48" s="22" t="n"/>
      <c r="M48" s="23" t="n"/>
      <c r="N48" s="23" t="n"/>
      <c r="O48" s="23" t="n"/>
      <c r="P48" s="10">
        <f>IF(D48="","",IF(AND(M48="✓",N48="✓",O48="✓"),"✅正式",IF(M48&amp;N48&amp;O48="","入会前","手続き中")))</f>
        <v/>
      </c>
      <c r="Q48" s="24" t="n"/>
      <c r="R48" s="24" t="n"/>
      <c r="S48" s="10">
        <f>IF(OR(D48="",R48=""),"",TODAY()-R48)</f>
        <v/>
      </c>
      <c r="T48" s="22" t="n"/>
      <c r="U48" s="24" t="n"/>
      <c r="V48" s="23" t="n"/>
      <c r="W48" s="14">
        <f>IF(OR(D48="",V48="辞退",V48="保留",P48="✅正式"),"",TRIM(IF(AND(U48&lt;&gt;"",U48&lt;TODAY()),"期日超過 ","")&amp;IF(AND(S48&lt;&gt;"",S48&gt;='設定'!$B$9),"放置"&amp;S48&amp;"日 ","")&amp;IF(AND(J48="CCS済",M48&lt;&gt;"✓"),"CCS後の申込待ち ","")&amp;IF(AND(M48="✓",N48&lt;&gt;"✓"),"振込待ち ","")&amp;IF(AND(N48="✓",O48&lt;&gt;"✓"),"同意書待ち ","")&amp;IF(T48="","次アクション未設定","")))</f>
        <v/>
      </c>
      <c r="X48" s="10" t="n"/>
      <c r="Y48" s="22" t="n"/>
    </row>
    <row r="49">
      <c r="A49" s="10">
        <f>IF(D49="","",ROW()-4)</f>
        <v/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4" t="n"/>
      <c r="L49" s="22" t="n"/>
      <c r="M49" s="23" t="n"/>
      <c r="N49" s="23" t="n"/>
      <c r="O49" s="23" t="n"/>
      <c r="P49" s="10">
        <f>IF(D49="","",IF(AND(M49="✓",N49="✓",O49="✓"),"✅正式",IF(M49&amp;N49&amp;O49="","入会前","手続き中")))</f>
        <v/>
      </c>
      <c r="Q49" s="24" t="n"/>
      <c r="R49" s="24" t="n"/>
      <c r="S49" s="10">
        <f>IF(OR(D49="",R49=""),"",TODAY()-R49)</f>
        <v/>
      </c>
      <c r="T49" s="22" t="n"/>
      <c r="U49" s="24" t="n"/>
      <c r="V49" s="23" t="n"/>
      <c r="W49" s="14">
        <f>IF(OR(D49="",V49="辞退",V49="保留",P49="✅正式"),"",TRIM(IF(AND(U49&lt;&gt;"",U49&lt;TODAY()),"期日超過 ","")&amp;IF(AND(S49&lt;&gt;"",S49&gt;='設定'!$B$9),"放置"&amp;S49&amp;"日 ","")&amp;IF(AND(J49="CCS済",M49&lt;&gt;"✓"),"CCS後の申込待ち ","")&amp;IF(AND(M49="✓",N49&lt;&gt;"✓"),"振込待ち ","")&amp;IF(AND(N49="✓",O49&lt;&gt;"✓"),"同意書待ち ","")&amp;IF(T49="","次アクション未設定","")))</f>
        <v/>
      </c>
      <c r="X49" s="10" t="n"/>
      <c r="Y49" s="22" t="n"/>
    </row>
    <row r="50">
      <c r="A50" s="10">
        <f>IF(D50="","",ROW()-4)</f>
        <v/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3" t="n"/>
      <c r="K50" s="24" t="n"/>
      <c r="L50" s="22" t="n"/>
      <c r="M50" s="23" t="n"/>
      <c r="N50" s="23" t="n"/>
      <c r="O50" s="23" t="n"/>
      <c r="P50" s="10">
        <f>IF(D50="","",IF(AND(M50="✓",N50="✓",O50="✓"),"✅正式",IF(M50&amp;N50&amp;O50="","入会前","手続き中")))</f>
        <v/>
      </c>
      <c r="Q50" s="24" t="n"/>
      <c r="R50" s="24" t="n"/>
      <c r="S50" s="10">
        <f>IF(OR(D50="",R50=""),"",TODAY()-R50)</f>
        <v/>
      </c>
      <c r="T50" s="22" t="n"/>
      <c r="U50" s="24" t="n"/>
      <c r="V50" s="23" t="n"/>
      <c r="W50" s="14">
        <f>IF(OR(D50="",V50="辞退",V50="保留",P50="✅正式"),"",TRIM(IF(AND(U50&lt;&gt;"",U50&lt;TODAY()),"期日超過 ","")&amp;IF(AND(S50&lt;&gt;"",S50&gt;='設定'!$B$9),"放置"&amp;S50&amp;"日 ","")&amp;IF(AND(J50="CCS済",M50&lt;&gt;"✓"),"CCS後の申込待ち ","")&amp;IF(AND(M50="✓",N50&lt;&gt;"✓"),"振込待ち ","")&amp;IF(AND(N50="✓",O50&lt;&gt;"✓"),"同意書待ち ","")&amp;IF(T50="","次アクション未設定","")))</f>
        <v/>
      </c>
      <c r="X50" s="10" t="n"/>
      <c r="Y50" s="22" t="n"/>
    </row>
    <row r="51">
      <c r="A51" s="10">
        <f>IF(D51="","",ROW()-4)</f>
        <v/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4" t="n"/>
      <c r="L51" s="22" t="n"/>
      <c r="M51" s="23" t="n"/>
      <c r="N51" s="23" t="n"/>
      <c r="O51" s="23" t="n"/>
      <c r="P51" s="10">
        <f>IF(D51="","",IF(AND(M51="✓",N51="✓",O51="✓"),"✅正式",IF(M51&amp;N51&amp;O51="","入会前","手続き中")))</f>
        <v/>
      </c>
      <c r="Q51" s="24" t="n"/>
      <c r="R51" s="24" t="n"/>
      <c r="S51" s="10">
        <f>IF(OR(D51="",R51=""),"",TODAY()-R51)</f>
        <v/>
      </c>
      <c r="T51" s="22" t="n"/>
      <c r="U51" s="24" t="n"/>
      <c r="V51" s="23" t="n"/>
      <c r="W51" s="14">
        <f>IF(OR(D51="",V51="辞退",V51="保留",P51="✅正式"),"",TRIM(IF(AND(U51&lt;&gt;"",U51&lt;TODAY()),"期日超過 ","")&amp;IF(AND(S51&lt;&gt;"",S51&gt;='設定'!$B$9),"放置"&amp;S51&amp;"日 ","")&amp;IF(AND(J51="CCS済",M51&lt;&gt;"✓"),"CCS後の申込待ち ","")&amp;IF(AND(M51="✓",N51&lt;&gt;"✓"),"振込待ち ","")&amp;IF(AND(N51="✓",O51&lt;&gt;"✓"),"同意書待ち ","")&amp;IF(T51="","次アクション未設定","")))</f>
        <v/>
      </c>
      <c r="X51" s="10" t="n"/>
      <c r="Y51" s="22" t="n"/>
    </row>
    <row r="52">
      <c r="A52" s="10">
        <f>IF(D52="","",ROW()-4)</f>
        <v/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3" t="n"/>
      <c r="K52" s="24" t="n"/>
      <c r="L52" s="22" t="n"/>
      <c r="M52" s="23" t="n"/>
      <c r="N52" s="23" t="n"/>
      <c r="O52" s="23" t="n"/>
      <c r="P52" s="10">
        <f>IF(D52="","",IF(AND(M52="✓",N52="✓",O52="✓"),"✅正式",IF(M52&amp;N52&amp;O52="","入会前","手続き中")))</f>
        <v/>
      </c>
      <c r="Q52" s="24" t="n"/>
      <c r="R52" s="24" t="n"/>
      <c r="S52" s="10">
        <f>IF(OR(D52="",R52=""),"",TODAY()-R52)</f>
        <v/>
      </c>
      <c r="T52" s="22" t="n"/>
      <c r="U52" s="24" t="n"/>
      <c r="V52" s="23" t="n"/>
      <c r="W52" s="14">
        <f>IF(OR(D52="",V52="辞退",V52="保留",P52="✅正式"),"",TRIM(IF(AND(U52&lt;&gt;"",U52&lt;TODAY()),"期日超過 ","")&amp;IF(AND(S52&lt;&gt;"",S52&gt;='設定'!$B$9),"放置"&amp;S52&amp;"日 ","")&amp;IF(AND(J52="CCS済",M52&lt;&gt;"✓"),"CCS後の申込待ち ","")&amp;IF(AND(M52="✓",N52&lt;&gt;"✓"),"振込待ち ","")&amp;IF(AND(N52="✓",O52&lt;&gt;"✓"),"同意書待ち ","")&amp;IF(T52="","次アクション未設定","")))</f>
        <v/>
      </c>
      <c r="X52" s="10" t="n"/>
      <c r="Y52" s="22" t="n"/>
    </row>
    <row r="53">
      <c r="A53" s="10">
        <f>IF(D53="","",ROW()-4)</f>
        <v/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4" t="n"/>
      <c r="L53" s="22" t="n"/>
      <c r="M53" s="23" t="n"/>
      <c r="N53" s="23" t="n"/>
      <c r="O53" s="23" t="n"/>
      <c r="P53" s="10">
        <f>IF(D53="","",IF(AND(M53="✓",N53="✓",O53="✓"),"✅正式",IF(M53&amp;N53&amp;O53="","入会前","手続き中")))</f>
        <v/>
      </c>
      <c r="Q53" s="24" t="n"/>
      <c r="R53" s="24" t="n"/>
      <c r="S53" s="10">
        <f>IF(OR(D53="",R53=""),"",TODAY()-R53)</f>
        <v/>
      </c>
      <c r="T53" s="22" t="n"/>
      <c r="U53" s="24" t="n"/>
      <c r="V53" s="23" t="n"/>
      <c r="W53" s="14">
        <f>IF(OR(D53="",V53="辞退",V53="保留",P53="✅正式"),"",TRIM(IF(AND(U53&lt;&gt;"",U53&lt;TODAY()),"期日超過 ","")&amp;IF(AND(S53&lt;&gt;"",S53&gt;='設定'!$B$9),"放置"&amp;S53&amp;"日 ","")&amp;IF(AND(J53="CCS済",M53&lt;&gt;"✓"),"CCS後の申込待ち ","")&amp;IF(AND(M53="✓",N53&lt;&gt;"✓"),"振込待ち ","")&amp;IF(AND(N53="✓",O53&lt;&gt;"✓"),"同意書待ち ","")&amp;IF(T53="","次アクション未設定","")))</f>
        <v/>
      </c>
      <c r="X53" s="10" t="n"/>
      <c r="Y53" s="22" t="n"/>
    </row>
    <row r="54">
      <c r="A54" s="10">
        <f>IF(D54="","",ROW()-4)</f>
        <v/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3" t="n"/>
      <c r="K54" s="24" t="n"/>
      <c r="L54" s="22" t="n"/>
      <c r="M54" s="23" t="n"/>
      <c r="N54" s="23" t="n"/>
      <c r="O54" s="23" t="n"/>
      <c r="P54" s="10">
        <f>IF(D54="","",IF(AND(M54="✓",N54="✓",O54="✓"),"✅正式",IF(M54&amp;N54&amp;O54="","入会前","手続き中")))</f>
        <v/>
      </c>
      <c r="Q54" s="24" t="n"/>
      <c r="R54" s="24" t="n"/>
      <c r="S54" s="10">
        <f>IF(OR(D54="",R54=""),"",TODAY()-R54)</f>
        <v/>
      </c>
      <c r="T54" s="22" t="n"/>
      <c r="U54" s="24" t="n"/>
      <c r="V54" s="23" t="n"/>
      <c r="W54" s="14">
        <f>IF(OR(D54="",V54="辞退",V54="保留",P54="✅正式"),"",TRIM(IF(AND(U54&lt;&gt;"",U54&lt;TODAY()),"期日超過 ","")&amp;IF(AND(S54&lt;&gt;"",S54&gt;='設定'!$B$9),"放置"&amp;S54&amp;"日 ","")&amp;IF(AND(J54="CCS済",M54&lt;&gt;"✓"),"CCS後の申込待ち ","")&amp;IF(AND(M54="✓",N54&lt;&gt;"✓"),"振込待ち ","")&amp;IF(AND(N54="✓",O54&lt;&gt;"✓"),"同意書待ち ","")&amp;IF(T54="","次アクション未設定","")))</f>
        <v/>
      </c>
      <c r="X54" s="10" t="n"/>
      <c r="Y54" s="22" t="n"/>
    </row>
    <row r="55">
      <c r="A55" s="10">
        <f>IF(D55="","",ROW()-4)</f>
        <v/>
      </c>
      <c r="B55" s="22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4" t="n"/>
      <c r="L55" s="22" t="n"/>
      <c r="M55" s="23" t="n"/>
      <c r="N55" s="23" t="n"/>
      <c r="O55" s="23" t="n"/>
      <c r="P55" s="10">
        <f>IF(D55="","",IF(AND(M55="✓",N55="✓",O55="✓"),"✅正式",IF(M55&amp;N55&amp;O55="","入会前","手続き中")))</f>
        <v/>
      </c>
      <c r="Q55" s="24" t="n"/>
      <c r="R55" s="24" t="n"/>
      <c r="S55" s="10">
        <f>IF(OR(D55="",R55=""),"",TODAY()-R55)</f>
        <v/>
      </c>
      <c r="T55" s="22" t="n"/>
      <c r="U55" s="24" t="n"/>
      <c r="V55" s="23" t="n"/>
      <c r="W55" s="14">
        <f>IF(OR(D55="",V55="辞退",V55="保留",P55="✅正式"),"",TRIM(IF(AND(U55&lt;&gt;"",U55&lt;TODAY()),"期日超過 ","")&amp;IF(AND(S55&lt;&gt;"",S55&gt;='設定'!$B$9),"放置"&amp;S55&amp;"日 ","")&amp;IF(AND(J55="CCS済",M55&lt;&gt;"✓"),"CCS後の申込待ち ","")&amp;IF(AND(M55="✓",N55&lt;&gt;"✓"),"振込待ち ","")&amp;IF(AND(N55="✓",O55&lt;&gt;"✓"),"同意書待ち ","")&amp;IF(T55="","次アクション未設定","")))</f>
        <v/>
      </c>
      <c r="X55" s="10" t="n"/>
      <c r="Y55" s="22" t="n"/>
    </row>
    <row r="56">
      <c r="A56" s="10">
        <f>IF(D56="","",ROW()-4)</f>
        <v/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3" t="n"/>
      <c r="K56" s="24" t="n"/>
      <c r="L56" s="22" t="n"/>
      <c r="M56" s="23" t="n"/>
      <c r="N56" s="23" t="n"/>
      <c r="O56" s="23" t="n"/>
      <c r="P56" s="10">
        <f>IF(D56="","",IF(AND(M56="✓",N56="✓",O56="✓"),"✅正式",IF(M56&amp;N56&amp;O56="","入会前","手続き中")))</f>
        <v/>
      </c>
      <c r="Q56" s="24" t="n"/>
      <c r="R56" s="24" t="n"/>
      <c r="S56" s="10">
        <f>IF(OR(D56="",R56=""),"",TODAY()-R56)</f>
        <v/>
      </c>
      <c r="T56" s="22" t="n"/>
      <c r="U56" s="24" t="n"/>
      <c r="V56" s="23" t="n"/>
      <c r="W56" s="14">
        <f>IF(OR(D56="",V56="辞退",V56="保留",P56="✅正式"),"",TRIM(IF(AND(U56&lt;&gt;"",U56&lt;TODAY()),"期日超過 ","")&amp;IF(AND(S56&lt;&gt;"",S56&gt;='設定'!$B$9),"放置"&amp;S56&amp;"日 ","")&amp;IF(AND(J56="CCS済",M56&lt;&gt;"✓"),"CCS後の申込待ち ","")&amp;IF(AND(M56="✓",N56&lt;&gt;"✓"),"振込待ち ","")&amp;IF(AND(N56="✓",O56&lt;&gt;"✓"),"同意書待ち ","")&amp;IF(T56="","次アクション未設定","")))</f>
        <v/>
      </c>
      <c r="X56" s="10" t="n"/>
      <c r="Y56" s="22" t="n"/>
    </row>
    <row r="57">
      <c r="A57" s="10">
        <f>IF(D57="","",ROW()-4)</f>
        <v/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4" t="n"/>
      <c r="L57" s="22" t="n"/>
      <c r="M57" s="23" t="n"/>
      <c r="N57" s="23" t="n"/>
      <c r="O57" s="23" t="n"/>
      <c r="P57" s="10">
        <f>IF(D57="","",IF(AND(M57="✓",N57="✓",O57="✓"),"✅正式",IF(M57&amp;N57&amp;O57="","入会前","手続き中")))</f>
        <v/>
      </c>
      <c r="Q57" s="24" t="n"/>
      <c r="R57" s="24" t="n"/>
      <c r="S57" s="10">
        <f>IF(OR(D57="",R57=""),"",TODAY()-R57)</f>
        <v/>
      </c>
      <c r="T57" s="22" t="n"/>
      <c r="U57" s="24" t="n"/>
      <c r="V57" s="23" t="n"/>
      <c r="W57" s="14">
        <f>IF(OR(D57="",V57="辞退",V57="保留",P57="✅正式"),"",TRIM(IF(AND(U57&lt;&gt;"",U57&lt;TODAY()),"期日超過 ","")&amp;IF(AND(S57&lt;&gt;"",S57&gt;='設定'!$B$9),"放置"&amp;S57&amp;"日 ","")&amp;IF(AND(J57="CCS済",M57&lt;&gt;"✓"),"CCS後の申込待ち ","")&amp;IF(AND(M57="✓",N57&lt;&gt;"✓"),"振込待ち ","")&amp;IF(AND(N57="✓",O57&lt;&gt;"✓"),"同意書待ち ","")&amp;IF(T57="","次アクション未設定","")))</f>
        <v/>
      </c>
      <c r="X57" s="10" t="n"/>
      <c r="Y57" s="22" t="n"/>
    </row>
    <row r="58">
      <c r="A58" s="10">
        <f>IF(D58="","",ROW()-4)</f>
        <v/>
      </c>
      <c r="B58" s="22" t="n"/>
      <c r="C58" s="22" t="n"/>
      <c r="D58" s="22" t="n"/>
      <c r="E58" s="22" t="n"/>
      <c r="F58" s="22" t="n"/>
      <c r="G58" s="22" t="n"/>
      <c r="H58" s="22" t="n"/>
      <c r="I58" s="22" t="n"/>
      <c r="J58" s="23" t="n"/>
      <c r="K58" s="24" t="n"/>
      <c r="L58" s="22" t="n"/>
      <c r="M58" s="23" t="n"/>
      <c r="N58" s="23" t="n"/>
      <c r="O58" s="23" t="n"/>
      <c r="P58" s="10">
        <f>IF(D58="","",IF(AND(M58="✓",N58="✓",O58="✓"),"✅正式",IF(M58&amp;N58&amp;O58="","入会前","手続き中")))</f>
        <v/>
      </c>
      <c r="Q58" s="24" t="n"/>
      <c r="R58" s="24" t="n"/>
      <c r="S58" s="10">
        <f>IF(OR(D58="",R58=""),"",TODAY()-R58)</f>
        <v/>
      </c>
      <c r="T58" s="22" t="n"/>
      <c r="U58" s="24" t="n"/>
      <c r="V58" s="23" t="n"/>
      <c r="W58" s="14">
        <f>IF(OR(D58="",V58="辞退",V58="保留",P58="✅正式"),"",TRIM(IF(AND(U58&lt;&gt;"",U58&lt;TODAY()),"期日超過 ","")&amp;IF(AND(S58&lt;&gt;"",S58&gt;='設定'!$B$9),"放置"&amp;S58&amp;"日 ","")&amp;IF(AND(J58="CCS済",M58&lt;&gt;"✓"),"CCS後の申込待ち ","")&amp;IF(AND(M58="✓",N58&lt;&gt;"✓"),"振込待ち ","")&amp;IF(AND(N58="✓",O58&lt;&gt;"✓"),"同意書待ち ","")&amp;IF(T58="","次アクション未設定","")))</f>
        <v/>
      </c>
      <c r="X58" s="10" t="n"/>
      <c r="Y58" s="22" t="n"/>
    </row>
    <row r="59">
      <c r="A59" s="10">
        <f>IF(D59="","",ROW()-4)</f>
        <v/>
      </c>
      <c r="B59" s="22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4" t="n"/>
      <c r="L59" s="22" t="n"/>
      <c r="M59" s="23" t="n"/>
      <c r="N59" s="23" t="n"/>
      <c r="O59" s="23" t="n"/>
      <c r="P59" s="10">
        <f>IF(D59="","",IF(AND(M59="✓",N59="✓",O59="✓"),"✅正式",IF(M59&amp;N59&amp;O59="","入会前","手続き中")))</f>
        <v/>
      </c>
      <c r="Q59" s="24" t="n"/>
      <c r="R59" s="24" t="n"/>
      <c r="S59" s="10">
        <f>IF(OR(D59="",R59=""),"",TODAY()-R59)</f>
        <v/>
      </c>
      <c r="T59" s="22" t="n"/>
      <c r="U59" s="24" t="n"/>
      <c r="V59" s="23" t="n"/>
      <c r="W59" s="14">
        <f>IF(OR(D59="",V59="辞退",V59="保留",P59="✅正式"),"",TRIM(IF(AND(U59&lt;&gt;"",U59&lt;TODAY()),"期日超過 ","")&amp;IF(AND(S59&lt;&gt;"",S59&gt;='設定'!$B$9),"放置"&amp;S59&amp;"日 ","")&amp;IF(AND(J59="CCS済",M59&lt;&gt;"✓"),"CCS後の申込待ち ","")&amp;IF(AND(M59="✓",N59&lt;&gt;"✓"),"振込待ち ","")&amp;IF(AND(N59="✓",O59&lt;&gt;"✓"),"同意書待ち ","")&amp;IF(T59="","次アクション未設定","")))</f>
        <v/>
      </c>
      <c r="X59" s="10" t="n"/>
      <c r="Y59" s="22" t="n"/>
    </row>
    <row r="60">
      <c r="A60" s="10">
        <f>IF(D60="","",ROW()-4)</f>
        <v/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s="23" t="n"/>
      <c r="K60" s="24" t="n"/>
      <c r="L60" s="22" t="n"/>
      <c r="M60" s="23" t="n"/>
      <c r="N60" s="23" t="n"/>
      <c r="O60" s="23" t="n"/>
      <c r="P60" s="10">
        <f>IF(D60="","",IF(AND(M60="✓",N60="✓",O60="✓"),"✅正式",IF(M60&amp;N60&amp;O60="","入会前","手続き中")))</f>
        <v/>
      </c>
      <c r="Q60" s="24" t="n"/>
      <c r="R60" s="24" t="n"/>
      <c r="S60" s="10">
        <f>IF(OR(D60="",R60=""),"",TODAY()-R60)</f>
        <v/>
      </c>
      <c r="T60" s="22" t="n"/>
      <c r="U60" s="24" t="n"/>
      <c r="V60" s="23" t="n"/>
      <c r="W60" s="14">
        <f>IF(OR(D60="",V60="辞退",V60="保留",P60="✅正式"),"",TRIM(IF(AND(U60&lt;&gt;"",U60&lt;TODAY()),"期日超過 ","")&amp;IF(AND(S60&lt;&gt;"",S60&gt;='設定'!$B$9),"放置"&amp;S60&amp;"日 ","")&amp;IF(AND(J60="CCS済",M60&lt;&gt;"✓"),"CCS後の申込待ち ","")&amp;IF(AND(M60="✓",N60&lt;&gt;"✓"),"振込待ち ","")&amp;IF(AND(N60="✓",O60&lt;&gt;"✓"),"同意書待ち ","")&amp;IF(T60="","次アクション未設定","")))</f>
        <v/>
      </c>
      <c r="X60" s="10" t="n"/>
      <c r="Y60" s="22" t="n"/>
    </row>
    <row r="61">
      <c r="A61" s="10">
        <f>IF(D61="","",ROW()-4)</f>
        <v/>
      </c>
      <c r="B61" s="22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4" t="n"/>
      <c r="L61" s="22" t="n"/>
      <c r="M61" s="23" t="n"/>
      <c r="N61" s="23" t="n"/>
      <c r="O61" s="23" t="n"/>
      <c r="P61" s="10">
        <f>IF(D61="","",IF(AND(M61="✓",N61="✓",O61="✓"),"✅正式",IF(M61&amp;N61&amp;O61="","入会前","手続き中")))</f>
        <v/>
      </c>
      <c r="Q61" s="24" t="n"/>
      <c r="R61" s="24" t="n"/>
      <c r="S61" s="10">
        <f>IF(OR(D61="",R61=""),"",TODAY()-R61)</f>
        <v/>
      </c>
      <c r="T61" s="22" t="n"/>
      <c r="U61" s="24" t="n"/>
      <c r="V61" s="23" t="n"/>
      <c r="W61" s="14">
        <f>IF(OR(D61="",V61="辞退",V61="保留",P61="✅正式"),"",TRIM(IF(AND(U61&lt;&gt;"",U61&lt;TODAY()),"期日超過 ","")&amp;IF(AND(S61&lt;&gt;"",S61&gt;='設定'!$B$9),"放置"&amp;S61&amp;"日 ","")&amp;IF(AND(J61="CCS済",M61&lt;&gt;"✓"),"CCS後の申込待ち ","")&amp;IF(AND(M61="✓",N61&lt;&gt;"✓"),"振込待ち ","")&amp;IF(AND(N61="✓",O61&lt;&gt;"✓"),"同意書待ち ","")&amp;IF(T61="","次アクション未設定","")))</f>
        <v/>
      </c>
      <c r="X61" s="10" t="n"/>
      <c r="Y61" s="22" t="n"/>
    </row>
    <row r="62">
      <c r="A62" s="10">
        <f>IF(D62="","",ROW()-4)</f>
        <v/>
      </c>
      <c r="B62" s="22" t="n"/>
      <c r="C62" s="22" t="n"/>
      <c r="D62" s="22" t="n"/>
      <c r="E62" s="22" t="n"/>
      <c r="F62" s="22" t="n"/>
      <c r="G62" s="22" t="n"/>
      <c r="H62" s="22" t="n"/>
      <c r="I62" s="22" t="n"/>
      <c r="J62" s="23" t="n"/>
      <c r="K62" s="24" t="n"/>
      <c r="L62" s="22" t="n"/>
      <c r="M62" s="23" t="n"/>
      <c r="N62" s="23" t="n"/>
      <c r="O62" s="23" t="n"/>
      <c r="P62" s="10">
        <f>IF(D62="","",IF(AND(M62="✓",N62="✓",O62="✓"),"✅正式",IF(M62&amp;N62&amp;O62="","入会前","手続き中")))</f>
        <v/>
      </c>
      <c r="Q62" s="24" t="n"/>
      <c r="R62" s="24" t="n"/>
      <c r="S62" s="10">
        <f>IF(OR(D62="",R62=""),"",TODAY()-R62)</f>
        <v/>
      </c>
      <c r="T62" s="22" t="n"/>
      <c r="U62" s="24" t="n"/>
      <c r="V62" s="23" t="n"/>
      <c r="W62" s="14">
        <f>IF(OR(D62="",V62="辞退",V62="保留",P62="✅正式"),"",TRIM(IF(AND(U62&lt;&gt;"",U62&lt;TODAY()),"期日超過 ","")&amp;IF(AND(S62&lt;&gt;"",S62&gt;='設定'!$B$9),"放置"&amp;S62&amp;"日 ","")&amp;IF(AND(J62="CCS済",M62&lt;&gt;"✓"),"CCS後の申込待ち ","")&amp;IF(AND(M62="✓",N62&lt;&gt;"✓"),"振込待ち ","")&amp;IF(AND(N62="✓",O62&lt;&gt;"✓"),"同意書待ち ","")&amp;IF(T62="","次アクション未設定","")))</f>
        <v/>
      </c>
      <c r="X62" s="10" t="n"/>
      <c r="Y62" s="22" t="n"/>
    </row>
    <row r="63">
      <c r="A63" s="10">
        <f>IF(D63="","",ROW()-4)</f>
        <v/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4" t="n"/>
      <c r="L63" s="22" t="n"/>
      <c r="M63" s="23" t="n"/>
      <c r="N63" s="23" t="n"/>
      <c r="O63" s="23" t="n"/>
      <c r="P63" s="10">
        <f>IF(D63="","",IF(AND(M63="✓",N63="✓",O63="✓"),"✅正式",IF(M63&amp;N63&amp;O63="","入会前","手続き中")))</f>
        <v/>
      </c>
      <c r="Q63" s="24" t="n"/>
      <c r="R63" s="24" t="n"/>
      <c r="S63" s="10">
        <f>IF(OR(D63="",R63=""),"",TODAY()-R63)</f>
        <v/>
      </c>
      <c r="T63" s="22" t="n"/>
      <c r="U63" s="24" t="n"/>
      <c r="V63" s="23" t="n"/>
      <c r="W63" s="14">
        <f>IF(OR(D63="",V63="辞退",V63="保留",P63="✅正式"),"",TRIM(IF(AND(U63&lt;&gt;"",U63&lt;TODAY()),"期日超過 ","")&amp;IF(AND(S63&lt;&gt;"",S63&gt;='設定'!$B$9),"放置"&amp;S63&amp;"日 ","")&amp;IF(AND(J63="CCS済",M63&lt;&gt;"✓"),"CCS後の申込待ち ","")&amp;IF(AND(M63="✓",N63&lt;&gt;"✓"),"振込待ち ","")&amp;IF(AND(N63="✓",O63&lt;&gt;"✓"),"同意書待ち ","")&amp;IF(T63="","次アクション未設定","")))</f>
        <v/>
      </c>
      <c r="X63" s="10" t="n"/>
      <c r="Y63" s="22" t="n"/>
    </row>
    <row r="64">
      <c r="A64" s="10">
        <f>IF(D64="","",ROW()-4)</f>
        <v/>
      </c>
      <c r="B64" s="22" t="n"/>
      <c r="C64" s="22" t="n"/>
      <c r="D64" s="22" t="n"/>
      <c r="E64" s="22" t="n"/>
      <c r="F64" s="22" t="n"/>
      <c r="G64" s="22" t="n"/>
      <c r="H64" s="22" t="n"/>
      <c r="I64" s="22" t="n"/>
      <c r="J64" s="23" t="n"/>
      <c r="K64" s="24" t="n"/>
      <c r="L64" s="22" t="n"/>
      <c r="M64" s="23" t="n"/>
      <c r="N64" s="23" t="n"/>
      <c r="O64" s="23" t="n"/>
      <c r="P64" s="10">
        <f>IF(D64="","",IF(AND(M64="✓",N64="✓",O64="✓"),"✅正式",IF(M64&amp;N64&amp;O64="","入会前","手続き中")))</f>
        <v/>
      </c>
      <c r="Q64" s="24" t="n"/>
      <c r="R64" s="24" t="n"/>
      <c r="S64" s="10">
        <f>IF(OR(D64="",R64=""),"",TODAY()-R64)</f>
        <v/>
      </c>
      <c r="T64" s="22" t="n"/>
      <c r="U64" s="24" t="n"/>
      <c r="V64" s="23" t="n"/>
      <c r="W64" s="14">
        <f>IF(OR(D64="",V64="辞退",V64="保留",P64="✅正式"),"",TRIM(IF(AND(U64&lt;&gt;"",U64&lt;TODAY()),"期日超過 ","")&amp;IF(AND(S64&lt;&gt;"",S64&gt;='設定'!$B$9),"放置"&amp;S64&amp;"日 ","")&amp;IF(AND(J64="CCS済",M64&lt;&gt;"✓"),"CCS後の申込待ち ","")&amp;IF(AND(M64="✓",N64&lt;&gt;"✓"),"振込待ち ","")&amp;IF(AND(N64="✓",O64&lt;&gt;"✓"),"同意書待ち ","")&amp;IF(T64="","次アクション未設定","")))</f>
        <v/>
      </c>
      <c r="X64" s="10" t="n"/>
      <c r="Y64" s="22" t="n"/>
    </row>
    <row r="65">
      <c r="A65" s="10">
        <f>IF(D65="","",ROW()-4)</f>
        <v/>
      </c>
      <c r="B65" s="22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4" t="n"/>
      <c r="L65" s="22" t="n"/>
      <c r="M65" s="23" t="n"/>
      <c r="N65" s="23" t="n"/>
      <c r="O65" s="23" t="n"/>
      <c r="P65" s="10">
        <f>IF(D65="","",IF(AND(M65="✓",N65="✓",O65="✓"),"✅正式",IF(M65&amp;N65&amp;O65="","入会前","手続き中")))</f>
        <v/>
      </c>
      <c r="Q65" s="24" t="n"/>
      <c r="R65" s="24" t="n"/>
      <c r="S65" s="10">
        <f>IF(OR(D65="",R65=""),"",TODAY()-R65)</f>
        <v/>
      </c>
      <c r="T65" s="22" t="n"/>
      <c r="U65" s="24" t="n"/>
      <c r="V65" s="23" t="n"/>
      <c r="W65" s="14">
        <f>IF(OR(D65="",V65="辞退",V65="保留",P65="✅正式"),"",TRIM(IF(AND(U65&lt;&gt;"",U65&lt;TODAY()),"期日超過 ","")&amp;IF(AND(S65&lt;&gt;"",S65&gt;='設定'!$B$9),"放置"&amp;S65&amp;"日 ","")&amp;IF(AND(J65="CCS済",M65&lt;&gt;"✓"),"CCS後の申込待ち ","")&amp;IF(AND(M65="✓",N65&lt;&gt;"✓"),"振込待ち ","")&amp;IF(AND(N65="✓",O65&lt;&gt;"✓"),"同意書待ち ","")&amp;IF(T65="","次アクション未設定","")))</f>
        <v/>
      </c>
      <c r="X65" s="10" t="n"/>
      <c r="Y65" s="22" t="n"/>
    </row>
    <row r="66">
      <c r="A66" s="10">
        <f>IF(D66="","",ROW()-4)</f>
        <v/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s="23" t="n"/>
      <c r="K66" s="24" t="n"/>
      <c r="L66" s="22" t="n"/>
      <c r="M66" s="23" t="n"/>
      <c r="N66" s="23" t="n"/>
      <c r="O66" s="23" t="n"/>
      <c r="P66" s="10">
        <f>IF(D66="","",IF(AND(M66="✓",N66="✓",O66="✓"),"✅正式",IF(M66&amp;N66&amp;O66="","入会前","手続き中")))</f>
        <v/>
      </c>
      <c r="Q66" s="24" t="n"/>
      <c r="R66" s="24" t="n"/>
      <c r="S66" s="10">
        <f>IF(OR(D66="",R66=""),"",TODAY()-R66)</f>
        <v/>
      </c>
      <c r="T66" s="22" t="n"/>
      <c r="U66" s="24" t="n"/>
      <c r="V66" s="23" t="n"/>
      <c r="W66" s="14">
        <f>IF(OR(D66="",V66="辞退",V66="保留",P66="✅正式"),"",TRIM(IF(AND(U66&lt;&gt;"",U66&lt;TODAY()),"期日超過 ","")&amp;IF(AND(S66&lt;&gt;"",S66&gt;='設定'!$B$9),"放置"&amp;S66&amp;"日 ","")&amp;IF(AND(J66="CCS済",M66&lt;&gt;"✓"),"CCS後の申込待ち ","")&amp;IF(AND(M66="✓",N66&lt;&gt;"✓"),"振込待ち ","")&amp;IF(AND(N66="✓",O66&lt;&gt;"✓"),"同意書待ち ","")&amp;IF(T66="","次アクション未設定","")))</f>
        <v/>
      </c>
      <c r="X66" s="10" t="n"/>
      <c r="Y66" s="22" t="n"/>
    </row>
    <row r="67">
      <c r="A67" s="10">
        <f>IF(D67="","",ROW()-4)</f>
        <v/>
      </c>
      <c r="B67" s="22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4" t="n"/>
      <c r="L67" s="22" t="n"/>
      <c r="M67" s="23" t="n"/>
      <c r="N67" s="23" t="n"/>
      <c r="O67" s="23" t="n"/>
      <c r="P67" s="10">
        <f>IF(D67="","",IF(AND(M67="✓",N67="✓",O67="✓"),"✅正式",IF(M67&amp;N67&amp;O67="","入会前","手続き中")))</f>
        <v/>
      </c>
      <c r="Q67" s="24" t="n"/>
      <c r="R67" s="24" t="n"/>
      <c r="S67" s="10">
        <f>IF(OR(D67="",R67=""),"",TODAY()-R67)</f>
        <v/>
      </c>
      <c r="T67" s="22" t="n"/>
      <c r="U67" s="24" t="n"/>
      <c r="V67" s="23" t="n"/>
      <c r="W67" s="14">
        <f>IF(OR(D67="",V67="辞退",V67="保留",P67="✅正式"),"",TRIM(IF(AND(U67&lt;&gt;"",U67&lt;TODAY()),"期日超過 ","")&amp;IF(AND(S67&lt;&gt;"",S67&gt;='設定'!$B$9),"放置"&amp;S67&amp;"日 ","")&amp;IF(AND(J67="CCS済",M67&lt;&gt;"✓"),"CCS後の申込待ち ","")&amp;IF(AND(M67="✓",N67&lt;&gt;"✓"),"振込待ち ","")&amp;IF(AND(N67="✓",O67&lt;&gt;"✓"),"同意書待ち ","")&amp;IF(T67="","次アクション未設定","")))</f>
        <v/>
      </c>
      <c r="X67" s="10" t="n"/>
      <c r="Y67" s="22" t="n"/>
    </row>
    <row r="68">
      <c r="A68" s="10">
        <f>IF(D68="","",ROW()-4)</f>
        <v/>
      </c>
      <c r="B68" s="22" t="n"/>
      <c r="C68" s="22" t="n"/>
      <c r="D68" s="22" t="n"/>
      <c r="E68" s="22" t="n"/>
      <c r="F68" s="22" t="n"/>
      <c r="G68" s="22" t="n"/>
      <c r="H68" s="22" t="n"/>
      <c r="I68" s="22" t="n"/>
      <c r="J68" s="23" t="n"/>
      <c r="K68" s="24" t="n"/>
      <c r="L68" s="22" t="n"/>
      <c r="M68" s="23" t="n"/>
      <c r="N68" s="23" t="n"/>
      <c r="O68" s="23" t="n"/>
      <c r="P68" s="10">
        <f>IF(D68="","",IF(AND(M68="✓",N68="✓",O68="✓"),"✅正式",IF(M68&amp;N68&amp;O68="","入会前","手続き中")))</f>
        <v/>
      </c>
      <c r="Q68" s="24" t="n"/>
      <c r="R68" s="24" t="n"/>
      <c r="S68" s="10">
        <f>IF(OR(D68="",R68=""),"",TODAY()-R68)</f>
        <v/>
      </c>
      <c r="T68" s="22" t="n"/>
      <c r="U68" s="24" t="n"/>
      <c r="V68" s="23" t="n"/>
      <c r="W68" s="14">
        <f>IF(OR(D68="",V68="辞退",V68="保留",P68="✅正式"),"",TRIM(IF(AND(U68&lt;&gt;"",U68&lt;TODAY()),"期日超過 ","")&amp;IF(AND(S68&lt;&gt;"",S68&gt;='設定'!$B$9),"放置"&amp;S68&amp;"日 ","")&amp;IF(AND(J68="CCS済",M68&lt;&gt;"✓"),"CCS後の申込待ち ","")&amp;IF(AND(M68="✓",N68&lt;&gt;"✓"),"振込待ち ","")&amp;IF(AND(N68="✓",O68&lt;&gt;"✓"),"同意書待ち ","")&amp;IF(T68="","次アクション未設定","")))</f>
        <v/>
      </c>
      <c r="X68" s="10" t="n"/>
      <c r="Y68" s="22" t="n"/>
    </row>
    <row r="69">
      <c r="A69" s="10">
        <f>IF(D69="","",ROW()-4)</f>
        <v/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4" t="n"/>
      <c r="L69" s="22" t="n"/>
      <c r="M69" s="23" t="n"/>
      <c r="N69" s="23" t="n"/>
      <c r="O69" s="23" t="n"/>
      <c r="P69" s="10">
        <f>IF(D69="","",IF(AND(M69="✓",N69="✓",O69="✓"),"✅正式",IF(M69&amp;N69&amp;O69="","入会前","手続き中")))</f>
        <v/>
      </c>
      <c r="Q69" s="24" t="n"/>
      <c r="R69" s="24" t="n"/>
      <c r="S69" s="10">
        <f>IF(OR(D69="",R69=""),"",TODAY()-R69)</f>
        <v/>
      </c>
      <c r="T69" s="22" t="n"/>
      <c r="U69" s="24" t="n"/>
      <c r="V69" s="23" t="n"/>
      <c r="W69" s="14">
        <f>IF(OR(D69="",V69="辞退",V69="保留",P69="✅正式"),"",TRIM(IF(AND(U69&lt;&gt;"",U69&lt;TODAY()),"期日超過 ","")&amp;IF(AND(S69&lt;&gt;"",S69&gt;='設定'!$B$9),"放置"&amp;S69&amp;"日 ","")&amp;IF(AND(J69="CCS済",M69&lt;&gt;"✓"),"CCS後の申込待ち ","")&amp;IF(AND(M69="✓",N69&lt;&gt;"✓"),"振込待ち ","")&amp;IF(AND(N69="✓",O69&lt;&gt;"✓"),"同意書待ち ","")&amp;IF(T69="","次アクション未設定","")))</f>
        <v/>
      </c>
      <c r="X69" s="10" t="n"/>
      <c r="Y69" s="22" t="n"/>
    </row>
    <row r="70">
      <c r="A70" s="10">
        <f>IF(D70="","",ROW()-4)</f>
        <v/>
      </c>
      <c r="B70" s="22" t="n"/>
      <c r="C70" s="22" t="n"/>
      <c r="D70" s="22" t="n"/>
      <c r="E70" s="22" t="n"/>
      <c r="F70" s="22" t="n"/>
      <c r="G70" s="22" t="n"/>
      <c r="H70" s="22" t="n"/>
      <c r="I70" s="22" t="n"/>
      <c r="J70" s="23" t="n"/>
      <c r="K70" s="24" t="n"/>
      <c r="L70" s="22" t="n"/>
      <c r="M70" s="23" t="n"/>
      <c r="N70" s="23" t="n"/>
      <c r="O70" s="23" t="n"/>
      <c r="P70" s="10">
        <f>IF(D70="","",IF(AND(M70="✓",N70="✓",O70="✓"),"✅正式",IF(M70&amp;N70&amp;O70="","入会前","手続き中")))</f>
        <v/>
      </c>
      <c r="Q70" s="24" t="n"/>
      <c r="R70" s="24" t="n"/>
      <c r="S70" s="10">
        <f>IF(OR(D70="",R70=""),"",TODAY()-R70)</f>
        <v/>
      </c>
      <c r="T70" s="22" t="n"/>
      <c r="U70" s="24" t="n"/>
      <c r="V70" s="23" t="n"/>
      <c r="W70" s="14">
        <f>IF(OR(D70="",V70="辞退",V70="保留",P70="✅正式"),"",TRIM(IF(AND(U70&lt;&gt;"",U70&lt;TODAY()),"期日超過 ","")&amp;IF(AND(S70&lt;&gt;"",S70&gt;='設定'!$B$9),"放置"&amp;S70&amp;"日 ","")&amp;IF(AND(J70="CCS済",M70&lt;&gt;"✓"),"CCS後の申込待ち ","")&amp;IF(AND(M70="✓",N70&lt;&gt;"✓"),"振込待ち ","")&amp;IF(AND(N70="✓",O70&lt;&gt;"✓"),"同意書待ち ","")&amp;IF(T70="","次アクション未設定","")))</f>
        <v/>
      </c>
      <c r="X70" s="10" t="n"/>
      <c r="Y70" s="22" t="n"/>
    </row>
    <row r="71">
      <c r="A71" s="10">
        <f>IF(D71="","",ROW()-4)</f>
        <v/>
      </c>
      <c r="B71" s="22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4" t="n"/>
      <c r="L71" s="22" t="n"/>
      <c r="M71" s="23" t="n"/>
      <c r="N71" s="23" t="n"/>
      <c r="O71" s="23" t="n"/>
      <c r="P71" s="10">
        <f>IF(D71="","",IF(AND(M71="✓",N71="✓",O71="✓"),"✅正式",IF(M71&amp;N71&amp;O71="","入会前","手続き中")))</f>
        <v/>
      </c>
      <c r="Q71" s="24" t="n"/>
      <c r="R71" s="24" t="n"/>
      <c r="S71" s="10">
        <f>IF(OR(D71="",R71=""),"",TODAY()-R71)</f>
        <v/>
      </c>
      <c r="T71" s="22" t="n"/>
      <c r="U71" s="24" t="n"/>
      <c r="V71" s="23" t="n"/>
      <c r="W71" s="14">
        <f>IF(OR(D71="",V71="辞退",V71="保留",P71="✅正式"),"",TRIM(IF(AND(U71&lt;&gt;"",U71&lt;TODAY()),"期日超過 ","")&amp;IF(AND(S71&lt;&gt;"",S71&gt;='設定'!$B$9),"放置"&amp;S71&amp;"日 ","")&amp;IF(AND(J71="CCS済",M71&lt;&gt;"✓"),"CCS後の申込待ち ","")&amp;IF(AND(M71="✓",N71&lt;&gt;"✓"),"振込待ち ","")&amp;IF(AND(N71="✓",O71&lt;&gt;"✓"),"同意書待ち ","")&amp;IF(T71="","次アクション未設定","")))</f>
        <v/>
      </c>
      <c r="X71" s="10" t="n"/>
      <c r="Y71" s="22" t="n"/>
    </row>
    <row r="72">
      <c r="A72" s="10">
        <f>IF(D72="","",ROW()-4)</f>
        <v/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s="23" t="n"/>
      <c r="K72" s="24" t="n"/>
      <c r="L72" s="22" t="n"/>
      <c r="M72" s="23" t="n"/>
      <c r="N72" s="23" t="n"/>
      <c r="O72" s="23" t="n"/>
      <c r="P72" s="10">
        <f>IF(D72="","",IF(AND(M72="✓",N72="✓",O72="✓"),"✅正式",IF(M72&amp;N72&amp;O72="","入会前","手続き中")))</f>
        <v/>
      </c>
      <c r="Q72" s="24" t="n"/>
      <c r="R72" s="24" t="n"/>
      <c r="S72" s="10">
        <f>IF(OR(D72="",R72=""),"",TODAY()-R72)</f>
        <v/>
      </c>
      <c r="T72" s="22" t="n"/>
      <c r="U72" s="24" t="n"/>
      <c r="V72" s="23" t="n"/>
      <c r="W72" s="14">
        <f>IF(OR(D72="",V72="辞退",V72="保留",P72="✅正式"),"",TRIM(IF(AND(U72&lt;&gt;"",U72&lt;TODAY()),"期日超過 ","")&amp;IF(AND(S72&lt;&gt;"",S72&gt;='設定'!$B$9),"放置"&amp;S72&amp;"日 ","")&amp;IF(AND(J72="CCS済",M72&lt;&gt;"✓"),"CCS後の申込待ち ","")&amp;IF(AND(M72="✓",N72&lt;&gt;"✓"),"振込待ち ","")&amp;IF(AND(N72="✓",O72&lt;&gt;"✓"),"同意書待ち ","")&amp;IF(T72="","次アクション未設定","")))</f>
        <v/>
      </c>
      <c r="X72" s="10" t="n"/>
      <c r="Y72" s="22" t="n"/>
    </row>
    <row r="73">
      <c r="A73" s="10">
        <f>IF(D73="","",ROW()-4)</f>
        <v/>
      </c>
      <c r="B73" s="22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4" t="n"/>
      <c r="L73" s="22" t="n"/>
      <c r="M73" s="23" t="n"/>
      <c r="N73" s="23" t="n"/>
      <c r="O73" s="23" t="n"/>
      <c r="P73" s="10">
        <f>IF(D73="","",IF(AND(M73="✓",N73="✓",O73="✓"),"✅正式",IF(M73&amp;N73&amp;O73="","入会前","手続き中")))</f>
        <v/>
      </c>
      <c r="Q73" s="24" t="n"/>
      <c r="R73" s="24" t="n"/>
      <c r="S73" s="10">
        <f>IF(OR(D73="",R73=""),"",TODAY()-R73)</f>
        <v/>
      </c>
      <c r="T73" s="22" t="n"/>
      <c r="U73" s="24" t="n"/>
      <c r="V73" s="23" t="n"/>
      <c r="W73" s="14">
        <f>IF(OR(D73="",V73="辞退",V73="保留",P73="✅正式"),"",TRIM(IF(AND(U73&lt;&gt;"",U73&lt;TODAY()),"期日超過 ","")&amp;IF(AND(S73&lt;&gt;"",S73&gt;='設定'!$B$9),"放置"&amp;S73&amp;"日 ","")&amp;IF(AND(J73="CCS済",M73&lt;&gt;"✓"),"CCS後の申込待ち ","")&amp;IF(AND(M73="✓",N73&lt;&gt;"✓"),"振込待ち ","")&amp;IF(AND(N73="✓",O73&lt;&gt;"✓"),"同意書待ち ","")&amp;IF(T73="","次アクション未設定","")))</f>
        <v/>
      </c>
      <c r="X73" s="10" t="n"/>
      <c r="Y73" s="22" t="n"/>
    </row>
    <row r="74">
      <c r="A74" s="10">
        <f>IF(D74="","",ROW()-4)</f>
        <v/>
      </c>
      <c r="B74" s="22" t="n"/>
      <c r="C74" s="22" t="n"/>
      <c r="D74" s="22" t="n"/>
      <c r="E74" s="22" t="n"/>
      <c r="F74" s="22" t="n"/>
      <c r="G74" s="22" t="n"/>
      <c r="H74" s="22" t="n"/>
      <c r="I74" s="22" t="n"/>
      <c r="J74" s="23" t="n"/>
      <c r="K74" s="24" t="n"/>
      <c r="L74" s="22" t="n"/>
      <c r="M74" s="23" t="n"/>
      <c r="N74" s="23" t="n"/>
      <c r="O74" s="23" t="n"/>
      <c r="P74" s="10">
        <f>IF(D74="","",IF(AND(M74="✓",N74="✓",O74="✓"),"✅正式",IF(M74&amp;N74&amp;O74="","入会前","手続き中")))</f>
        <v/>
      </c>
      <c r="Q74" s="24" t="n"/>
      <c r="R74" s="24" t="n"/>
      <c r="S74" s="10">
        <f>IF(OR(D74="",R74=""),"",TODAY()-R74)</f>
        <v/>
      </c>
      <c r="T74" s="22" t="n"/>
      <c r="U74" s="24" t="n"/>
      <c r="V74" s="23" t="n"/>
      <c r="W74" s="14">
        <f>IF(OR(D74="",V74="辞退",V74="保留",P74="✅正式"),"",TRIM(IF(AND(U74&lt;&gt;"",U74&lt;TODAY()),"期日超過 ","")&amp;IF(AND(S74&lt;&gt;"",S74&gt;='設定'!$B$9),"放置"&amp;S74&amp;"日 ","")&amp;IF(AND(J74="CCS済",M74&lt;&gt;"✓"),"CCS後の申込待ち ","")&amp;IF(AND(M74="✓",N74&lt;&gt;"✓"),"振込待ち ","")&amp;IF(AND(N74="✓",O74&lt;&gt;"✓"),"同意書待ち ","")&amp;IF(T74="","次アクション未設定","")))</f>
        <v/>
      </c>
      <c r="X74" s="10" t="n"/>
      <c r="Y74" s="22" t="n"/>
    </row>
    <row r="75">
      <c r="A75" s="10">
        <f>IF(D75="","",ROW()-4)</f>
        <v/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4" t="n"/>
      <c r="L75" s="22" t="n"/>
      <c r="M75" s="23" t="n"/>
      <c r="N75" s="23" t="n"/>
      <c r="O75" s="23" t="n"/>
      <c r="P75" s="10">
        <f>IF(D75="","",IF(AND(M75="✓",N75="✓",O75="✓"),"✅正式",IF(M75&amp;N75&amp;O75="","入会前","手続き中")))</f>
        <v/>
      </c>
      <c r="Q75" s="24" t="n"/>
      <c r="R75" s="24" t="n"/>
      <c r="S75" s="10">
        <f>IF(OR(D75="",R75=""),"",TODAY()-R75)</f>
        <v/>
      </c>
      <c r="T75" s="22" t="n"/>
      <c r="U75" s="24" t="n"/>
      <c r="V75" s="23" t="n"/>
      <c r="W75" s="14">
        <f>IF(OR(D75="",V75="辞退",V75="保留",P75="✅正式"),"",TRIM(IF(AND(U75&lt;&gt;"",U75&lt;TODAY()),"期日超過 ","")&amp;IF(AND(S75&lt;&gt;"",S75&gt;='設定'!$B$9),"放置"&amp;S75&amp;"日 ","")&amp;IF(AND(J75="CCS済",M75&lt;&gt;"✓"),"CCS後の申込待ち ","")&amp;IF(AND(M75="✓",N75&lt;&gt;"✓"),"振込待ち ","")&amp;IF(AND(N75="✓",O75&lt;&gt;"✓"),"同意書待ち ","")&amp;IF(T75="","次アクション未設定","")))</f>
        <v/>
      </c>
      <c r="X75" s="10" t="n"/>
      <c r="Y75" s="22" t="n"/>
    </row>
    <row r="76">
      <c r="A76" s="10">
        <f>IF(D76="","",ROW()-4)</f>
        <v/>
      </c>
      <c r="B76" s="22" t="n"/>
      <c r="C76" s="22" t="n"/>
      <c r="D76" s="22" t="n"/>
      <c r="E76" s="22" t="n"/>
      <c r="F76" s="22" t="n"/>
      <c r="G76" s="22" t="n"/>
      <c r="H76" s="22" t="n"/>
      <c r="I76" s="22" t="n"/>
      <c r="J76" s="23" t="n"/>
      <c r="K76" s="24" t="n"/>
      <c r="L76" s="22" t="n"/>
      <c r="M76" s="23" t="n"/>
      <c r="N76" s="23" t="n"/>
      <c r="O76" s="23" t="n"/>
      <c r="P76" s="10">
        <f>IF(D76="","",IF(AND(M76="✓",N76="✓",O76="✓"),"✅正式",IF(M76&amp;N76&amp;O76="","入会前","手続き中")))</f>
        <v/>
      </c>
      <c r="Q76" s="24" t="n"/>
      <c r="R76" s="24" t="n"/>
      <c r="S76" s="10">
        <f>IF(OR(D76="",R76=""),"",TODAY()-R76)</f>
        <v/>
      </c>
      <c r="T76" s="22" t="n"/>
      <c r="U76" s="24" t="n"/>
      <c r="V76" s="23" t="n"/>
      <c r="W76" s="14">
        <f>IF(OR(D76="",V76="辞退",V76="保留",P76="✅正式"),"",TRIM(IF(AND(U76&lt;&gt;"",U76&lt;TODAY()),"期日超過 ","")&amp;IF(AND(S76&lt;&gt;"",S76&gt;='設定'!$B$9),"放置"&amp;S76&amp;"日 ","")&amp;IF(AND(J76="CCS済",M76&lt;&gt;"✓"),"CCS後の申込待ち ","")&amp;IF(AND(M76="✓",N76&lt;&gt;"✓"),"振込待ち ","")&amp;IF(AND(N76="✓",O76&lt;&gt;"✓"),"同意書待ち ","")&amp;IF(T76="","次アクション未設定","")))</f>
        <v/>
      </c>
      <c r="X76" s="10" t="n"/>
      <c r="Y76" s="22" t="n"/>
    </row>
    <row r="77">
      <c r="A77" s="10">
        <f>IF(D77="","",ROW()-4)</f>
        <v/>
      </c>
      <c r="B77" s="22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4" t="n"/>
      <c r="L77" s="22" t="n"/>
      <c r="M77" s="23" t="n"/>
      <c r="N77" s="23" t="n"/>
      <c r="O77" s="23" t="n"/>
      <c r="P77" s="10">
        <f>IF(D77="","",IF(AND(M77="✓",N77="✓",O77="✓"),"✅正式",IF(M77&amp;N77&amp;O77="","入会前","手続き中")))</f>
        <v/>
      </c>
      <c r="Q77" s="24" t="n"/>
      <c r="R77" s="24" t="n"/>
      <c r="S77" s="10">
        <f>IF(OR(D77="",R77=""),"",TODAY()-R77)</f>
        <v/>
      </c>
      <c r="T77" s="22" t="n"/>
      <c r="U77" s="24" t="n"/>
      <c r="V77" s="23" t="n"/>
      <c r="W77" s="14">
        <f>IF(OR(D77="",V77="辞退",V77="保留",P77="✅正式"),"",TRIM(IF(AND(U77&lt;&gt;"",U77&lt;TODAY()),"期日超過 ","")&amp;IF(AND(S77&lt;&gt;"",S77&gt;='設定'!$B$9),"放置"&amp;S77&amp;"日 ","")&amp;IF(AND(J77="CCS済",M77&lt;&gt;"✓"),"CCS後の申込待ち ","")&amp;IF(AND(M77="✓",N77&lt;&gt;"✓"),"振込待ち ","")&amp;IF(AND(N77="✓",O77&lt;&gt;"✓"),"同意書待ち ","")&amp;IF(T77="","次アクション未設定","")))</f>
        <v/>
      </c>
      <c r="X77" s="10" t="n"/>
      <c r="Y77" s="22" t="n"/>
    </row>
    <row r="78">
      <c r="A78" s="10">
        <f>IF(D78="","",ROW()-4)</f>
        <v/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s="23" t="n"/>
      <c r="K78" s="24" t="n"/>
      <c r="L78" s="22" t="n"/>
      <c r="M78" s="23" t="n"/>
      <c r="N78" s="23" t="n"/>
      <c r="O78" s="23" t="n"/>
      <c r="P78" s="10">
        <f>IF(D78="","",IF(AND(M78="✓",N78="✓",O78="✓"),"✅正式",IF(M78&amp;N78&amp;O78="","入会前","手続き中")))</f>
        <v/>
      </c>
      <c r="Q78" s="24" t="n"/>
      <c r="R78" s="24" t="n"/>
      <c r="S78" s="10">
        <f>IF(OR(D78="",R78=""),"",TODAY()-R78)</f>
        <v/>
      </c>
      <c r="T78" s="22" t="n"/>
      <c r="U78" s="24" t="n"/>
      <c r="V78" s="23" t="n"/>
      <c r="W78" s="14">
        <f>IF(OR(D78="",V78="辞退",V78="保留",P78="✅正式"),"",TRIM(IF(AND(U78&lt;&gt;"",U78&lt;TODAY()),"期日超過 ","")&amp;IF(AND(S78&lt;&gt;"",S78&gt;='設定'!$B$9),"放置"&amp;S78&amp;"日 ","")&amp;IF(AND(J78="CCS済",M78&lt;&gt;"✓"),"CCS後の申込待ち ","")&amp;IF(AND(M78="✓",N78&lt;&gt;"✓"),"振込待ち ","")&amp;IF(AND(N78="✓",O78&lt;&gt;"✓"),"同意書待ち ","")&amp;IF(T78="","次アクション未設定","")))</f>
        <v/>
      </c>
      <c r="X78" s="10" t="n"/>
      <c r="Y78" s="22" t="n"/>
    </row>
    <row r="79">
      <c r="A79" s="10">
        <f>IF(D79="","",ROW()-4)</f>
        <v/>
      </c>
      <c r="B79" s="22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4" t="n"/>
      <c r="L79" s="22" t="n"/>
      <c r="M79" s="23" t="n"/>
      <c r="N79" s="23" t="n"/>
      <c r="O79" s="23" t="n"/>
      <c r="P79" s="10">
        <f>IF(D79="","",IF(AND(M79="✓",N79="✓",O79="✓"),"✅正式",IF(M79&amp;N79&amp;O79="","入会前","手続き中")))</f>
        <v/>
      </c>
      <c r="Q79" s="24" t="n"/>
      <c r="R79" s="24" t="n"/>
      <c r="S79" s="10">
        <f>IF(OR(D79="",R79=""),"",TODAY()-R79)</f>
        <v/>
      </c>
      <c r="T79" s="22" t="n"/>
      <c r="U79" s="24" t="n"/>
      <c r="V79" s="23" t="n"/>
      <c r="W79" s="14">
        <f>IF(OR(D79="",V79="辞退",V79="保留",P79="✅正式"),"",TRIM(IF(AND(U79&lt;&gt;"",U79&lt;TODAY()),"期日超過 ","")&amp;IF(AND(S79&lt;&gt;"",S79&gt;='設定'!$B$9),"放置"&amp;S79&amp;"日 ","")&amp;IF(AND(J79="CCS済",M79&lt;&gt;"✓"),"CCS後の申込待ち ","")&amp;IF(AND(M79="✓",N79&lt;&gt;"✓"),"振込待ち ","")&amp;IF(AND(N79="✓",O79&lt;&gt;"✓"),"同意書待ち ","")&amp;IF(T79="","次アクション未設定","")))</f>
        <v/>
      </c>
      <c r="X79" s="10" t="n"/>
      <c r="Y79" s="22" t="n"/>
    </row>
    <row r="80">
      <c r="A80" s="10">
        <f>IF(D80="","",ROW()-4)</f>
        <v/>
      </c>
      <c r="B80" s="22" t="n"/>
      <c r="C80" s="22" t="n"/>
      <c r="D80" s="22" t="n"/>
      <c r="E80" s="22" t="n"/>
      <c r="F80" s="22" t="n"/>
      <c r="G80" s="22" t="n"/>
      <c r="H80" s="22" t="n"/>
      <c r="I80" s="22" t="n"/>
      <c r="J80" s="23" t="n"/>
      <c r="K80" s="24" t="n"/>
      <c r="L80" s="22" t="n"/>
      <c r="M80" s="23" t="n"/>
      <c r="N80" s="23" t="n"/>
      <c r="O80" s="23" t="n"/>
      <c r="P80" s="10">
        <f>IF(D80="","",IF(AND(M80="✓",N80="✓",O80="✓"),"✅正式",IF(M80&amp;N80&amp;O80="","入会前","手続き中")))</f>
        <v/>
      </c>
      <c r="Q80" s="24" t="n"/>
      <c r="R80" s="24" t="n"/>
      <c r="S80" s="10">
        <f>IF(OR(D80="",R80=""),"",TODAY()-R80)</f>
        <v/>
      </c>
      <c r="T80" s="22" t="n"/>
      <c r="U80" s="24" t="n"/>
      <c r="V80" s="23" t="n"/>
      <c r="W80" s="14">
        <f>IF(OR(D80="",V80="辞退",V80="保留",P80="✅正式"),"",TRIM(IF(AND(U80&lt;&gt;"",U80&lt;TODAY()),"期日超過 ","")&amp;IF(AND(S80&lt;&gt;"",S80&gt;='設定'!$B$9),"放置"&amp;S80&amp;"日 ","")&amp;IF(AND(J80="CCS済",M80&lt;&gt;"✓"),"CCS後の申込待ち ","")&amp;IF(AND(M80="✓",N80&lt;&gt;"✓"),"振込待ち ","")&amp;IF(AND(N80="✓",O80&lt;&gt;"✓"),"同意書待ち ","")&amp;IF(T80="","次アクション未設定","")))</f>
        <v/>
      </c>
      <c r="X80" s="10" t="n"/>
      <c r="Y80" s="22" t="n"/>
    </row>
    <row r="81">
      <c r="A81" s="10">
        <f>IF(D81="","",ROW()-4)</f>
        <v/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4" t="n"/>
      <c r="L81" s="22" t="n"/>
      <c r="M81" s="23" t="n"/>
      <c r="N81" s="23" t="n"/>
      <c r="O81" s="23" t="n"/>
      <c r="P81" s="10">
        <f>IF(D81="","",IF(AND(M81="✓",N81="✓",O81="✓"),"✅正式",IF(M81&amp;N81&amp;O81="","入会前","手続き中")))</f>
        <v/>
      </c>
      <c r="Q81" s="24" t="n"/>
      <c r="R81" s="24" t="n"/>
      <c r="S81" s="10">
        <f>IF(OR(D81="",R81=""),"",TODAY()-R81)</f>
        <v/>
      </c>
      <c r="T81" s="22" t="n"/>
      <c r="U81" s="24" t="n"/>
      <c r="V81" s="23" t="n"/>
      <c r="W81" s="14">
        <f>IF(OR(D81="",V81="辞退",V81="保留",P81="✅正式"),"",TRIM(IF(AND(U81&lt;&gt;"",U81&lt;TODAY()),"期日超過 ","")&amp;IF(AND(S81&lt;&gt;"",S81&gt;='設定'!$B$9),"放置"&amp;S81&amp;"日 ","")&amp;IF(AND(J81="CCS済",M81&lt;&gt;"✓"),"CCS後の申込待ち ","")&amp;IF(AND(M81="✓",N81&lt;&gt;"✓"),"振込待ち ","")&amp;IF(AND(N81="✓",O81&lt;&gt;"✓"),"同意書待ち ","")&amp;IF(T81="","次アクション未設定","")))</f>
        <v/>
      </c>
      <c r="X81" s="10" t="n"/>
      <c r="Y81" s="22" t="n"/>
    </row>
    <row r="82">
      <c r="A82" s="10">
        <f>IF(D82="","",ROW()-4)</f>
        <v/>
      </c>
      <c r="B82" s="22" t="n"/>
      <c r="C82" s="22" t="n"/>
      <c r="D82" s="22" t="n"/>
      <c r="E82" s="22" t="n"/>
      <c r="F82" s="22" t="n"/>
      <c r="G82" s="22" t="n"/>
      <c r="H82" s="22" t="n"/>
      <c r="I82" s="22" t="n"/>
      <c r="J82" s="23" t="n"/>
      <c r="K82" s="24" t="n"/>
      <c r="L82" s="22" t="n"/>
      <c r="M82" s="23" t="n"/>
      <c r="N82" s="23" t="n"/>
      <c r="O82" s="23" t="n"/>
      <c r="P82" s="10">
        <f>IF(D82="","",IF(AND(M82="✓",N82="✓",O82="✓"),"✅正式",IF(M82&amp;N82&amp;O82="","入会前","手続き中")))</f>
        <v/>
      </c>
      <c r="Q82" s="24" t="n"/>
      <c r="R82" s="24" t="n"/>
      <c r="S82" s="10">
        <f>IF(OR(D82="",R82=""),"",TODAY()-R82)</f>
        <v/>
      </c>
      <c r="T82" s="22" t="n"/>
      <c r="U82" s="24" t="n"/>
      <c r="V82" s="23" t="n"/>
      <c r="W82" s="14">
        <f>IF(OR(D82="",V82="辞退",V82="保留",P82="✅正式"),"",TRIM(IF(AND(U82&lt;&gt;"",U82&lt;TODAY()),"期日超過 ","")&amp;IF(AND(S82&lt;&gt;"",S82&gt;='設定'!$B$9),"放置"&amp;S82&amp;"日 ","")&amp;IF(AND(J82="CCS済",M82&lt;&gt;"✓"),"CCS後の申込待ち ","")&amp;IF(AND(M82="✓",N82&lt;&gt;"✓"),"振込待ち ","")&amp;IF(AND(N82="✓",O82&lt;&gt;"✓"),"同意書待ち ","")&amp;IF(T82="","次アクション未設定","")))</f>
        <v/>
      </c>
      <c r="X82" s="10" t="n"/>
      <c r="Y82" s="22" t="n"/>
    </row>
    <row r="83">
      <c r="A83" s="10">
        <f>IF(D83="","",ROW()-4)</f>
        <v/>
      </c>
      <c r="B83" s="22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4" t="n"/>
      <c r="L83" s="22" t="n"/>
      <c r="M83" s="23" t="n"/>
      <c r="N83" s="23" t="n"/>
      <c r="O83" s="23" t="n"/>
      <c r="P83" s="10">
        <f>IF(D83="","",IF(AND(M83="✓",N83="✓",O83="✓"),"✅正式",IF(M83&amp;N83&amp;O83="","入会前","手続き中")))</f>
        <v/>
      </c>
      <c r="Q83" s="24" t="n"/>
      <c r="R83" s="24" t="n"/>
      <c r="S83" s="10">
        <f>IF(OR(D83="",R83=""),"",TODAY()-R83)</f>
        <v/>
      </c>
      <c r="T83" s="22" t="n"/>
      <c r="U83" s="24" t="n"/>
      <c r="V83" s="23" t="n"/>
      <c r="W83" s="14">
        <f>IF(OR(D83="",V83="辞退",V83="保留",P83="✅正式"),"",TRIM(IF(AND(U83&lt;&gt;"",U83&lt;TODAY()),"期日超過 ","")&amp;IF(AND(S83&lt;&gt;"",S83&gt;='設定'!$B$9),"放置"&amp;S83&amp;"日 ","")&amp;IF(AND(J83="CCS済",M83&lt;&gt;"✓"),"CCS後の申込待ち ","")&amp;IF(AND(M83="✓",N83&lt;&gt;"✓"),"振込待ち ","")&amp;IF(AND(N83="✓",O83&lt;&gt;"✓"),"同意書待ち ","")&amp;IF(T83="","次アクション未設定","")))</f>
        <v/>
      </c>
      <c r="X83" s="10" t="n"/>
      <c r="Y83" s="22" t="n"/>
    </row>
    <row r="84">
      <c r="A84" s="10">
        <f>IF(D84="","",ROW()-4)</f>
        <v/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s="23" t="n"/>
      <c r="K84" s="24" t="n"/>
      <c r="L84" s="22" t="n"/>
      <c r="M84" s="23" t="n"/>
      <c r="N84" s="23" t="n"/>
      <c r="O84" s="23" t="n"/>
      <c r="P84" s="10">
        <f>IF(D84="","",IF(AND(M84="✓",N84="✓",O84="✓"),"✅正式",IF(M84&amp;N84&amp;O84="","入会前","手続き中")))</f>
        <v/>
      </c>
      <c r="Q84" s="24" t="n"/>
      <c r="R84" s="24" t="n"/>
      <c r="S84" s="10">
        <f>IF(OR(D84="",R84=""),"",TODAY()-R84)</f>
        <v/>
      </c>
      <c r="T84" s="22" t="n"/>
      <c r="U84" s="24" t="n"/>
      <c r="V84" s="23" t="n"/>
      <c r="W84" s="14">
        <f>IF(OR(D84="",V84="辞退",V84="保留",P84="✅正式"),"",TRIM(IF(AND(U84&lt;&gt;"",U84&lt;TODAY()),"期日超過 ","")&amp;IF(AND(S84&lt;&gt;"",S84&gt;='設定'!$B$9),"放置"&amp;S84&amp;"日 ","")&amp;IF(AND(J84="CCS済",M84&lt;&gt;"✓"),"CCS後の申込待ち ","")&amp;IF(AND(M84="✓",N84&lt;&gt;"✓"),"振込待ち ","")&amp;IF(AND(N84="✓",O84&lt;&gt;"✓"),"同意書待ち ","")&amp;IF(T84="","次アクション未設定","")))</f>
        <v/>
      </c>
      <c r="X84" s="10" t="n"/>
      <c r="Y84" s="22" t="n"/>
    </row>
    <row r="85">
      <c r="A85" s="10">
        <f>IF(D85="","",ROW()-4)</f>
        <v/>
      </c>
      <c r="B85" s="22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4" t="n"/>
      <c r="L85" s="22" t="n"/>
      <c r="M85" s="23" t="n"/>
      <c r="N85" s="23" t="n"/>
      <c r="O85" s="23" t="n"/>
      <c r="P85" s="10">
        <f>IF(D85="","",IF(AND(M85="✓",N85="✓",O85="✓"),"✅正式",IF(M85&amp;N85&amp;O85="","入会前","手続き中")))</f>
        <v/>
      </c>
      <c r="Q85" s="24" t="n"/>
      <c r="R85" s="24" t="n"/>
      <c r="S85" s="10">
        <f>IF(OR(D85="",R85=""),"",TODAY()-R85)</f>
        <v/>
      </c>
      <c r="T85" s="22" t="n"/>
      <c r="U85" s="24" t="n"/>
      <c r="V85" s="23" t="n"/>
      <c r="W85" s="14">
        <f>IF(OR(D85="",V85="辞退",V85="保留",P85="✅正式"),"",TRIM(IF(AND(U85&lt;&gt;"",U85&lt;TODAY()),"期日超過 ","")&amp;IF(AND(S85&lt;&gt;"",S85&gt;='設定'!$B$9),"放置"&amp;S85&amp;"日 ","")&amp;IF(AND(J85="CCS済",M85&lt;&gt;"✓"),"CCS後の申込待ち ","")&amp;IF(AND(M85="✓",N85&lt;&gt;"✓"),"振込待ち ","")&amp;IF(AND(N85="✓",O85&lt;&gt;"✓"),"同意書待ち ","")&amp;IF(T85="","次アクション未設定","")))</f>
        <v/>
      </c>
      <c r="X85" s="10" t="n"/>
      <c r="Y85" s="22" t="n"/>
    </row>
    <row r="86">
      <c r="A86" s="10">
        <f>IF(D86="","",ROW()-4)</f>
        <v/>
      </c>
      <c r="B86" s="22" t="n"/>
      <c r="C86" s="22" t="n"/>
      <c r="D86" s="22" t="n"/>
      <c r="E86" s="22" t="n"/>
      <c r="F86" s="22" t="n"/>
      <c r="G86" s="22" t="n"/>
      <c r="H86" s="22" t="n"/>
      <c r="I86" s="22" t="n"/>
      <c r="J86" s="23" t="n"/>
      <c r="K86" s="24" t="n"/>
      <c r="L86" s="22" t="n"/>
      <c r="M86" s="23" t="n"/>
      <c r="N86" s="23" t="n"/>
      <c r="O86" s="23" t="n"/>
      <c r="P86" s="10">
        <f>IF(D86="","",IF(AND(M86="✓",N86="✓",O86="✓"),"✅正式",IF(M86&amp;N86&amp;O86="","入会前","手続き中")))</f>
        <v/>
      </c>
      <c r="Q86" s="24" t="n"/>
      <c r="R86" s="24" t="n"/>
      <c r="S86" s="10">
        <f>IF(OR(D86="",R86=""),"",TODAY()-R86)</f>
        <v/>
      </c>
      <c r="T86" s="22" t="n"/>
      <c r="U86" s="24" t="n"/>
      <c r="V86" s="23" t="n"/>
      <c r="W86" s="14">
        <f>IF(OR(D86="",V86="辞退",V86="保留",P86="✅正式"),"",TRIM(IF(AND(U86&lt;&gt;"",U86&lt;TODAY()),"期日超過 ","")&amp;IF(AND(S86&lt;&gt;"",S86&gt;='設定'!$B$9),"放置"&amp;S86&amp;"日 ","")&amp;IF(AND(J86="CCS済",M86&lt;&gt;"✓"),"CCS後の申込待ち ","")&amp;IF(AND(M86="✓",N86&lt;&gt;"✓"),"振込待ち ","")&amp;IF(AND(N86="✓",O86&lt;&gt;"✓"),"同意書待ち ","")&amp;IF(T86="","次アクション未設定","")))</f>
        <v/>
      </c>
      <c r="X86" s="10" t="n"/>
      <c r="Y86" s="22" t="n"/>
    </row>
    <row r="87">
      <c r="A87" s="10">
        <f>IF(D87="","",ROW()-4)</f>
        <v/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4" t="n"/>
      <c r="L87" s="22" t="n"/>
      <c r="M87" s="23" t="n"/>
      <c r="N87" s="23" t="n"/>
      <c r="O87" s="23" t="n"/>
      <c r="P87" s="10">
        <f>IF(D87="","",IF(AND(M87="✓",N87="✓",O87="✓"),"✅正式",IF(M87&amp;N87&amp;O87="","入会前","手続き中")))</f>
        <v/>
      </c>
      <c r="Q87" s="24" t="n"/>
      <c r="R87" s="24" t="n"/>
      <c r="S87" s="10">
        <f>IF(OR(D87="",R87=""),"",TODAY()-R87)</f>
        <v/>
      </c>
      <c r="T87" s="22" t="n"/>
      <c r="U87" s="24" t="n"/>
      <c r="V87" s="23" t="n"/>
      <c r="W87" s="14">
        <f>IF(OR(D87="",V87="辞退",V87="保留",P87="✅正式"),"",TRIM(IF(AND(U87&lt;&gt;"",U87&lt;TODAY()),"期日超過 ","")&amp;IF(AND(S87&lt;&gt;"",S87&gt;='設定'!$B$9),"放置"&amp;S87&amp;"日 ","")&amp;IF(AND(J87="CCS済",M87&lt;&gt;"✓"),"CCS後の申込待ち ","")&amp;IF(AND(M87="✓",N87&lt;&gt;"✓"),"振込待ち ","")&amp;IF(AND(N87="✓",O87&lt;&gt;"✓"),"同意書待ち ","")&amp;IF(T87="","次アクション未設定","")))</f>
        <v/>
      </c>
      <c r="X87" s="10" t="n"/>
      <c r="Y87" s="22" t="n"/>
    </row>
    <row r="88">
      <c r="A88" s="10">
        <f>IF(D88="","",ROW()-4)</f>
        <v/>
      </c>
      <c r="B88" s="22" t="n"/>
      <c r="C88" s="22" t="n"/>
      <c r="D88" s="22" t="n"/>
      <c r="E88" s="22" t="n"/>
      <c r="F88" s="22" t="n"/>
      <c r="G88" s="22" t="n"/>
      <c r="H88" s="22" t="n"/>
      <c r="I88" s="22" t="n"/>
      <c r="J88" s="23" t="n"/>
      <c r="K88" s="24" t="n"/>
      <c r="L88" s="22" t="n"/>
      <c r="M88" s="23" t="n"/>
      <c r="N88" s="23" t="n"/>
      <c r="O88" s="23" t="n"/>
      <c r="P88" s="10">
        <f>IF(D88="","",IF(AND(M88="✓",N88="✓",O88="✓"),"✅正式",IF(M88&amp;N88&amp;O88="","入会前","手続き中")))</f>
        <v/>
      </c>
      <c r="Q88" s="24" t="n"/>
      <c r="R88" s="24" t="n"/>
      <c r="S88" s="10">
        <f>IF(OR(D88="",R88=""),"",TODAY()-R88)</f>
        <v/>
      </c>
      <c r="T88" s="22" t="n"/>
      <c r="U88" s="24" t="n"/>
      <c r="V88" s="23" t="n"/>
      <c r="W88" s="14">
        <f>IF(OR(D88="",V88="辞退",V88="保留",P88="✅正式"),"",TRIM(IF(AND(U88&lt;&gt;"",U88&lt;TODAY()),"期日超過 ","")&amp;IF(AND(S88&lt;&gt;"",S88&gt;='設定'!$B$9),"放置"&amp;S88&amp;"日 ","")&amp;IF(AND(J88="CCS済",M88&lt;&gt;"✓"),"CCS後の申込待ち ","")&amp;IF(AND(M88="✓",N88&lt;&gt;"✓"),"振込待ち ","")&amp;IF(AND(N88="✓",O88&lt;&gt;"✓"),"同意書待ち ","")&amp;IF(T88="","次アクション未設定","")))</f>
        <v/>
      </c>
      <c r="X88" s="10" t="n"/>
      <c r="Y88" s="22" t="n"/>
    </row>
    <row r="89">
      <c r="A89" s="10">
        <f>IF(D89="","",ROW()-4)</f>
        <v/>
      </c>
      <c r="B89" s="22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4" t="n"/>
      <c r="L89" s="22" t="n"/>
      <c r="M89" s="23" t="n"/>
      <c r="N89" s="23" t="n"/>
      <c r="O89" s="23" t="n"/>
      <c r="P89" s="10">
        <f>IF(D89="","",IF(AND(M89="✓",N89="✓",O89="✓"),"✅正式",IF(M89&amp;N89&amp;O89="","入会前","手続き中")))</f>
        <v/>
      </c>
      <c r="Q89" s="24" t="n"/>
      <c r="R89" s="24" t="n"/>
      <c r="S89" s="10">
        <f>IF(OR(D89="",R89=""),"",TODAY()-R89)</f>
        <v/>
      </c>
      <c r="T89" s="22" t="n"/>
      <c r="U89" s="24" t="n"/>
      <c r="V89" s="23" t="n"/>
      <c r="W89" s="14">
        <f>IF(OR(D89="",V89="辞退",V89="保留",P89="✅正式"),"",TRIM(IF(AND(U89&lt;&gt;"",U89&lt;TODAY()),"期日超過 ","")&amp;IF(AND(S89&lt;&gt;"",S89&gt;='設定'!$B$9),"放置"&amp;S89&amp;"日 ","")&amp;IF(AND(J89="CCS済",M89&lt;&gt;"✓"),"CCS後の申込待ち ","")&amp;IF(AND(M89="✓",N89&lt;&gt;"✓"),"振込待ち ","")&amp;IF(AND(N89="✓",O89&lt;&gt;"✓"),"同意書待ち ","")&amp;IF(T89="","次アクション未設定","")))</f>
        <v/>
      </c>
      <c r="X89" s="10" t="n"/>
      <c r="Y89" s="22" t="n"/>
    </row>
    <row r="90">
      <c r="A90" s="10">
        <f>IF(D90="","",ROW()-4)</f>
        <v/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s="23" t="n"/>
      <c r="K90" s="24" t="n"/>
      <c r="L90" s="22" t="n"/>
      <c r="M90" s="23" t="n"/>
      <c r="N90" s="23" t="n"/>
      <c r="O90" s="23" t="n"/>
      <c r="P90" s="10">
        <f>IF(D90="","",IF(AND(M90="✓",N90="✓",O90="✓"),"✅正式",IF(M90&amp;N90&amp;O90="","入会前","手続き中")))</f>
        <v/>
      </c>
      <c r="Q90" s="24" t="n"/>
      <c r="R90" s="24" t="n"/>
      <c r="S90" s="10">
        <f>IF(OR(D90="",R90=""),"",TODAY()-R90)</f>
        <v/>
      </c>
      <c r="T90" s="22" t="n"/>
      <c r="U90" s="24" t="n"/>
      <c r="V90" s="23" t="n"/>
      <c r="W90" s="14">
        <f>IF(OR(D90="",V90="辞退",V90="保留",P90="✅正式"),"",TRIM(IF(AND(U90&lt;&gt;"",U90&lt;TODAY()),"期日超過 ","")&amp;IF(AND(S90&lt;&gt;"",S90&gt;='設定'!$B$9),"放置"&amp;S90&amp;"日 ","")&amp;IF(AND(J90="CCS済",M90&lt;&gt;"✓"),"CCS後の申込待ち ","")&amp;IF(AND(M90="✓",N90&lt;&gt;"✓"),"振込待ち ","")&amp;IF(AND(N90="✓",O90&lt;&gt;"✓"),"同意書待ち ","")&amp;IF(T90="","次アクション未設定","")))</f>
        <v/>
      </c>
      <c r="X90" s="10" t="n"/>
      <c r="Y90" s="22" t="n"/>
    </row>
    <row r="91">
      <c r="A91" s="10">
        <f>IF(D91="","",ROW()-4)</f>
        <v/>
      </c>
      <c r="B91" s="22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4" t="n"/>
      <c r="L91" s="22" t="n"/>
      <c r="M91" s="23" t="n"/>
      <c r="N91" s="23" t="n"/>
      <c r="O91" s="23" t="n"/>
      <c r="P91" s="10">
        <f>IF(D91="","",IF(AND(M91="✓",N91="✓",O91="✓"),"✅正式",IF(M91&amp;N91&amp;O91="","入会前","手続き中")))</f>
        <v/>
      </c>
      <c r="Q91" s="24" t="n"/>
      <c r="R91" s="24" t="n"/>
      <c r="S91" s="10">
        <f>IF(OR(D91="",R91=""),"",TODAY()-R91)</f>
        <v/>
      </c>
      <c r="T91" s="22" t="n"/>
      <c r="U91" s="24" t="n"/>
      <c r="V91" s="23" t="n"/>
      <c r="W91" s="14">
        <f>IF(OR(D91="",V91="辞退",V91="保留",P91="✅正式"),"",TRIM(IF(AND(U91&lt;&gt;"",U91&lt;TODAY()),"期日超過 ","")&amp;IF(AND(S91&lt;&gt;"",S91&gt;='設定'!$B$9),"放置"&amp;S91&amp;"日 ","")&amp;IF(AND(J91="CCS済",M91&lt;&gt;"✓"),"CCS後の申込待ち ","")&amp;IF(AND(M91="✓",N91&lt;&gt;"✓"),"振込待ち ","")&amp;IF(AND(N91="✓",O91&lt;&gt;"✓"),"同意書待ち ","")&amp;IF(T91="","次アクション未設定","")))</f>
        <v/>
      </c>
      <c r="X91" s="10" t="n"/>
      <c r="Y91" s="22" t="n"/>
    </row>
    <row r="92">
      <c r="A92" s="10">
        <f>IF(D92="","",ROW()-4)</f>
        <v/>
      </c>
      <c r="B92" s="22" t="n"/>
      <c r="C92" s="22" t="n"/>
      <c r="D92" s="22" t="n"/>
      <c r="E92" s="22" t="n"/>
      <c r="F92" s="22" t="n"/>
      <c r="G92" s="22" t="n"/>
      <c r="H92" s="22" t="n"/>
      <c r="I92" s="22" t="n"/>
      <c r="J92" s="23" t="n"/>
      <c r="K92" s="24" t="n"/>
      <c r="L92" s="22" t="n"/>
      <c r="M92" s="23" t="n"/>
      <c r="N92" s="23" t="n"/>
      <c r="O92" s="23" t="n"/>
      <c r="P92" s="10">
        <f>IF(D92="","",IF(AND(M92="✓",N92="✓",O92="✓"),"✅正式",IF(M92&amp;N92&amp;O92="","入会前","手続き中")))</f>
        <v/>
      </c>
      <c r="Q92" s="24" t="n"/>
      <c r="R92" s="24" t="n"/>
      <c r="S92" s="10">
        <f>IF(OR(D92="",R92=""),"",TODAY()-R92)</f>
        <v/>
      </c>
      <c r="T92" s="22" t="n"/>
      <c r="U92" s="24" t="n"/>
      <c r="V92" s="23" t="n"/>
      <c r="W92" s="14">
        <f>IF(OR(D92="",V92="辞退",V92="保留",P92="✅正式"),"",TRIM(IF(AND(U92&lt;&gt;"",U92&lt;TODAY()),"期日超過 ","")&amp;IF(AND(S92&lt;&gt;"",S92&gt;='設定'!$B$9),"放置"&amp;S92&amp;"日 ","")&amp;IF(AND(J92="CCS済",M92&lt;&gt;"✓"),"CCS後の申込待ち ","")&amp;IF(AND(M92="✓",N92&lt;&gt;"✓"),"振込待ち ","")&amp;IF(AND(N92="✓",O92&lt;&gt;"✓"),"同意書待ち ","")&amp;IF(T92="","次アクション未設定","")))</f>
        <v/>
      </c>
      <c r="X92" s="10" t="n"/>
      <c r="Y92" s="22" t="n"/>
    </row>
    <row r="93">
      <c r="A93" s="10">
        <f>IF(D93="","",ROW()-4)</f>
        <v/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4" t="n"/>
      <c r="L93" s="22" t="n"/>
      <c r="M93" s="23" t="n"/>
      <c r="N93" s="23" t="n"/>
      <c r="O93" s="23" t="n"/>
      <c r="P93" s="10">
        <f>IF(D93="","",IF(AND(M93="✓",N93="✓",O93="✓"),"✅正式",IF(M93&amp;N93&amp;O93="","入会前","手続き中")))</f>
        <v/>
      </c>
      <c r="Q93" s="24" t="n"/>
      <c r="R93" s="24" t="n"/>
      <c r="S93" s="10">
        <f>IF(OR(D93="",R93=""),"",TODAY()-R93)</f>
        <v/>
      </c>
      <c r="T93" s="22" t="n"/>
      <c r="U93" s="24" t="n"/>
      <c r="V93" s="23" t="n"/>
      <c r="W93" s="14">
        <f>IF(OR(D93="",V93="辞退",V93="保留",P93="✅正式"),"",TRIM(IF(AND(U93&lt;&gt;"",U93&lt;TODAY()),"期日超過 ","")&amp;IF(AND(S93&lt;&gt;"",S93&gt;='設定'!$B$9),"放置"&amp;S93&amp;"日 ","")&amp;IF(AND(J93="CCS済",M93&lt;&gt;"✓"),"CCS後の申込待ち ","")&amp;IF(AND(M93="✓",N93&lt;&gt;"✓"),"振込待ち ","")&amp;IF(AND(N93="✓",O93&lt;&gt;"✓"),"同意書待ち ","")&amp;IF(T93="","次アクション未設定","")))</f>
        <v/>
      </c>
      <c r="X93" s="10" t="n"/>
      <c r="Y93" s="22" t="n"/>
    </row>
    <row r="94">
      <c r="A94" s="10">
        <f>IF(D94="","",ROW()-4)</f>
        <v/>
      </c>
      <c r="B94" s="22" t="n"/>
      <c r="C94" s="22" t="n"/>
      <c r="D94" s="22" t="n"/>
      <c r="E94" s="22" t="n"/>
      <c r="F94" s="22" t="n"/>
      <c r="G94" s="22" t="n"/>
      <c r="H94" s="22" t="n"/>
      <c r="I94" s="22" t="n"/>
      <c r="J94" s="23" t="n"/>
      <c r="K94" s="24" t="n"/>
      <c r="L94" s="22" t="n"/>
      <c r="M94" s="23" t="n"/>
      <c r="N94" s="23" t="n"/>
      <c r="O94" s="23" t="n"/>
      <c r="P94" s="10">
        <f>IF(D94="","",IF(AND(M94="✓",N94="✓",O94="✓"),"✅正式",IF(M94&amp;N94&amp;O94="","入会前","手続き中")))</f>
        <v/>
      </c>
      <c r="Q94" s="24" t="n"/>
      <c r="R94" s="24" t="n"/>
      <c r="S94" s="10">
        <f>IF(OR(D94="",R94=""),"",TODAY()-R94)</f>
        <v/>
      </c>
      <c r="T94" s="22" t="n"/>
      <c r="U94" s="24" t="n"/>
      <c r="V94" s="23" t="n"/>
      <c r="W94" s="14">
        <f>IF(OR(D94="",V94="辞退",V94="保留",P94="✅正式"),"",TRIM(IF(AND(U94&lt;&gt;"",U94&lt;TODAY()),"期日超過 ","")&amp;IF(AND(S94&lt;&gt;"",S94&gt;='設定'!$B$9),"放置"&amp;S94&amp;"日 ","")&amp;IF(AND(J94="CCS済",M94&lt;&gt;"✓"),"CCS後の申込待ち ","")&amp;IF(AND(M94="✓",N94&lt;&gt;"✓"),"振込待ち ","")&amp;IF(AND(N94="✓",O94&lt;&gt;"✓"),"同意書待ち ","")&amp;IF(T94="","次アクション未設定","")))</f>
        <v/>
      </c>
      <c r="X94" s="10" t="n"/>
      <c r="Y94" s="22" t="n"/>
    </row>
    <row r="95">
      <c r="A95" s="10">
        <f>IF(D95="","",ROW()-4)</f>
        <v/>
      </c>
      <c r="B95" s="22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4" t="n"/>
      <c r="L95" s="22" t="n"/>
      <c r="M95" s="23" t="n"/>
      <c r="N95" s="23" t="n"/>
      <c r="O95" s="23" t="n"/>
      <c r="P95" s="10">
        <f>IF(D95="","",IF(AND(M95="✓",N95="✓",O95="✓"),"✅正式",IF(M95&amp;N95&amp;O95="","入会前","手続き中")))</f>
        <v/>
      </c>
      <c r="Q95" s="24" t="n"/>
      <c r="R95" s="24" t="n"/>
      <c r="S95" s="10">
        <f>IF(OR(D95="",R95=""),"",TODAY()-R95)</f>
        <v/>
      </c>
      <c r="T95" s="22" t="n"/>
      <c r="U95" s="24" t="n"/>
      <c r="V95" s="23" t="n"/>
      <c r="W95" s="14">
        <f>IF(OR(D95="",V95="辞退",V95="保留",P95="✅正式"),"",TRIM(IF(AND(U95&lt;&gt;"",U95&lt;TODAY()),"期日超過 ","")&amp;IF(AND(S95&lt;&gt;"",S95&gt;='設定'!$B$9),"放置"&amp;S95&amp;"日 ","")&amp;IF(AND(J95="CCS済",M95&lt;&gt;"✓"),"CCS後の申込待ち ","")&amp;IF(AND(M95="✓",N95&lt;&gt;"✓"),"振込待ち ","")&amp;IF(AND(N95="✓",O95&lt;&gt;"✓"),"同意書待ち ","")&amp;IF(T95="","次アクション未設定","")))</f>
        <v/>
      </c>
      <c r="X95" s="10" t="n"/>
      <c r="Y95" s="22" t="n"/>
    </row>
    <row r="96">
      <c r="A96" s="10">
        <f>IF(D96="","",ROW()-4)</f>
        <v/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s="23" t="n"/>
      <c r="K96" s="24" t="n"/>
      <c r="L96" s="22" t="n"/>
      <c r="M96" s="23" t="n"/>
      <c r="N96" s="23" t="n"/>
      <c r="O96" s="23" t="n"/>
      <c r="P96" s="10">
        <f>IF(D96="","",IF(AND(M96="✓",N96="✓",O96="✓"),"✅正式",IF(M96&amp;N96&amp;O96="","入会前","手続き中")))</f>
        <v/>
      </c>
      <c r="Q96" s="24" t="n"/>
      <c r="R96" s="24" t="n"/>
      <c r="S96" s="10">
        <f>IF(OR(D96="",R96=""),"",TODAY()-R96)</f>
        <v/>
      </c>
      <c r="T96" s="22" t="n"/>
      <c r="U96" s="24" t="n"/>
      <c r="V96" s="23" t="n"/>
      <c r="W96" s="14">
        <f>IF(OR(D96="",V96="辞退",V96="保留",P96="✅正式"),"",TRIM(IF(AND(U96&lt;&gt;"",U96&lt;TODAY()),"期日超過 ","")&amp;IF(AND(S96&lt;&gt;"",S96&gt;='設定'!$B$9),"放置"&amp;S96&amp;"日 ","")&amp;IF(AND(J96="CCS済",M96&lt;&gt;"✓"),"CCS後の申込待ち ","")&amp;IF(AND(M96="✓",N96&lt;&gt;"✓"),"振込待ち ","")&amp;IF(AND(N96="✓",O96&lt;&gt;"✓"),"同意書待ち ","")&amp;IF(T96="","次アクション未設定","")))</f>
        <v/>
      </c>
      <c r="X96" s="10" t="n"/>
      <c r="Y96" s="22" t="n"/>
    </row>
    <row r="97">
      <c r="A97" s="10">
        <f>IF(D97="","",ROW()-4)</f>
        <v/>
      </c>
      <c r="B97" s="22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4" t="n"/>
      <c r="L97" s="22" t="n"/>
      <c r="M97" s="23" t="n"/>
      <c r="N97" s="23" t="n"/>
      <c r="O97" s="23" t="n"/>
      <c r="P97" s="10">
        <f>IF(D97="","",IF(AND(M97="✓",N97="✓",O97="✓"),"✅正式",IF(M97&amp;N97&amp;O97="","入会前","手続き中")))</f>
        <v/>
      </c>
      <c r="Q97" s="24" t="n"/>
      <c r="R97" s="24" t="n"/>
      <c r="S97" s="10">
        <f>IF(OR(D97="",R97=""),"",TODAY()-R97)</f>
        <v/>
      </c>
      <c r="T97" s="22" t="n"/>
      <c r="U97" s="24" t="n"/>
      <c r="V97" s="23" t="n"/>
      <c r="W97" s="14">
        <f>IF(OR(D97="",V97="辞退",V97="保留",P97="✅正式"),"",TRIM(IF(AND(U97&lt;&gt;"",U97&lt;TODAY()),"期日超過 ","")&amp;IF(AND(S97&lt;&gt;"",S97&gt;='設定'!$B$9),"放置"&amp;S97&amp;"日 ","")&amp;IF(AND(J97="CCS済",M97&lt;&gt;"✓"),"CCS後の申込待ち ","")&amp;IF(AND(M97="✓",N97&lt;&gt;"✓"),"振込待ち ","")&amp;IF(AND(N97="✓",O97&lt;&gt;"✓"),"同意書待ち ","")&amp;IF(T97="","次アクション未設定","")))</f>
        <v/>
      </c>
      <c r="X97" s="10" t="n"/>
      <c r="Y97" s="22" t="n"/>
    </row>
    <row r="98">
      <c r="A98" s="10">
        <f>IF(D98="","",ROW()-4)</f>
        <v/>
      </c>
      <c r="B98" s="22" t="n"/>
      <c r="C98" s="22" t="n"/>
      <c r="D98" s="22" t="n"/>
      <c r="E98" s="22" t="n"/>
      <c r="F98" s="22" t="n"/>
      <c r="G98" s="22" t="n"/>
      <c r="H98" s="22" t="n"/>
      <c r="I98" s="22" t="n"/>
      <c r="J98" s="23" t="n"/>
      <c r="K98" s="24" t="n"/>
      <c r="L98" s="22" t="n"/>
      <c r="M98" s="23" t="n"/>
      <c r="N98" s="23" t="n"/>
      <c r="O98" s="23" t="n"/>
      <c r="P98" s="10">
        <f>IF(D98="","",IF(AND(M98="✓",N98="✓",O98="✓"),"✅正式",IF(M98&amp;N98&amp;O98="","入会前","手続き中")))</f>
        <v/>
      </c>
      <c r="Q98" s="24" t="n"/>
      <c r="R98" s="24" t="n"/>
      <c r="S98" s="10">
        <f>IF(OR(D98="",R98=""),"",TODAY()-R98)</f>
        <v/>
      </c>
      <c r="T98" s="22" t="n"/>
      <c r="U98" s="24" t="n"/>
      <c r="V98" s="23" t="n"/>
      <c r="W98" s="14">
        <f>IF(OR(D98="",V98="辞退",V98="保留",P98="✅正式"),"",TRIM(IF(AND(U98&lt;&gt;"",U98&lt;TODAY()),"期日超過 ","")&amp;IF(AND(S98&lt;&gt;"",S98&gt;='設定'!$B$9),"放置"&amp;S98&amp;"日 ","")&amp;IF(AND(J98="CCS済",M98&lt;&gt;"✓"),"CCS後の申込待ち ","")&amp;IF(AND(M98="✓",N98&lt;&gt;"✓"),"振込待ち ","")&amp;IF(AND(N98="✓",O98&lt;&gt;"✓"),"同意書待ち ","")&amp;IF(T98="","次アクション未設定","")))</f>
        <v/>
      </c>
      <c r="X98" s="10" t="n"/>
      <c r="Y98" s="22" t="n"/>
    </row>
    <row r="99">
      <c r="A99" s="10">
        <f>IF(D99="","",ROW()-4)</f>
        <v/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4" t="n"/>
      <c r="L99" s="22" t="n"/>
      <c r="M99" s="23" t="n"/>
      <c r="N99" s="23" t="n"/>
      <c r="O99" s="23" t="n"/>
      <c r="P99" s="10">
        <f>IF(D99="","",IF(AND(M99="✓",N99="✓",O99="✓"),"✅正式",IF(M99&amp;N99&amp;O99="","入会前","手続き中")))</f>
        <v/>
      </c>
      <c r="Q99" s="24" t="n"/>
      <c r="R99" s="24" t="n"/>
      <c r="S99" s="10">
        <f>IF(OR(D99="",R99=""),"",TODAY()-R99)</f>
        <v/>
      </c>
      <c r="T99" s="22" t="n"/>
      <c r="U99" s="24" t="n"/>
      <c r="V99" s="23" t="n"/>
      <c r="W99" s="14">
        <f>IF(OR(D99="",V99="辞退",V99="保留",P99="✅正式"),"",TRIM(IF(AND(U99&lt;&gt;"",U99&lt;TODAY()),"期日超過 ","")&amp;IF(AND(S99&lt;&gt;"",S99&gt;='設定'!$B$9),"放置"&amp;S99&amp;"日 ","")&amp;IF(AND(J99="CCS済",M99&lt;&gt;"✓"),"CCS後の申込待ち ","")&amp;IF(AND(M99="✓",N99&lt;&gt;"✓"),"振込待ち ","")&amp;IF(AND(N99="✓",O99&lt;&gt;"✓"),"同意書待ち ","")&amp;IF(T99="","次アクション未設定","")))</f>
        <v/>
      </c>
      <c r="X99" s="10" t="n"/>
      <c r="Y99" s="22" t="n"/>
    </row>
    <row r="100">
      <c r="A100" s="10">
        <f>IF(D100="","",ROW()-4)</f>
        <v/>
      </c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3" t="n"/>
      <c r="K100" s="24" t="n"/>
      <c r="L100" s="22" t="n"/>
      <c r="M100" s="23" t="n"/>
      <c r="N100" s="23" t="n"/>
      <c r="O100" s="23" t="n"/>
      <c r="P100" s="10">
        <f>IF(D100="","",IF(AND(M100="✓",N100="✓",O100="✓"),"✅正式",IF(M100&amp;N100&amp;O100="","入会前","手続き中")))</f>
        <v/>
      </c>
      <c r="Q100" s="24" t="n"/>
      <c r="R100" s="24" t="n"/>
      <c r="S100" s="10">
        <f>IF(OR(D100="",R100=""),"",TODAY()-R100)</f>
        <v/>
      </c>
      <c r="T100" s="22" t="n"/>
      <c r="U100" s="24" t="n"/>
      <c r="V100" s="23" t="n"/>
      <c r="W100" s="14">
        <f>IF(OR(D100="",V100="辞退",V100="保留",P100="✅正式"),"",TRIM(IF(AND(U100&lt;&gt;"",U100&lt;TODAY()),"期日超過 ","")&amp;IF(AND(S100&lt;&gt;"",S100&gt;='設定'!$B$9),"放置"&amp;S100&amp;"日 ","")&amp;IF(AND(J100="CCS済",M100&lt;&gt;"✓"),"CCS後の申込待ち ","")&amp;IF(AND(M100="✓",N100&lt;&gt;"✓"),"振込待ち ","")&amp;IF(AND(N100="✓",O100&lt;&gt;"✓"),"同意書待ち ","")&amp;IF(T100="","次アクション未設定","")))</f>
        <v/>
      </c>
      <c r="X100" s="10" t="n"/>
      <c r="Y100" s="22" t="n"/>
    </row>
    <row r="101">
      <c r="A101" s="10">
        <f>IF(D101="","",ROW()-4)</f>
        <v/>
      </c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4" t="n"/>
      <c r="L101" s="22" t="n"/>
      <c r="M101" s="23" t="n"/>
      <c r="N101" s="23" t="n"/>
      <c r="O101" s="23" t="n"/>
      <c r="P101" s="10">
        <f>IF(D101="","",IF(AND(M101="✓",N101="✓",O101="✓"),"✅正式",IF(M101&amp;N101&amp;O101="","入会前","手続き中")))</f>
        <v/>
      </c>
      <c r="Q101" s="24" t="n"/>
      <c r="R101" s="24" t="n"/>
      <c r="S101" s="10">
        <f>IF(OR(D101="",R101=""),"",TODAY()-R101)</f>
        <v/>
      </c>
      <c r="T101" s="22" t="n"/>
      <c r="U101" s="24" t="n"/>
      <c r="V101" s="23" t="n"/>
      <c r="W101" s="14">
        <f>IF(OR(D101="",V101="辞退",V101="保留",P101="✅正式"),"",TRIM(IF(AND(U101&lt;&gt;"",U101&lt;TODAY()),"期日超過 ","")&amp;IF(AND(S101&lt;&gt;"",S101&gt;='設定'!$B$9),"放置"&amp;S101&amp;"日 ","")&amp;IF(AND(J101="CCS済",M101&lt;&gt;"✓"),"CCS後の申込待ち ","")&amp;IF(AND(M101="✓",N101&lt;&gt;"✓"),"振込待ち ","")&amp;IF(AND(N101="✓",O101&lt;&gt;"✓"),"同意書待ち ","")&amp;IF(T101="","次アクション未設定","")))</f>
        <v/>
      </c>
      <c r="X101" s="10" t="n"/>
      <c r="Y101" s="22" t="n"/>
    </row>
    <row r="102">
      <c r="A102" s="10">
        <f>IF(D102="","",ROW()-4)</f>
        <v/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3" t="n"/>
      <c r="K102" s="24" t="n"/>
      <c r="L102" s="22" t="n"/>
      <c r="M102" s="23" t="n"/>
      <c r="N102" s="23" t="n"/>
      <c r="O102" s="23" t="n"/>
      <c r="P102" s="10">
        <f>IF(D102="","",IF(AND(M102="✓",N102="✓",O102="✓"),"✅正式",IF(M102&amp;N102&amp;O102="","入会前","手続き中")))</f>
        <v/>
      </c>
      <c r="Q102" s="24" t="n"/>
      <c r="R102" s="24" t="n"/>
      <c r="S102" s="10">
        <f>IF(OR(D102="",R102=""),"",TODAY()-R102)</f>
        <v/>
      </c>
      <c r="T102" s="22" t="n"/>
      <c r="U102" s="24" t="n"/>
      <c r="V102" s="23" t="n"/>
      <c r="W102" s="14">
        <f>IF(OR(D102="",V102="辞退",V102="保留",P102="✅正式"),"",TRIM(IF(AND(U102&lt;&gt;"",U102&lt;TODAY()),"期日超過 ","")&amp;IF(AND(S102&lt;&gt;"",S102&gt;='設定'!$B$9),"放置"&amp;S102&amp;"日 ","")&amp;IF(AND(J102="CCS済",M102&lt;&gt;"✓"),"CCS後の申込待ち ","")&amp;IF(AND(M102="✓",N102&lt;&gt;"✓"),"振込待ち ","")&amp;IF(AND(N102="✓",O102&lt;&gt;"✓"),"同意書待ち ","")&amp;IF(T102="","次アクション未設定","")))</f>
        <v/>
      </c>
      <c r="X102" s="10" t="n"/>
      <c r="Y102" s="22" t="n"/>
    </row>
    <row r="103">
      <c r="A103" s="10">
        <f>IF(D103="","",ROW()-4)</f>
        <v/>
      </c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4" t="n"/>
      <c r="L103" s="22" t="n"/>
      <c r="M103" s="23" t="n"/>
      <c r="N103" s="23" t="n"/>
      <c r="O103" s="23" t="n"/>
      <c r="P103" s="10">
        <f>IF(D103="","",IF(AND(M103="✓",N103="✓",O103="✓"),"✅正式",IF(M103&amp;N103&amp;O103="","入会前","手続き中")))</f>
        <v/>
      </c>
      <c r="Q103" s="24" t="n"/>
      <c r="R103" s="24" t="n"/>
      <c r="S103" s="10">
        <f>IF(OR(D103="",R103=""),"",TODAY()-R103)</f>
        <v/>
      </c>
      <c r="T103" s="22" t="n"/>
      <c r="U103" s="24" t="n"/>
      <c r="V103" s="23" t="n"/>
      <c r="W103" s="14">
        <f>IF(OR(D103="",V103="辞退",V103="保留",P103="✅正式"),"",TRIM(IF(AND(U103&lt;&gt;"",U103&lt;TODAY()),"期日超過 ","")&amp;IF(AND(S103&lt;&gt;"",S103&gt;='設定'!$B$9),"放置"&amp;S103&amp;"日 ","")&amp;IF(AND(J103="CCS済",M103&lt;&gt;"✓"),"CCS後の申込待ち ","")&amp;IF(AND(M103="✓",N103&lt;&gt;"✓"),"振込待ち ","")&amp;IF(AND(N103="✓",O103&lt;&gt;"✓"),"同意書待ち ","")&amp;IF(T103="","次アクション未設定","")))</f>
        <v/>
      </c>
      <c r="X103" s="10" t="n"/>
      <c r="Y103" s="22" t="n"/>
    </row>
    <row r="104">
      <c r="A104" s="10">
        <f>IF(D104="","",ROW()-4)</f>
        <v/>
      </c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3" t="n"/>
      <c r="K104" s="24" t="n"/>
      <c r="L104" s="22" t="n"/>
      <c r="M104" s="23" t="n"/>
      <c r="N104" s="23" t="n"/>
      <c r="O104" s="23" t="n"/>
      <c r="P104" s="10">
        <f>IF(D104="","",IF(AND(M104="✓",N104="✓",O104="✓"),"✅正式",IF(M104&amp;N104&amp;O104="","入会前","手続き中")))</f>
        <v/>
      </c>
      <c r="Q104" s="24" t="n"/>
      <c r="R104" s="24" t="n"/>
      <c r="S104" s="10">
        <f>IF(OR(D104="",R104=""),"",TODAY()-R104)</f>
        <v/>
      </c>
      <c r="T104" s="22" t="n"/>
      <c r="U104" s="24" t="n"/>
      <c r="V104" s="23" t="n"/>
      <c r="W104" s="14">
        <f>IF(OR(D104="",V104="辞退",V104="保留",P104="✅正式"),"",TRIM(IF(AND(U104&lt;&gt;"",U104&lt;TODAY()),"期日超過 ","")&amp;IF(AND(S104&lt;&gt;"",S104&gt;='設定'!$B$9),"放置"&amp;S104&amp;"日 ","")&amp;IF(AND(J104="CCS済",M104&lt;&gt;"✓"),"CCS後の申込待ち ","")&amp;IF(AND(M104="✓",N104&lt;&gt;"✓"),"振込待ち ","")&amp;IF(AND(N104="✓",O104&lt;&gt;"✓"),"同意書待ち ","")&amp;IF(T104="","次アクション未設定","")))</f>
        <v/>
      </c>
      <c r="X104" s="10" t="n"/>
      <c r="Y104" s="22" t="n"/>
    </row>
    <row r="105">
      <c r="A105" s="10">
        <f>IF(D105="","",ROW()-4)</f>
        <v/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4" t="n"/>
      <c r="L105" s="22" t="n"/>
      <c r="M105" s="23" t="n"/>
      <c r="N105" s="23" t="n"/>
      <c r="O105" s="23" t="n"/>
      <c r="P105" s="10">
        <f>IF(D105="","",IF(AND(M105="✓",N105="✓",O105="✓"),"✅正式",IF(M105&amp;N105&amp;O105="","入会前","手続き中")))</f>
        <v/>
      </c>
      <c r="Q105" s="24" t="n"/>
      <c r="R105" s="24" t="n"/>
      <c r="S105" s="10">
        <f>IF(OR(D105="",R105=""),"",TODAY()-R105)</f>
        <v/>
      </c>
      <c r="T105" s="22" t="n"/>
      <c r="U105" s="24" t="n"/>
      <c r="V105" s="23" t="n"/>
      <c r="W105" s="14">
        <f>IF(OR(D105="",V105="辞退",V105="保留",P105="✅正式"),"",TRIM(IF(AND(U105&lt;&gt;"",U105&lt;TODAY()),"期日超過 ","")&amp;IF(AND(S105&lt;&gt;"",S105&gt;='設定'!$B$9),"放置"&amp;S105&amp;"日 ","")&amp;IF(AND(J105="CCS済",M105&lt;&gt;"✓"),"CCS後の申込待ち ","")&amp;IF(AND(M105="✓",N105&lt;&gt;"✓"),"振込待ち ","")&amp;IF(AND(N105="✓",O105&lt;&gt;"✓"),"同意書待ち ","")&amp;IF(T105="","次アクション未設定","")))</f>
        <v/>
      </c>
      <c r="X105" s="10" t="n"/>
      <c r="Y105" s="22" t="n"/>
    </row>
    <row r="106">
      <c r="A106" s="10">
        <f>IF(D106="","",ROW()-4)</f>
        <v/>
      </c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3" t="n"/>
      <c r="K106" s="24" t="n"/>
      <c r="L106" s="22" t="n"/>
      <c r="M106" s="23" t="n"/>
      <c r="N106" s="23" t="n"/>
      <c r="O106" s="23" t="n"/>
      <c r="P106" s="10">
        <f>IF(D106="","",IF(AND(M106="✓",N106="✓",O106="✓"),"✅正式",IF(M106&amp;N106&amp;O106="","入会前","手続き中")))</f>
        <v/>
      </c>
      <c r="Q106" s="24" t="n"/>
      <c r="R106" s="24" t="n"/>
      <c r="S106" s="10">
        <f>IF(OR(D106="",R106=""),"",TODAY()-R106)</f>
        <v/>
      </c>
      <c r="T106" s="22" t="n"/>
      <c r="U106" s="24" t="n"/>
      <c r="V106" s="23" t="n"/>
      <c r="W106" s="14">
        <f>IF(OR(D106="",V106="辞退",V106="保留",P106="✅正式"),"",TRIM(IF(AND(U106&lt;&gt;"",U106&lt;TODAY()),"期日超過 ","")&amp;IF(AND(S106&lt;&gt;"",S106&gt;='設定'!$B$9),"放置"&amp;S106&amp;"日 ","")&amp;IF(AND(J106="CCS済",M106&lt;&gt;"✓"),"CCS後の申込待ち ","")&amp;IF(AND(M106="✓",N106&lt;&gt;"✓"),"振込待ち ","")&amp;IF(AND(N106="✓",O106&lt;&gt;"✓"),"同意書待ち ","")&amp;IF(T106="","次アクション未設定","")))</f>
        <v/>
      </c>
      <c r="X106" s="10" t="n"/>
      <c r="Y106" s="22" t="n"/>
    </row>
    <row r="107">
      <c r="A107" s="10">
        <f>IF(D107="","",ROW()-4)</f>
        <v/>
      </c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4" t="n"/>
      <c r="L107" s="22" t="n"/>
      <c r="M107" s="23" t="n"/>
      <c r="N107" s="23" t="n"/>
      <c r="O107" s="23" t="n"/>
      <c r="P107" s="10">
        <f>IF(D107="","",IF(AND(M107="✓",N107="✓",O107="✓"),"✅正式",IF(M107&amp;N107&amp;O107="","入会前","手続き中")))</f>
        <v/>
      </c>
      <c r="Q107" s="24" t="n"/>
      <c r="R107" s="24" t="n"/>
      <c r="S107" s="10">
        <f>IF(OR(D107="",R107=""),"",TODAY()-R107)</f>
        <v/>
      </c>
      <c r="T107" s="22" t="n"/>
      <c r="U107" s="24" t="n"/>
      <c r="V107" s="23" t="n"/>
      <c r="W107" s="14">
        <f>IF(OR(D107="",V107="辞退",V107="保留",P107="✅正式"),"",TRIM(IF(AND(U107&lt;&gt;"",U107&lt;TODAY()),"期日超過 ","")&amp;IF(AND(S107&lt;&gt;"",S107&gt;='設定'!$B$9),"放置"&amp;S107&amp;"日 ","")&amp;IF(AND(J107="CCS済",M107&lt;&gt;"✓"),"CCS後の申込待ち ","")&amp;IF(AND(M107="✓",N107&lt;&gt;"✓"),"振込待ち ","")&amp;IF(AND(N107="✓",O107&lt;&gt;"✓"),"同意書待ち ","")&amp;IF(T107="","次アクション未設定","")))</f>
        <v/>
      </c>
      <c r="X107" s="10" t="n"/>
      <c r="Y107" s="22" t="n"/>
    </row>
    <row r="108">
      <c r="A108" s="10">
        <f>IF(D108="","",ROW()-4)</f>
        <v/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3" t="n"/>
      <c r="K108" s="24" t="n"/>
      <c r="L108" s="22" t="n"/>
      <c r="M108" s="23" t="n"/>
      <c r="N108" s="23" t="n"/>
      <c r="O108" s="23" t="n"/>
      <c r="P108" s="10">
        <f>IF(D108="","",IF(AND(M108="✓",N108="✓",O108="✓"),"✅正式",IF(M108&amp;N108&amp;O108="","入会前","手続き中")))</f>
        <v/>
      </c>
      <c r="Q108" s="24" t="n"/>
      <c r="R108" s="24" t="n"/>
      <c r="S108" s="10">
        <f>IF(OR(D108="",R108=""),"",TODAY()-R108)</f>
        <v/>
      </c>
      <c r="T108" s="22" t="n"/>
      <c r="U108" s="24" t="n"/>
      <c r="V108" s="23" t="n"/>
      <c r="W108" s="14">
        <f>IF(OR(D108="",V108="辞退",V108="保留",P108="✅正式"),"",TRIM(IF(AND(U108&lt;&gt;"",U108&lt;TODAY()),"期日超過 ","")&amp;IF(AND(S108&lt;&gt;"",S108&gt;='設定'!$B$9),"放置"&amp;S108&amp;"日 ","")&amp;IF(AND(J108="CCS済",M108&lt;&gt;"✓"),"CCS後の申込待ち ","")&amp;IF(AND(M108="✓",N108&lt;&gt;"✓"),"振込待ち ","")&amp;IF(AND(N108="✓",O108&lt;&gt;"✓"),"同意書待ち ","")&amp;IF(T108="","次アクション未設定","")))</f>
        <v/>
      </c>
      <c r="X108" s="10" t="n"/>
      <c r="Y108" s="22" t="n"/>
    </row>
    <row r="109">
      <c r="A109" s="10">
        <f>IF(D109="","",ROW()-4)</f>
        <v/>
      </c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4" t="n"/>
      <c r="L109" s="22" t="n"/>
      <c r="M109" s="23" t="n"/>
      <c r="N109" s="23" t="n"/>
      <c r="O109" s="23" t="n"/>
      <c r="P109" s="10">
        <f>IF(D109="","",IF(AND(M109="✓",N109="✓",O109="✓"),"✅正式",IF(M109&amp;N109&amp;O109="","入会前","手続き中")))</f>
        <v/>
      </c>
      <c r="Q109" s="24" t="n"/>
      <c r="R109" s="24" t="n"/>
      <c r="S109" s="10">
        <f>IF(OR(D109="",R109=""),"",TODAY()-R109)</f>
        <v/>
      </c>
      <c r="T109" s="22" t="n"/>
      <c r="U109" s="24" t="n"/>
      <c r="V109" s="23" t="n"/>
      <c r="W109" s="14">
        <f>IF(OR(D109="",V109="辞退",V109="保留",P109="✅正式"),"",TRIM(IF(AND(U109&lt;&gt;"",U109&lt;TODAY()),"期日超過 ","")&amp;IF(AND(S109&lt;&gt;"",S109&gt;='設定'!$B$9),"放置"&amp;S109&amp;"日 ","")&amp;IF(AND(J109="CCS済",M109&lt;&gt;"✓"),"CCS後の申込待ち ","")&amp;IF(AND(M109="✓",N109&lt;&gt;"✓"),"振込待ち ","")&amp;IF(AND(N109="✓",O109&lt;&gt;"✓"),"同意書待ち ","")&amp;IF(T109="","次アクション未設定","")))</f>
        <v/>
      </c>
      <c r="X109" s="10" t="n"/>
      <c r="Y109" s="22" t="n"/>
    </row>
    <row r="110">
      <c r="A110" s="10">
        <f>IF(D110="","",ROW()-4)</f>
        <v/>
      </c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3" t="n"/>
      <c r="K110" s="24" t="n"/>
      <c r="L110" s="22" t="n"/>
      <c r="M110" s="23" t="n"/>
      <c r="N110" s="23" t="n"/>
      <c r="O110" s="23" t="n"/>
      <c r="P110" s="10">
        <f>IF(D110="","",IF(AND(M110="✓",N110="✓",O110="✓"),"✅正式",IF(M110&amp;N110&amp;O110="","入会前","手続き中")))</f>
        <v/>
      </c>
      <c r="Q110" s="24" t="n"/>
      <c r="R110" s="24" t="n"/>
      <c r="S110" s="10">
        <f>IF(OR(D110="",R110=""),"",TODAY()-R110)</f>
        <v/>
      </c>
      <c r="T110" s="22" t="n"/>
      <c r="U110" s="24" t="n"/>
      <c r="V110" s="23" t="n"/>
      <c r="W110" s="14">
        <f>IF(OR(D110="",V110="辞退",V110="保留",P110="✅正式"),"",TRIM(IF(AND(U110&lt;&gt;"",U110&lt;TODAY()),"期日超過 ","")&amp;IF(AND(S110&lt;&gt;"",S110&gt;='設定'!$B$9),"放置"&amp;S110&amp;"日 ","")&amp;IF(AND(J110="CCS済",M110&lt;&gt;"✓"),"CCS後の申込待ち ","")&amp;IF(AND(M110="✓",N110&lt;&gt;"✓"),"振込待ち ","")&amp;IF(AND(N110="✓",O110&lt;&gt;"✓"),"同意書待ち ","")&amp;IF(T110="","次アクション未設定","")))</f>
        <v/>
      </c>
      <c r="X110" s="10" t="n"/>
      <c r="Y110" s="22" t="n"/>
    </row>
    <row r="111">
      <c r="A111" s="10">
        <f>IF(D111="","",ROW()-4)</f>
        <v/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4" t="n"/>
      <c r="L111" s="22" t="n"/>
      <c r="M111" s="23" t="n"/>
      <c r="N111" s="23" t="n"/>
      <c r="O111" s="23" t="n"/>
      <c r="P111" s="10">
        <f>IF(D111="","",IF(AND(M111="✓",N111="✓",O111="✓"),"✅正式",IF(M111&amp;N111&amp;O111="","入会前","手続き中")))</f>
        <v/>
      </c>
      <c r="Q111" s="24" t="n"/>
      <c r="R111" s="24" t="n"/>
      <c r="S111" s="10">
        <f>IF(OR(D111="",R111=""),"",TODAY()-R111)</f>
        <v/>
      </c>
      <c r="T111" s="22" t="n"/>
      <c r="U111" s="24" t="n"/>
      <c r="V111" s="23" t="n"/>
      <c r="W111" s="14">
        <f>IF(OR(D111="",V111="辞退",V111="保留",P111="✅正式"),"",TRIM(IF(AND(U111&lt;&gt;"",U111&lt;TODAY()),"期日超過 ","")&amp;IF(AND(S111&lt;&gt;"",S111&gt;='設定'!$B$9),"放置"&amp;S111&amp;"日 ","")&amp;IF(AND(J111="CCS済",M111&lt;&gt;"✓"),"CCS後の申込待ち ","")&amp;IF(AND(M111="✓",N111&lt;&gt;"✓"),"振込待ち ","")&amp;IF(AND(N111="✓",O111&lt;&gt;"✓"),"同意書待ち ","")&amp;IF(T111="","次アクション未設定","")))</f>
        <v/>
      </c>
      <c r="X111" s="10" t="n"/>
      <c r="Y111" s="22" t="n"/>
    </row>
    <row r="112">
      <c r="A112" s="10">
        <f>IF(D112="","",ROW()-4)</f>
        <v/>
      </c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3" t="n"/>
      <c r="K112" s="24" t="n"/>
      <c r="L112" s="22" t="n"/>
      <c r="M112" s="23" t="n"/>
      <c r="N112" s="23" t="n"/>
      <c r="O112" s="23" t="n"/>
      <c r="P112" s="10">
        <f>IF(D112="","",IF(AND(M112="✓",N112="✓",O112="✓"),"✅正式",IF(M112&amp;N112&amp;O112="","入会前","手続き中")))</f>
        <v/>
      </c>
      <c r="Q112" s="24" t="n"/>
      <c r="R112" s="24" t="n"/>
      <c r="S112" s="10">
        <f>IF(OR(D112="",R112=""),"",TODAY()-R112)</f>
        <v/>
      </c>
      <c r="T112" s="22" t="n"/>
      <c r="U112" s="24" t="n"/>
      <c r="V112" s="23" t="n"/>
      <c r="W112" s="14">
        <f>IF(OR(D112="",V112="辞退",V112="保留",P112="✅正式"),"",TRIM(IF(AND(U112&lt;&gt;"",U112&lt;TODAY()),"期日超過 ","")&amp;IF(AND(S112&lt;&gt;"",S112&gt;='設定'!$B$9),"放置"&amp;S112&amp;"日 ","")&amp;IF(AND(J112="CCS済",M112&lt;&gt;"✓"),"CCS後の申込待ち ","")&amp;IF(AND(M112="✓",N112&lt;&gt;"✓"),"振込待ち ","")&amp;IF(AND(N112="✓",O112&lt;&gt;"✓"),"同意書待ち ","")&amp;IF(T112="","次アクション未設定","")))</f>
        <v/>
      </c>
      <c r="X112" s="10" t="n"/>
      <c r="Y112" s="22" t="n"/>
    </row>
    <row r="113">
      <c r="A113" s="10">
        <f>IF(D113="","",ROW()-4)</f>
        <v/>
      </c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4" t="n"/>
      <c r="L113" s="22" t="n"/>
      <c r="M113" s="23" t="n"/>
      <c r="N113" s="23" t="n"/>
      <c r="O113" s="23" t="n"/>
      <c r="P113" s="10">
        <f>IF(D113="","",IF(AND(M113="✓",N113="✓",O113="✓"),"✅正式",IF(M113&amp;N113&amp;O113="","入会前","手続き中")))</f>
        <v/>
      </c>
      <c r="Q113" s="24" t="n"/>
      <c r="R113" s="24" t="n"/>
      <c r="S113" s="10">
        <f>IF(OR(D113="",R113=""),"",TODAY()-R113)</f>
        <v/>
      </c>
      <c r="T113" s="22" t="n"/>
      <c r="U113" s="24" t="n"/>
      <c r="V113" s="23" t="n"/>
      <c r="W113" s="14">
        <f>IF(OR(D113="",V113="辞退",V113="保留",P113="✅正式"),"",TRIM(IF(AND(U113&lt;&gt;"",U113&lt;TODAY()),"期日超過 ","")&amp;IF(AND(S113&lt;&gt;"",S113&gt;='設定'!$B$9),"放置"&amp;S113&amp;"日 ","")&amp;IF(AND(J113="CCS済",M113&lt;&gt;"✓"),"CCS後の申込待ち ","")&amp;IF(AND(M113="✓",N113&lt;&gt;"✓"),"振込待ち ","")&amp;IF(AND(N113="✓",O113&lt;&gt;"✓"),"同意書待ち ","")&amp;IF(T113="","次アクション未設定","")))</f>
        <v/>
      </c>
      <c r="X113" s="10" t="n"/>
      <c r="Y113" s="22" t="n"/>
    </row>
    <row r="114">
      <c r="A114" s="10">
        <f>IF(D114="","",ROW()-4)</f>
        <v/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3" t="n"/>
      <c r="K114" s="24" t="n"/>
      <c r="L114" s="22" t="n"/>
      <c r="M114" s="23" t="n"/>
      <c r="N114" s="23" t="n"/>
      <c r="O114" s="23" t="n"/>
      <c r="P114" s="10">
        <f>IF(D114="","",IF(AND(M114="✓",N114="✓",O114="✓"),"✅正式",IF(M114&amp;N114&amp;O114="","入会前","手続き中")))</f>
        <v/>
      </c>
      <c r="Q114" s="24" t="n"/>
      <c r="R114" s="24" t="n"/>
      <c r="S114" s="10">
        <f>IF(OR(D114="",R114=""),"",TODAY()-R114)</f>
        <v/>
      </c>
      <c r="T114" s="22" t="n"/>
      <c r="U114" s="24" t="n"/>
      <c r="V114" s="23" t="n"/>
      <c r="W114" s="14">
        <f>IF(OR(D114="",V114="辞退",V114="保留",P114="✅正式"),"",TRIM(IF(AND(U114&lt;&gt;"",U114&lt;TODAY()),"期日超過 ","")&amp;IF(AND(S114&lt;&gt;"",S114&gt;='設定'!$B$9),"放置"&amp;S114&amp;"日 ","")&amp;IF(AND(J114="CCS済",M114&lt;&gt;"✓"),"CCS後の申込待ち ","")&amp;IF(AND(M114="✓",N114&lt;&gt;"✓"),"振込待ち ","")&amp;IF(AND(N114="✓",O114&lt;&gt;"✓"),"同意書待ち ","")&amp;IF(T114="","次アクション未設定","")))</f>
        <v/>
      </c>
      <c r="X114" s="10" t="n"/>
      <c r="Y114" s="22" t="n"/>
    </row>
    <row r="115">
      <c r="A115" s="10">
        <f>IF(D115="","",ROW()-4)</f>
        <v/>
      </c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4" t="n"/>
      <c r="L115" s="22" t="n"/>
      <c r="M115" s="23" t="n"/>
      <c r="N115" s="23" t="n"/>
      <c r="O115" s="23" t="n"/>
      <c r="P115" s="10">
        <f>IF(D115="","",IF(AND(M115="✓",N115="✓",O115="✓"),"✅正式",IF(M115&amp;N115&amp;O115="","入会前","手続き中")))</f>
        <v/>
      </c>
      <c r="Q115" s="24" t="n"/>
      <c r="R115" s="24" t="n"/>
      <c r="S115" s="10">
        <f>IF(OR(D115="",R115=""),"",TODAY()-R115)</f>
        <v/>
      </c>
      <c r="T115" s="22" t="n"/>
      <c r="U115" s="24" t="n"/>
      <c r="V115" s="23" t="n"/>
      <c r="W115" s="14">
        <f>IF(OR(D115="",V115="辞退",V115="保留",P115="✅正式"),"",TRIM(IF(AND(U115&lt;&gt;"",U115&lt;TODAY()),"期日超過 ","")&amp;IF(AND(S115&lt;&gt;"",S115&gt;='設定'!$B$9),"放置"&amp;S115&amp;"日 ","")&amp;IF(AND(J115="CCS済",M115&lt;&gt;"✓"),"CCS後の申込待ち ","")&amp;IF(AND(M115="✓",N115&lt;&gt;"✓"),"振込待ち ","")&amp;IF(AND(N115="✓",O115&lt;&gt;"✓"),"同意書待ち ","")&amp;IF(T115="","次アクション未設定","")))</f>
        <v/>
      </c>
      <c r="X115" s="10" t="n"/>
      <c r="Y115" s="22" t="n"/>
    </row>
    <row r="116">
      <c r="A116" s="10">
        <f>IF(D116="","",ROW()-4)</f>
        <v/>
      </c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3" t="n"/>
      <c r="K116" s="24" t="n"/>
      <c r="L116" s="22" t="n"/>
      <c r="M116" s="23" t="n"/>
      <c r="N116" s="23" t="n"/>
      <c r="O116" s="23" t="n"/>
      <c r="P116" s="10">
        <f>IF(D116="","",IF(AND(M116="✓",N116="✓",O116="✓"),"✅正式",IF(M116&amp;N116&amp;O116="","入会前","手続き中")))</f>
        <v/>
      </c>
      <c r="Q116" s="24" t="n"/>
      <c r="R116" s="24" t="n"/>
      <c r="S116" s="10">
        <f>IF(OR(D116="",R116=""),"",TODAY()-R116)</f>
        <v/>
      </c>
      <c r="T116" s="22" t="n"/>
      <c r="U116" s="24" t="n"/>
      <c r="V116" s="23" t="n"/>
      <c r="W116" s="14">
        <f>IF(OR(D116="",V116="辞退",V116="保留",P116="✅正式"),"",TRIM(IF(AND(U116&lt;&gt;"",U116&lt;TODAY()),"期日超過 ","")&amp;IF(AND(S116&lt;&gt;"",S116&gt;='設定'!$B$9),"放置"&amp;S116&amp;"日 ","")&amp;IF(AND(J116="CCS済",M116&lt;&gt;"✓"),"CCS後の申込待ち ","")&amp;IF(AND(M116="✓",N116&lt;&gt;"✓"),"振込待ち ","")&amp;IF(AND(N116="✓",O116&lt;&gt;"✓"),"同意書待ち ","")&amp;IF(T116="","次アクション未設定","")))</f>
        <v/>
      </c>
      <c r="X116" s="10" t="n"/>
      <c r="Y116" s="22" t="n"/>
    </row>
    <row r="117">
      <c r="A117" s="10">
        <f>IF(D117="","",ROW()-4)</f>
        <v/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4" t="n"/>
      <c r="L117" s="22" t="n"/>
      <c r="M117" s="23" t="n"/>
      <c r="N117" s="23" t="n"/>
      <c r="O117" s="23" t="n"/>
      <c r="P117" s="10">
        <f>IF(D117="","",IF(AND(M117="✓",N117="✓",O117="✓"),"✅正式",IF(M117&amp;N117&amp;O117="","入会前","手続き中")))</f>
        <v/>
      </c>
      <c r="Q117" s="24" t="n"/>
      <c r="R117" s="24" t="n"/>
      <c r="S117" s="10">
        <f>IF(OR(D117="",R117=""),"",TODAY()-R117)</f>
        <v/>
      </c>
      <c r="T117" s="22" t="n"/>
      <c r="U117" s="24" t="n"/>
      <c r="V117" s="23" t="n"/>
      <c r="W117" s="14">
        <f>IF(OR(D117="",V117="辞退",V117="保留",P117="✅正式"),"",TRIM(IF(AND(U117&lt;&gt;"",U117&lt;TODAY()),"期日超過 ","")&amp;IF(AND(S117&lt;&gt;"",S117&gt;='設定'!$B$9),"放置"&amp;S117&amp;"日 ","")&amp;IF(AND(J117="CCS済",M117&lt;&gt;"✓"),"CCS後の申込待ち ","")&amp;IF(AND(M117="✓",N117&lt;&gt;"✓"),"振込待ち ","")&amp;IF(AND(N117="✓",O117&lt;&gt;"✓"),"同意書待ち ","")&amp;IF(T117="","次アクション未設定","")))</f>
        <v/>
      </c>
      <c r="X117" s="10" t="n"/>
      <c r="Y117" s="22" t="n"/>
    </row>
    <row r="118">
      <c r="A118" s="10">
        <f>IF(D118="","",ROW()-4)</f>
        <v/>
      </c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3" t="n"/>
      <c r="K118" s="24" t="n"/>
      <c r="L118" s="22" t="n"/>
      <c r="M118" s="23" t="n"/>
      <c r="N118" s="23" t="n"/>
      <c r="O118" s="23" t="n"/>
      <c r="P118" s="10">
        <f>IF(D118="","",IF(AND(M118="✓",N118="✓",O118="✓"),"✅正式",IF(M118&amp;N118&amp;O118="","入会前","手続き中")))</f>
        <v/>
      </c>
      <c r="Q118" s="24" t="n"/>
      <c r="R118" s="24" t="n"/>
      <c r="S118" s="10">
        <f>IF(OR(D118="",R118=""),"",TODAY()-R118)</f>
        <v/>
      </c>
      <c r="T118" s="22" t="n"/>
      <c r="U118" s="24" t="n"/>
      <c r="V118" s="23" t="n"/>
      <c r="W118" s="14">
        <f>IF(OR(D118="",V118="辞退",V118="保留",P118="✅正式"),"",TRIM(IF(AND(U118&lt;&gt;"",U118&lt;TODAY()),"期日超過 ","")&amp;IF(AND(S118&lt;&gt;"",S118&gt;='設定'!$B$9),"放置"&amp;S118&amp;"日 ","")&amp;IF(AND(J118="CCS済",M118&lt;&gt;"✓"),"CCS後の申込待ち ","")&amp;IF(AND(M118="✓",N118&lt;&gt;"✓"),"振込待ち ","")&amp;IF(AND(N118="✓",O118&lt;&gt;"✓"),"同意書待ち ","")&amp;IF(T118="","次アクション未設定","")))</f>
        <v/>
      </c>
      <c r="X118" s="10" t="n"/>
      <c r="Y118" s="22" t="n"/>
    </row>
    <row r="119">
      <c r="A119" s="10">
        <f>IF(D119="","",ROW()-4)</f>
        <v/>
      </c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4" t="n"/>
      <c r="L119" s="22" t="n"/>
      <c r="M119" s="23" t="n"/>
      <c r="N119" s="23" t="n"/>
      <c r="O119" s="23" t="n"/>
      <c r="P119" s="10">
        <f>IF(D119="","",IF(AND(M119="✓",N119="✓",O119="✓"),"✅正式",IF(M119&amp;N119&amp;O119="","入会前","手続き中")))</f>
        <v/>
      </c>
      <c r="Q119" s="24" t="n"/>
      <c r="R119" s="24" t="n"/>
      <c r="S119" s="10">
        <f>IF(OR(D119="",R119=""),"",TODAY()-R119)</f>
        <v/>
      </c>
      <c r="T119" s="22" t="n"/>
      <c r="U119" s="24" t="n"/>
      <c r="V119" s="23" t="n"/>
      <c r="W119" s="14">
        <f>IF(OR(D119="",V119="辞退",V119="保留",P119="✅正式"),"",TRIM(IF(AND(U119&lt;&gt;"",U119&lt;TODAY()),"期日超過 ","")&amp;IF(AND(S119&lt;&gt;"",S119&gt;='設定'!$B$9),"放置"&amp;S119&amp;"日 ","")&amp;IF(AND(J119="CCS済",M119&lt;&gt;"✓"),"CCS後の申込待ち ","")&amp;IF(AND(M119="✓",N119&lt;&gt;"✓"),"振込待ち ","")&amp;IF(AND(N119="✓",O119&lt;&gt;"✓"),"同意書待ち ","")&amp;IF(T119="","次アクション未設定","")))</f>
        <v/>
      </c>
      <c r="X119" s="10" t="n"/>
      <c r="Y119" s="22" t="n"/>
    </row>
    <row r="120">
      <c r="A120" s="10">
        <f>IF(D120="","",ROW()-4)</f>
        <v/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3" t="n"/>
      <c r="K120" s="24" t="n"/>
      <c r="L120" s="22" t="n"/>
      <c r="M120" s="23" t="n"/>
      <c r="N120" s="23" t="n"/>
      <c r="O120" s="23" t="n"/>
      <c r="P120" s="10">
        <f>IF(D120="","",IF(AND(M120="✓",N120="✓",O120="✓"),"✅正式",IF(M120&amp;N120&amp;O120="","入会前","手続き中")))</f>
        <v/>
      </c>
      <c r="Q120" s="24" t="n"/>
      <c r="R120" s="24" t="n"/>
      <c r="S120" s="10">
        <f>IF(OR(D120="",R120=""),"",TODAY()-R120)</f>
        <v/>
      </c>
      <c r="T120" s="22" t="n"/>
      <c r="U120" s="24" t="n"/>
      <c r="V120" s="23" t="n"/>
      <c r="W120" s="14">
        <f>IF(OR(D120="",V120="辞退",V120="保留",P120="✅正式"),"",TRIM(IF(AND(U120&lt;&gt;"",U120&lt;TODAY()),"期日超過 ","")&amp;IF(AND(S120&lt;&gt;"",S120&gt;='設定'!$B$9),"放置"&amp;S120&amp;"日 ","")&amp;IF(AND(J120="CCS済",M120&lt;&gt;"✓"),"CCS後の申込待ち ","")&amp;IF(AND(M120="✓",N120&lt;&gt;"✓"),"振込待ち ","")&amp;IF(AND(N120="✓",O120&lt;&gt;"✓"),"同意書待ち ","")&amp;IF(T120="","次アクション未設定","")))</f>
        <v/>
      </c>
      <c r="X120" s="10" t="n"/>
      <c r="Y120" s="22" t="n"/>
    </row>
    <row r="121">
      <c r="A121" s="10">
        <f>IF(D121="","",ROW()-4)</f>
        <v/>
      </c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4" t="n"/>
      <c r="L121" s="22" t="n"/>
      <c r="M121" s="23" t="n"/>
      <c r="N121" s="23" t="n"/>
      <c r="O121" s="23" t="n"/>
      <c r="P121" s="10">
        <f>IF(D121="","",IF(AND(M121="✓",N121="✓",O121="✓"),"✅正式",IF(M121&amp;N121&amp;O121="","入会前","手続き中")))</f>
        <v/>
      </c>
      <c r="Q121" s="24" t="n"/>
      <c r="R121" s="24" t="n"/>
      <c r="S121" s="10">
        <f>IF(OR(D121="",R121=""),"",TODAY()-R121)</f>
        <v/>
      </c>
      <c r="T121" s="22" t="n"/>
      <c r="U121" s="24" t="n"/>
      <c r="V121" s="23" t="n"/>
      <c r="W121" s="14">
        <f>IF(OR(D121="",V121="辞退",V121="保留",P121="✅正式"),"",TRIM(IF(AND(U121&lt;&gt;"",U121&lt;TODAY()),"期日超過 ","")&amp;IF(AND(S121&lt;&gt;"",S121&gt;='設定'!$B$9),"放置"&amp;S121&amp;"日 ","")&amp;IF(AND(J121="CCS済",M121&lt;&gt;"✓"),"CCS後の申込待ち ","")&amp;IF(AND(M121="✓",N121&lt;&gt;"✓"),"振込待ち ","")&amp;IF(AND(N121="✓",O121&lt;&gt;"✓"),"同意書待ち ","")&amp;IF(T121="","次アクション未設定","")))</f>
        <v/>
      </c>
      <c r="X121" s="10" t="n"/>
      <c r="Y121" s="22" t="n"/>
    </row>
    <row r="122">
      <c r="A122" s="10">
        <f>IF(D122="","",ROW()-4)</f>
        <v/>
      </c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3" t="n"/>
      <c r="K122" s="24" t="n"/>
      <c r="L122" s="22" t="n"/>
      <c r="M122" s="23" t="n"/>
      <c r="N122" s="23" t="n"/>
      <c r="O122" s="23" t="n"/>
      <c r="P122" s="10">
        <f>IF(D122="","",IF(AND(M122="✓",N122="✓",O122="✓"),"✅正式",IF(M122&amp;N122&amp;O122="","入会前","手続き中")))</f>
        <v/>
      </c>
      <c r="Q122" s="24" t="n"/>
      <c r="R122" s="24" t="n"/>
      <c r="S122" s="10">
        <f>IF(OR(D122="",R122=""),"",TODAY()-R122)</f>
        <v/>
      </c>
      <c r="T122" s="22" t="n"/>
      <c r="U122" s="24" t="n"/>
      <c r="V122" s="23" t="n"/>
      <c r="W122" s="14">
        <f>IF(OR(D122="",V122="辞退",V122="保留",P122="✅正式"),"",TRIM(IF(AND(U122&lt;&gt;"",U122&lt;TODAY()),"期日超過 ","")&amp;IF(AND(S122&lt;&gt;"",S122&gt;='設定'!$B$9),"放置"&amp;S122&amp;"日 ","")&amp;IF(AND(J122="CCS済",M122&lt;&gt;"✓"),"CCS後の申込待ち ","")&amp;IF(AND(M122="✓",N122&lt;&gt;"✓"),"振込待ち ","")&amp;IF(AND(N122="✓",O122&lt;&gt;"✓"),"同意書待ち ","")&amp;IF(T122="","次アクション未設定","")))</f>
        <v/>
      </c>
      <c r="X122" s="10" t="n"/>
      <c r="Y122" s="22" t="n"/>
    </row>
    <row r="123">
      <c r="A123" s="10">
        <f>IF(D123="","",ROW()-4)</f>
        <v/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4" t="n"/>
      <c r="L123" s="22" t="n"/>
      <c r="M123" s="23" t="n"/>
      <c r="N123" s="23" t="n"/>
      <c r="O123" s="23" t="n"/>
      <c r="P123" s="10">
        <f>IF(D123="","",IF(AND(M123="✓",N123="✓",O123="✓"),"✅正式",IF(M123&amp;N123&amp;O123="","入会前","手続き中")))</f>
        <v/>
      </c>
      <c r="Q123" s="24" t="n"/>
      <c r="R123" s="24" t="n"/>
      <c r="S123" s="10">
        <f>IF(OR(D123="",R123=""),"",TODAY()-R123)</f>
        <v/>
      </c>
      <c r="T123" s="22" t="n"/>
      <c r="U123" s="24" t="n"/>
      <c r="V123" s="23" t="n"/>
      <c r="W123" s="14">
        <f>IF(OR(D123="",V123="辞退",V123="保留",P123="✅正式"),"",TRIM(IF(AND(U123&lt;&gt;"",U123&lt;TODAY()),"期日超過 ","")&amp;IF(AND(S123&lt;&gt;"",S123&gt;='設定'!$B$9),"放置"&amp;S123&amp;"日 ","")&amp;IF(AND(J123="CCS済",M123&lt;&gt;"✓"),"CCS後の申込待ち ","")&amp;IF(AND(M123="✓",N123&lt;&gt;"✓"),"振込待ち ","")&amp;IF(AND(N123="✓",O123&lt;&gt;"✓"),"同意書待ち ","")&amp;IF(T123="","次アクション未設定","")))</f>
        <v/>
      </c>
      <c r="X123" s="10" t="n"/>
      <c r="Y123" s="22" t="n"/>
    </row>
    <row r="124">
      <c r="A124" s="10">
        <f>IF(D124="","",ROW()-4)</f>
        <v/>
      </c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3" t="n"/>
      <c r="K124" s="24" t="n"/>
      <c r="L124" s="22" t="n"/>
      <c r="M124" s="23" t="n"/>
      <c r="N124" s="23" t="n"/>
      <c r="O124" s="23" t="n"/>
      <c r="P124" s="10">
        <f>IF(D124="","",IF(AND(M124="✓",N124="✓",O124="✓"),"✅正式",IF(M124&amp;N124&amp;O124="","入会前","手続き中")))</f>
        <v/>
      </c>
      <c r="Q124" s="24" t="n"/>
      <c r="R124" s="24" t="n"/>
      <c r="S124" s="10">
        <f>IF(OR(D124="",R124=""),"",TODAY()-R124)</f>
        <v/>
      </c>
      <c r="T124" s="22" t="n"/>
      <c r="U124" s="24" t="n"/>
      <c r="V124" s="23" t="n"/>
      <c r="W124" s="14">
        <f>IF(OR(D124="",V124="辞退",V124="保留",P124="✅正式"),"",TRIM(IF(AND(U124&lt;&gt;"",U124&lt;TODAY()),"期日超過 ","")&amp;IF(AND(S124&lt;&gt;"",S124&gt;='設定'!$B$9),"放置"&amp;S124&amp;"日 ","")&amp;IF(AND(J124="CCS済",M124&lt;&gt;"✓"),"CCS後の申込待ち ","")&amp;IF(AND(M124="✓",N124&lt;&gt;"✓"),"振込待ち ","")&amp;IF(AND(N124="✓",O124&lt;&gt;"✓"),"同意書待ち ","")&amp;IF(T124="","次アクション未設定","")))</f>
        <v/>
      </c>
      <c r="X124" s="10" t="n"/>
      <c r="Y124" s="22" t="n"/>
    </row>
    <row r="125">
      <c r="A125" s="10">
        <f>IF(D125="","",ROW()-4)</f>
        <v/>
      </c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4" t="n"/>
      <c r="L125" s="22" t="n"/>
      <c r="M125" s="23" t="n"/>
      <c r="N125" s="23" t="n"/>
      <c r="O125" s="23" t="n"/>
      <c r="P125" s="10">
        <f>IF(D125="","",IF(AND(M125="✓",N125="✓",O125="✓"),"✅正式",IF(M125&amp;N125&amp;O125="","入会前","手続き中")))</f>
        <v/>
      </c>
      <c r="Q125" s="24" t="n"/>
      <c r="R125" s="24" t="n"/>
      <c r="S125" s="10">
        <f>IF(OR(D125="",R125=""),"",TODAY()-R125)</f>
        <v/>
      </c>
      <c r="T125" s="22" t="n"/>
      <c r="U125" s="24" t="n"/>
      <c r="V125" s="23" t="n"/>
      <c r="W125" s="14">
        <f>IF(OR(D125="",V125="辞退",V125="保留",P125="✅正式"),"",TRIM(IF(AND(U125&lt;&gt;"",U125&lt;TODAY()),"期日超過 ","")&amp;IF(AND(S125&lt;&gt;"",S125&gt;='設定'!$B$9),"放置"&amp;S125&amp;"日 ","")&amp;IF(AND(J125="CCS済",M125&lt;&gt;"✓"),"CCS後の申込待ち ","")&amp;IF(AND(M125="✓",N125&lt;&gt;"✓"),"振込待ち ","")&amp;IF(AND(N125="✓",O125&lt;&gt;"✓"),"同意書待ち ","")&amp;IF(T125="","次アクション未設定","")))</f>
        <v/>
      </c>
      <c r="X125" s="10" t="n"/>
      <c r="Y125" s="22" t="n"/>
    </row>
    <row r="126">
      <c r="A126" s="10">
        <f>IF(D126="","",ROW()-4)</f>
        <v/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3" t="n"/>
      <c r="K126" s="24" t="n"/>
      <c r="L126" s="22" t="n"/>
      <c r="M126" s="23" t="n"/>
      <c r="N126" s="23" t="n"/>
      <c r="O126" s="23" t="n"/>
      <c r="P126" s="10">
        <f>IF(D126="","",IF(AND(M126="✓",N126="✓",O126="✓"),"✅正式",IF(M126&amp;N126&amp;O126="","入会前","手続き中")))</f>
        <v/>
      </c>
      <c r="Q126" s="24" t="n"/>
      <c r="R126" s="24" t="n"/>
      <c r="S126" s="10">
        <f>IF(OR(D126="",R126=""),"",TODAY()-R126)</f>
        <v/>
      </c>
      <c r="T126" s="22" t="n"/>
      <c r="U126" s="24" t="n"/>
      <c r="V126" s="23" t="n"/>
      <c r="W126" s="14">
        <f>IF(OR(D126="",V126="辞退",V126="保留",P126="✅正式"),"",TRIM(IF(AND(U126&lt;&gt;"",U126&lt;TODAY()),"期日超過 ","")&amp;IF(AND(S126&lt;&gt;"",S126&gt;='設定'!$B$9),"放置"&amp;S126&amp;"日 ","")&amp;IF(AND(J126="CCS済",M126&lt;&gt;"✓"),"CCS後の申込待ち ","")&amp;IF(AND(M126="✓",N126&lt;&gt;"✓"),"振込待ち ","")&amp;IF(AND(N126="✓",O126&lt;&gt;"✓"),"同意書待ち ","")&amp;IF(T126="","次アクション未設定","")))</f>
        <v/>
      </c>
      <c r="X126" s="10" t="n"/>
      <c r="Y126" s="22" t="n"/>
    </row>
    <row r="127">
      <c r="A127" s="10">
        <f>IF(D127="","",ROW()-4)</f>
        <v/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4" t="n"/>
      <c r="L127" s="22" t="n"/>
      <c r="M127" s="23" t="n"/>
      <c r="N127" s="23" t="n"/>
      <c r="O127" s="23" t="n"/>
      <c r="P127" s="10">
        <f>IF(D127="","",IF(AND(M127="✓",N127="✓",O127="✓"),"✅正式",IF(M127&amp;N127&amp;O127="","入会前","手続き中")))</f>
        <v/>
      </c>
      <c r="Q127" s="24" t="n"/>
      <c r="R127" s="24" t="n"/>
      <c r="S127" s="10">
        <f>IF(OR(D127="",R127=""),"",TODAY()-R127)</f>
        <v/>
      </c>
      <c r="T127" s="22" t="n"/>
      <c r="U127" s="24" t="n"/>
      <c r="V127" s="23" t="n"/>
      <c r="W127" s="14">
        <f>IF(OR(D127="",V127="辞退",V127="保留",P127="✅正式"),"",TRIM(IF(AND(U127&lt;&gt;"",U127&lt;TODAY()),"期日超過 ","")&amp;IF(AND(S127&lt;&gt;"",S127&gt;='設定'!$B$9),"放置"&amp;S127&amp;"日 ","")&amp;IF(AND(J127="CCS済",M127&lt;&gt;"✓"),"CCS後の申込待ち ","")&amp;IF(AND(M127="✓",N127&lt;&gt;"✓"),"振込待ち ","")&amp;IF(AND(N127="✓",O127&lt;&gt;"✓"),"同意書待ち ","")&amp;IF(T127="","次アクション未設定","")))</f>
        <v/>
      </c>
      <c r="X127" s="10" t="n"/>
      <c r="Y127" s="22" t="n"/>
    </row>
    <row r="128">
      <c r="A128" s="10">
        <f>IF(D128="","",ROW()-4)</f>
        <v/>
      </c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3" t="n"/>
      <c r="K128" s="24" t="n"/>
      <c r="L128" s="22" t="n"/>
      <c r="M128" s="23" t="n"/>
      <c r="N128" s="23" t="n"/>
      <c r="O128" s="23" t="n"/>
      <c r="P128" s="10">
        <f>IF(D128="","",IF(AND(M128="✓",N128="✓",O128="✓"),"✅正式",IF(M128&amp;N128&amp;O128="","入会前","手続き中")))</f>
        <v/>
      </c>
      <c r="Q128" s="24" t="n"/>
      <c r="R128" s="24" t="n"/>
      <c r="S128" s="10">
        <f>IF(OR(D128="",R128=""),"",TODAY()-R128)</f>
        <v/>
      </c>
      <c r="T128" s="22" t="n"/>
      <c r="U128" s="24" t="n"/>
      <c r="V128" s="23" t="n"/>
      <c r="W128" s="14">
        <f>IF(OR(D128="",V128="辞退",V128="保留",P128="✅正式"),"",TRIM(IF(AND(U128&lt;&gt;"",U128&lt;TODAY()),"期日超過 ","")&amp;IF(AND(S128&lt;&gt;"",S128&gt;='設定'!$B$9),"放置"&amp;S128&amp;"日 ","")&amp;IF(AND(J128="CCS済",M128&lt;&gt;"✓"),"CCS後の申込待ち ","")&amp;IF(AND(M128="✓",N128&lt;&gt;"✓"),"振込待ち ","")&amp;IF(AND(N128="✓",O128&lt;&gt;"✓"),"同意書待ち ","")&amp;IF(T128="","次アクション未設定","")))</f>
        <v/>
      </c>
      <c r="X128" s="10" t="n"/>
      <c r="Y128" s="22" t="n"/>
    </row>
    <row r="129">
      <c r="A129" s="10">
        <f>IF(D129="","",ROW()-4)</f>
        <v/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4" t="n"/>
      <c r="L129" s="22" t="n"/>
      <c r="M129" s="23" t="n"/>
      <c r="N129" s="23" t="n"/>
      <c r="O129" s="23" t="n"/>
      <c r="P129" s="10">
        <f>IF(D129="","",IF(AND(M129="✓",N129="✓",O129="✓"),"✅正式",IF(M129&amp;N129&amp;O129="","入会前","手続き中")))</f>
        <v/>
      </c>
      <c r="Q129" s="24" t="n"/>
      <c r="R129" s="24" t="n"/>
      <c r="S129" s="10">
        <f>IF(OR(D129="",R129=""),"",TODAY()-R129)</f>
        <v/>
      </c>
      <c r="T129" s="22" t="n"/>
      <c r="U129" s="24" t="n"/>
      <c r="V129" s="23" t="n"/>
      <c r="W129" s="14">
        <f>IF(OR(D129="",V129="辞退",V129="保留",P129="✅正式"),"",TRIM(IF(AND(U129&lt;&gt;"",U129&lt;TODAY()),"期日超過 ","")&amp;IF(AND(S129&lt;&gt;"",S129&gt;='設定'!$B$9),"放置"&amp;S129&amp;"日 ","")&amp;IF(AND(J129="CCS済",M129&lt;&gt;"✓"),"CCS後の申込待ち ","")&amp;IF(AND(M129="✓",N129&lt;&gt;"✓"),"振込待ち ","")&amp;IF(AND(N129="✓",O129&lt;&gt;"✓"),"同意書待ち ","")&amp;IF(T129="","次アクション未設定","")))</f>
        <v/>
      </c>
      <c r="X129" s="10" t="n"/>
      <c r="Y129" s="22" t="n"/>
    </row>
    <row r="130">
      <c r="A130" s="10">
        <f>IF(D130="","",ROW()-4)</f>
        <v/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3" t="n"/>
      <c r="K130" s="24" t="n"/>
      <c r="L130" s="22" t="n"/>
      <c r="M130" s="23" t="n"/>
      <c r="N130" s="23" t="n"/>
      <c r="O130" s="23" t="n"/>
      <c r="P130" s="10">
        <f>IF(D130="","",IF(AND(M130="✓",N130="✓",O130="✓"),"✅正式",IF(M130&amp;N130&amp;O130="","入会前","手続き中")))</f>
        <v/>
      </c>
      <c r="Q130" s="24" t="n"/>
      <c r="R130" s="24" t="n"/>
      <c r="S130" s="10">
        <f>IF(OR(D130="",R130=""),"",TODAY()-R130)</f>
        <v/>
      </c>
      <c r="T130" s="22" t="n"/>
      <c r="U130" s="24" t="n"/>
      <c r="V130" s="23" t="n"/>
      <c r="W130" s="14">
        <f>IF(OR(D130="",V130="辞退",V130="保留",P130="✅正式"),"",TRIM(IF(AND(U130&lt;&gt;"",U130&lt;TODAY()),"期日超過 ","")&amp;IF(AND(S130&lt;&gt;"",S130&gt;='設定'!$B$9),"放置"&amp;S130&amp;"日 ","")&amp;IF(AND(J130="CCS済",M130&lt;&gt;"✓"),"CCS後の申込待ち ","")&amp;IF(AND(M130="✓",N130&lt;&gt;"✓"),"振込待ち ","")&amp;IF(AND(N130="✓",O130&lt;&gt;"✓"),"同意書待ち ","")&amp;IF(T130="","次アクション未設定","")))</f>
        <v/>
      </c>
      <c r="X130" s="10" t="n"/>
      <c r="Y130" s="22" t="n"/>
    </row>
    <row r="131">
      <c r="A131" s="10">
        <f>IF(D131="","",ROW()-4)</f>
        <v/>
      </c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4" t="n"/>
      <c r="L131" s="22" t="n"/>
      <c r="M131" s="23" t="n"/>
      <c r="N131" s="23" t="n"/>
      <c r="O131" s="23" t="n"/>
      <c r="P131" s="10">
        <f>IF(D131="","",IF(AND(M131="✓",N131="✓",O131="✓"),"✅正式",IF(M131&amp;N131&amp;O131="","入会前","手続き中")))</f>
        <v/>
      </c>
      <c r="Q131" s="24" t="n"/>
      <c r="R131" s="24" t="n"/>
      <c r="S131" s="10">
        <f>IF(OR(D131="",R131=""),"",TODAY()-R131)</f>
        <v/>
      </c>
      <c r="T131" s="22" t="n"/>
      <c r="U131" s="24" t="n"/>
      <c r="V131" s="23" t="n"/>
      <c r="W131" s="14">
        <f>IF(OR(D131="",V131="辞退",V131="保留",P131="✅正式"),"",TRIM(IF(AND(U131&lt;&gt;"",U131&lt;TODAY()),"期日超過 ","")&amp;IF(AND(S131&lt;&gt;"",S131&gt;='設定'!$B$9),"放置"&amp;S131&amp;"日 ","")&amp;IF(AND(J131="CCS済",M131&lt;&gt;"✓"),"CCS後の申込待ち ","")&amp;IF(AND(M131="✓",N131&lt;&gt;"✓"),"振込待ち ","")&amp;IF(AND(N131="✓",O131&lt;&gt;"✓"),"同意書待ち ","")&amp;IF(T131="","次アクション未設定","")))</f>
        <v/>
      </c>
      <c r="X131" s="10" t="n"/>
      <c r="Y131" s="22" t="n"/>
    </row>
    <row r="132">
      <c r="A132" s="10">
        <f>IF(D132="","",ROW()-4)</f>
        <v/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3" t="n"/>
      <c r="K132" s="24" t="n"/>
      <c r="L132" s="22" t="n"/>
      <c r="M132" s="23" t="n"/>
      <c r="N132" s="23" t="n"/>
      <c r="O132" s="23" t="n"/>
      <c r="P132" s="10">
        <f>IF(D132="","",IF(AND(M132="✓",N132="✓",O132="✓"),"✅正式",IF(M132&amp;N132&amp;O132="","入会前","手続き中")))</f>
        <v/>
      </c>
      <c r="Q132" s="24" t="n"/>
      <c r="R132" s="24" t="n"/>
      <c r="S132" s="10">
        <f>IF(OR(D132="",R132=""),"",TODAY()-R132)</f>
        <v/>
      </c>
      <c r="T132" s="22" t="n"/>
      <c r="U132" s="24" t="n"/>
      <c r="V132" s="23" t="n"/>
      <c r="W132" s="14">
        <f>IF(OR(D132="",V132="辞退",V132="保留",P132="✅正式"),"",TRIM(IF(AND(U132&lt;&gt;"",U132&lt;TODAY()),"期日超過 ","")&amp;IF(AND(S132&lt;&gt;"",S132&gt;='設定'!$B$9),"放置"&amp;S132&amp;"日 ","")&amp;IF(AND(J132="CCS済",M132&lt;&gt;"✓"),"CCS後の申込待ち ","")&amp;IF(AND(M132="✓",N132&lt;&gt;"✓"),"振込待ち ","")&amp;IF(AND(N132="✓",O132&lt;&gt;"✓"),"同意書待ち ","")&amp;IF(T132="","次アクション未設定","")))</f>
        <v/>
      </c>
      <c r="X132" s="10" t="n"/>
      <c r="Y132" s="22" t="n"/>
    </row>
    <row r="133">
      <c r="A133" s="10">
        <f>IF(D133="","",ROW()-4)</f>
        <v/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4" t="n"/>
      <c r="L133" s="22" t="n"/>
      <c r="M133" s="23" t="n"/>
      <c r="N133" s="23" t="n"/>
      <c r="O133" s="23" t="n"/>
      <c r="P133" s="10">
        <f>IF(D133="","",IF(AND(M133="✓",N133="✓",O133="✓"),"✅正式",IF(M133&amp;N133&amp;O133="","入会前","手続き中")))</f>
        <v/>
      </c>
      <c r="Q133" s="24" t="n"/>
      <c r="R133" s="24" t="n"/>
      <c r="S133" s="10">
        <f>IF(OR(D133="",R133=""),"",TODAY()-R133)</f>
        <v/>
      </c>
      <c r="T133" s="22" t="n"/>
      <c r="U133" s="24" t="n"/>
      <c r="V133" s="23" t="n"/>
      <c r="W133" s="14">
        <f>IF(OR(D133="",V133="辞退",V133="保留",P133="✅正式"),"",TRIM(IF(AND(U133&lt;&gt;"",U133&lt;TODAY()),"期日超過 ","")&amp;IF(AND(S133&lt;&gt;"",S133&gt;='設定'!$B$9),"放置"&amp;S133&amp;"日 ","")&amp;IF(AND(J133="CCS済",M133&lt;&gt;"✓"),"CCS後の申込待ち ","")&amp;IF(AND(M133="✓",N133&lt;&gt;"✓"),"振込待ち ","")&amp;IF(AND(N133="✓",O133&lt;&gt;"✓"),"同意書待ち ","")&amp;IF(T133="","次アクション未設定","")))</f>
        <v/>
      </c>
      <c r="X133" s="10" t="n"/>
      <c r="Y133" s="22" t="n"/>
    </row>
    <row r="134">
      <c r="A134" s="10">
        <f>IF(D134="","",ROW()-4)</f>
        <v/>
      </c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3" t="n"/>
      <c r="K134" s="24" t="n"/>
      <c r="L134" s="22" t="n"/>
      <c r="M134" s="23" t="n"/>
      <c r="N134" s="23" t="n"/>
      <c r="O134" s="23" t="n"/>
      <c r="P134" s="10">
        <f>IF(D134="","",IF(AND(M134="✓",N134="✓",O134="✓"),"✅正式",IF(M134&amp;N134&amp;O134="","入会前","手続き中")))</f>
        <v/>
      </c>
      <c r="Q134" s="24" t="n"/>
      <c r="R134" s="24" t="n"/>
      <c r="S134" s="10">
        <f>IF(OR(D134="",R134=""),"",TODAY()-R134)</f>
        <v/>
      </c>
      <c r="T134" s="22" t="n"/>
      <c r="U134" s="24" t="n"/>
      <c r="V134" s="23" t="n"/>
      <c r="W134" s="14">
        <f>IF(OR(D134="",V134="辞退",V134="保留",P134="✅正式"),"",TRIM(IF(AND(U134&lt;&gt;"",U134&lt;TODAY()),"期日超過 ","")&amp;IF(AND(S134&lt;&gt;"",S134&gt;='設定'!$B$9),"放置"&amp;S134&amp;"日 ","")&amp;IF(AND(J134="CCS済",M134&lt;&gt;"✓"),"CCS後の申込待ち ","")&amp;IF(AND(M134="✓",N134&lt;&gt;"✓"),"振込待ち ","")&amp;IF(AND(N134="✓",O134&lt;&gt;"✓"),"同意書待ち ","")&amp;IF(T134="","次アクション未設定","")))</f>
        <v/>
      </c>
      <c r="X134" s="10" t="n"/>
      <c r="Y134" s="22" t="n"/>
    </row>
    <row r="135">
      <c r="A135" s="10">
        <f>IF(D135="","",ROW()-4)</f>
        <v/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4" t="n"/>
      <c r="L135" s="22" t="n"/>
      <c r="M135" s="23" t="n"/>
      <c r="N135" s="23" t="n"/>
      <c r="O135" s="23" t="n"/>
      <c r="P135" s="10">
        <f>IF(D135="","",IF(AND(M135="✓",N135="✓",O135="✓"),"✅正式",IF(M135&amp;N135&amp;O135="","入会前","手続き中")))</f>
        <v/>
      </c>
      <c r="Q135" s="24" t="n"/>
      <c r="R135" s="24" t="n"/>
      <c r="S135" s="10">
        <f>IF(OR(D135="",R135=""),"",TODAY()-R135)</f>
        <v/>
      </c>
      <c r="T135" s="22" t="n"/>
      <c r="U135" s="24" t="n"/>
      <c r="V135" s="23" t="n"/>
      <c r="W135" s="14">
        <f>IF(OR(D135="",V135="辞退",V135="保留",P135="✅正式"),"",TRIM(IF(AND(U135&lt;&gt;"",U135&lt;TODAY()),"期日超過 ","")&amp;IF(AND(S135&lt;&gt;"",S135&gt;='設定'!$B$9),"放置"&amp;S135&amp;"日 ","")&amp;IF(AND(J135="CCS済",M135&lt;&gt;"✓"),"CCS後の申込待ち ","")&amp;IF(AND(M135="✓",N135&lt;&gt;"✓"),"振込待ち ","")&amp;IF(AND(N135="✓",O135&lt;&gt;"✓"),"同意書待ち ","")&amp;IF(T135="","次アクション未設定","")))</f>
        <v/>
      </c>
      <c r="X135" s="10" t="n"/>
      <c r="Y135" s="22" t="n"/>
    </row>
    <row r="136">
      <c r="A136" s="10">
        <f>IF(D136="","",ROW()-4)</f>
        <v/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3" t="n"/>
      <c r="K136" s="24" t="n"/>
      <c r="L136" s="22" t="n"/>
      <c r="M136" s="23" t="n"/>
      <c r="N136" s="23" t="n"/>
      <c r="O136" s="23" t="n"/>
      <c r="P136" s="10">
        <f>IF(D136="","",IF(AND(M136="✓",N136="✓",O136="✓"),"✅正式",IF(M136&amp;N136&amp;O136="","入会前","手続き中")))</f>
        <v/>
      </c>
      <c r="Q136" s="24" t="n"/>
      <c r="R136" s="24" t="n"/>
      <c r="S136" s="10">
        <f>IF(OR(D136="",R136=""),"",TODAY()-R136)</f>
        <v/>
      </c>
      <c r="T136" s="22" t="n"/>
      <c r="U136" s="24" t="n"/>
      <c r="V136" s="23" t="n"/>
      <c r="W136" s="14">
        <f>IF(OR(D136="",V136="辞退",V136="保留",P136="✅正式"),"",TRIM(IF(AND(U136&lt;&gt;"",U136&lt;TODAY()),"期日超過 ","")&amp;IF(AND(S136&lt;&gt;"",S136&gt;='設定'!$B$9),"放置"&amp;S136&amp;"日 ","")&amp;IF(AND(J136="CCS済",M136&lt;&gt;"✓"),"CCS後の申込待ち ","")&amp;IF(AND(M136="✓",N136&lt;&gt;"✓"),"振込待ち ","")&amp;IF(AND(N136="✓",O136&lt;&gt;"✓"),"同意書待ち ","")&amp;IF(T136="","次アクション未設定","")))</f>
        <v/>
      </c>
      <c r="X136" s="10" t="n"/>
      <c r="Y136" s="22" t="n"/>
    </row>
    <row r="137">
      <c r="A137" s="10">
        <f>IF(D137="","",ROW()-4)</f>
        <v/>
      </c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4" t="n"/>
      <c r="L137" s="22" t="n"/>
      <c r="M137" s="23" t="n"/>
      <c r="N137" s="23" t="n"/>
      <c r="O137" s="23" t="n"/>
      <c r="P137" s="10">
        <f>IF(D137="","",IF(AND(M137="✓",N137="✓",O137="✓"),"✅正式",IF(M137&amp;N137&amp;O137="","入会前","手続き中")))</f>
        <v/>
      </c>
      <c r="Q137" s="24" t="n"/>
      <c r="R137" s="24" t="n"/>
      <c r="S137" s="10">
        <f>IF(OR(D137="",R137=""),"",TODAY()-R137)</f>
        <v/>
      </c>
      <c r="T137" s="22" t="n"/>
      <c r="U137" s="24" t="n"/>
      <c r="V137" s="23" t="n"/>
      <c r="W137" s="14">
        <f>IF(OR(D137="",V137="辞退",V137="保留",P137="✅正式"),"",TRIM(IF(AND(U137&lt;&gt;"",U137&lt;TODAY()),"期日超過 ","")&amp;IF(AND(S137&lt;&gt;"",S137&gt;='設定'!$B$9),"放置"&amp;S137&amp;"日 ","")&amp;IF(AND(J137="CCS済",M137&lt;&gt;"✓"),"CCS後の申込待ち ","")&amp;IF(AND(M137="✓",N137&lt;&gt;"✓"),"振込待ち ","")&amp;IF(AND(N137="✓",O137&lt;&gt;"✓"),"同意書待ち ","")&amp;IF(T137="","次アクション未設定","")))</f>
        <v/>
      </c>
      <c r="X137" s="10" t="n"/>
      <c r="Y137" s="22" t="n"/>
    </row>
    <row r="138">
      <c r="A138" s="10">
        <f>IF(D138="","",ROW()-4)</f>
        <v/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3" t="n"/>
      <c r="K138" s="24" t="n"/>
      <c r="L138" s="22" t="n"/>
      <c r="M138" s="23" t="n"/>
      <c r="N138" s="23" t="n"/>
      <c r="O138" s="23" t="n"/>
      <c r="P138" s="10">
        <f>IF(D138="","",IF(AND(M138="✓",N138="✓",O138="✓"),"✅正式",IF(M138&amp;N138&amp;O138="","入会前","手続き中")))</f>
        <v/>
      </c>
      <c r="Q138" s="24" t="n"/>
      <c r="R138" s="24" t="n"/>
      <c r="S138" s="10">
        <f>IF(OR(D138="",R138=""),"",TODAY()-R138)</f>
        <v/>
      </c>
      <c r="T138" s="22" t="n"/>
      <c r="U138" s="24" t="n"/>
      <c r="V138" s="23" t="n"/>
      <c r="W138" s="14">
        <f>IF(OR(D138="",V138="辞退",V138="保留",P138="✅正式"),"",TRIM(IF(AND(U138&lt;&gt;"",U138&lt;TODAY()),"期日超過 ","")&amp;IF(AND(S138&lt;&gt;"",S138&gt;='設定'!$B$9),"放置"&amp;S138&amp;"日 ","")&amp;IF(AND(J138="CCS済",M138&lt;&gt;"✓"),"CCS後の申込待ち ","")&amp;IF(AND(M138="✓",N138&lt;&gt;"✓"),"振込待ち ","")&amp;IF(AND(N138="✓",O138&lt;&gt;"✓"),"同意書待ち ","")&amp;IF(T138="","次アクション未設定","")))</f>
        <v/>
      </c>
      <c r="X138" s="10" t="n"/>
      <c r="Y138" s="22" t="n"/>
    </row>
    <row r="139">
      <c r="A139" s="10">
        <f>IF(D139="","",ROW()-4)</f>
        <v/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4" t="n"/>
      <c r="L139" s="22" t="n"/>
      <c r="M139" s="23" t="n"/>
      <c r="N139" s="23" t="n"/>
      <c r="O139" s="23" t="n"/>
      <c r="P139" s="10">
        <f>IF(D139="","",IF(AND(M139="✓",N139="✓",O139="✓"),"✅正式",IF(M139&amp;N139&amp;O139="","入会前","手続き中")))</f>
        <v/>
      </c>
      <c r="Q139" s="24" t="n"/>
      <c r="R139" s="24" t="n"/>
      <c r="S139" s="10">
        <f>IF(OR(D139="",R139=""),"",TODAY()-R139)</f>
        <v/>
      </c>
      <c r="T139" s="22" t="n"/>
      <c r="U139" s="24" t="n"/>
      <c r="V139" s="23" t="n"/>
      <c r="W139" s="14">
        <f>IF(OR(D139="",V139="辞退",V139="保留",P139="✅正式"),"",TRIM(IF(AND(U139&lt;&gt;"",U139&lt;TODAY()),"期日超過 ","")&amp;IF(AND(S139&lt;&gt;"",S139&gt;='設定'!$B$9),"放置"&amp;S139&amp;"日 ","")&amp;IF(AND(J139="CCS済",M139&lt;&gt;"✓"),"CCS後の申込待ち ","")&amp;IF(AND(M139="✓",N139&lt;&gt;"✓"),"振込待ち ","")&amp;IF(AND(N139="✓",O139&lt;&gt;"✓"),"同意書待ち ","")&amp;IF(T139="","次アクション未設定","")))</f>
        <v/>
      </c>
      <c r="X139" s="10" t="n"/>
      <c r="Y139" s="22" t="n"/>
    </row>
    <row r="140">
      <c r="A140" s="10">
        <f>IF(D140="","",ROW()-4)</f>
        <v/>
      </c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3" t="n"/>
      <c r="K140" s="24" t="n"/>
      <c r="L140" s="22" t="n"/>
      <c r="M140" s="23" t="n"/>
      <c r="N140" s="23" t="n"/>
      <c r="O140" s="23" t="n"/>
      <c r="P140" s="10">
        <f>IF(D140="","",IF(AND(M140="✓",N140="✓",O140="✓"),"✅正式",IF(M140&amp;N140&amp;O140="","入会前","手続き中")))</f>
        <v/>
      </c>
      <c r="Q140" s="24" t="n"/>
      <c r="R140" s="24" t="n"/>
      <c r="S140" s="10">
        <f>IF(OR(D140="",R140=""),"",TODAY()-R140)</f>
        <v/>
      </c>
      <c r="T140" s="22" t="n"/>
      <c r="U140" s="24" t="n"/>
      <c r="V140" s="23" t="n"/>
      <c r="W140" s="14">
        <f>IF(OR(D140="",V140="辞退",V140="保留",P140="✅正式"),"",TRIM(IF(AND(U140&lt;&gt;"",U140&lt;TODAY()),"期日超過 ","")&amp;IF(AND(S140&lt;&gt;"",S140&gt;='設定'!$B$9),"放置"&amp;S140&amp;"日 ","")&amp;IF(AND(J140="CCS済",M140&lt;&gt;"✓"),"CCS後の申込待ち ","")&amp;IF(AND(M140="✓",N140&lt;&gt;"✓"),"振込待ち ","")&amp;IF(AND(N140="✓",O140&lt;&gt;"✓"),"同意書待ち ","")&amp;IF(T140="","次アクション未設定","")))</f>
        <v/>
      </c>
      <c r="X140" s="10" t="n"/>
      <c r="Y140" s="22" t="n"/>
    </row>
    <row r="141">
      <c r="A141" s="10">
        <f>IF(D141="","",ROW()-4)</f>
        <v/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4" t="n"/>
      <c r="L141" s="22" t="n"/>
      <c r="M141" s="23" t="n"/>
      <c r="N141" s="23" t="n"/>
      <c r="O141" s="23" t="n"/>
      <c r="P141" s="10">
        <f>IF(D141="","",IF(AND(M141="✓",N141="✓",O141="✓"),"✅正式",IF(M141&amp;N141&amp;O141="","入会前","手続き中")))</f>
        <v/>
      </c>
      <c r="Q141" s="24" t="n"/>
      <c r="R141" s="24" t="n"/>
      <c r="S141" s="10">
        <f>IF(OR(D141="",R141=""),"",TODAY()-R141)</f>
        <v/>
      </c>
      <c r="T141" s="22" t="n"/>
      <c r="U141" s="24" t="n"/>
      <c r="V141" s="23" t="n"/>
      <c r="W141" s="14">
        <f>IF(OR(D141="",V141="辞退",V141="保留",P141="✅正式"),"",TRIM(IF(AND(U141&lt;&gt;"",U141&lt;TODAY()),"期日超過 ","")&amp;IF(AND(S141&lt;&gt;"",S141&gt;='設定'!$B$9),"放置"&amp;S141&amp;"日 ","")&amp;IF(AND(J141="CCS済",M141&lt;&gt;"✓"),"CCS後の申込待ち ","")&amp;IF(AND(M141="✓",N141&lt;&gt;"✓"),"振込待ち ","")&amp;IF(AND(N141="✓",O141&lt;&gt;"✓"),"同意書待ち ","")&amp;IF(T141="","次アクション未設定","")))</f>
        <v/>
      </c>
      <c r="X141" s="10" t="n"/>
      <c r="Y141" s="22" t="n"/>
    </row>
    <row r="142">
      <c r="A142" s="10">
        <f>IF(D142="","",ROW()-4)</f>
        <v/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3" t="n"/>
      <c r="K142" s="24" t="n"/>
      <c r="L142" s="22" t="n"/>
      <c r="M142" s="23" t="n"/>
      <c r="N142" s="23" t="n"/>
      <c r="O142" s="23" t="n"/>
      <c r="P142" s="10">
        <f>IF(D142="","",IF(AND(M142="✓",N142="✓",O142="✓"),"✅正式",IF(M142&amp;N142&amp;O142="","入会前","手続き中")))</f>
        <v/>
      </c>
      <c r="Q142" s="24" t="n"/>
      <c r="R142" s="24" t="n"/>
      <c r="S142" s="10">
        <f>IF(OR(D142="",R142=""),"",TODAY()-R142)</f>
        <v/>
      </c>
      <c r="T142" s="22" t="n"/>
      <c r="U142" s="24" t="n"/>
      <c r="V142" s="23" t="n"/>
      <c r="W142" s="14">
        <f>IF(OR(D142="",V142="辞退",V142="保留",P142="✅正式"),"",TRIM(IF(AND(U142&lt;&gt;"",U142&lt;TODAY()),"期日超過 ","")&amp;IF(AND(S142&lt;&gt;"",S142&gt;='設定'!$B$9),"放置"&amp;S142&amp;"日 ","")&amp;IF(AND(J142="CCS済",M142&lt;&gt;"✓"),"CCS後の申込待ち ","")&amp;IF(AND(M142="✓",N142&lt;&gt;"✓"),"振込待ち ","")&amp;IF(AND(N142="✓",O142&lt;&gt;"✓"),"同意書待ち ","")&amp;IF(T142="","次アクション未設定","")))</f>
        <v/>
      </c>
      <c r="X142" s="10" t="n"/>
      <c r="Y142" s="22" t="n"/>
    </row>
    <row r="143">
      <c r="A143" s="10">
        <f>IF(D143="","",ROW()-4)</f>
        <v/>
      </c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4" t="n"/>
      <c r="L143" s="22" t="n"/>
      <c r="M143" s="23" t="n"/>
      <c r="N143" s="23" t="n"/>
      <c r="O143" s="23" t="n"/>
      <c r="P143" s="10">
        <f>IF(D143="","",IF(AND(M143="✓",N143="✓",O143="✓"),"✅正式",IF(M143&amp;N143&amp;O143="","入会前","手続き中")))</f>
        <v/>
      </c>
      <c r="Q143" s="24" t="n"/>
      <c r="R143" s="24" t="n"/>
      <c r="S143" s="10">
        <f>IF(OR(D143="",R143=""),"",TODAY()-R143)</f>
        <v/>
      </c>
      <c r="T143" s="22" t="n"/>
      <c r="U143" s="24" t="n"/>
      <c r="V143" s="23" t="n"/>
      <c r="W143" s="14">
        <f>IF(OR(D143="",V143="辞退",V143="保留",P143="✅正式"),"",TRIM(IF(AND(U143&lt;&gt;"",U143&lt;TODAY()),"期日超過 ","")&amp;IF(AND(S143&lt;&gt;"",S143&gt;='設定'!$B$9),"放置"&amp;S143&amp;"日 ","")&amp;IF(AND(J143="CCS済",M143&lt;&gt;"✓"),"CCS後の申込待ち ","")&amp;IF(AND(M143="✓",N143&lt;&gt;"✓"),"振込待ち ","")&amp;IF(AND(N143="✓",O143&lt;&gt;"✓"),"同意書待ち ","")&amp;IF(T143="","次アクション未設定","")))</f>
        <v/>
      </c>
      <c r="X143" s="10" t="n"/>
      <c r="Y143" s="22" t="n"/>
    </row>
    <row r="144">
      <c r="A144" s="10">
        <f>IF(D144="","",ROW()-4)</f>
        <v/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3" t="n"/>
      <c r="K144" s="24" t="n"/>
      <c r="L144" s="22" t="n"/>
      <c r="M144" s="23" t="n"/>
      <c r="N144" s="23" t="n"/>
      <c r="O144" s="23" t="n"/>
      <c r="P144" s="10">
        <f>IF(D144="","",IF(AND(M144="✓",N144="✓",O144="✓"),"✅正式",IF(M144&amp;N144&amp;O144="","入会前","手続き中")))</f>
        <v/>
      </c>
      <c r="Q144" s="24" t="n"/>
      <c r="R144" s="24" t="n"/>
      <c r="S144" s="10">
        <f>IF(OR(D144="",R144=""),"",TODAY()-R144)</f>
        <v/>
      </c>
      <c r="T144" s="22" t="n"/>
      <c r="U144" s="24" t="n"/>
      <c r="V144" s="23" t="n"/>
      <c r="W144" s="14">
        <f>IF(OR(D144="",V144="辞退",V144="保留",P144="✅正式"),"",TRIM(IF(AND(U144&lt;&gt;"",U144&lt;TODAY()),"期日超過 ","")&amp;IF(AND(S144&lt;&gt;"",S144&gt;='設定'!$B$9),"放置"&amp;S144&amp;"日 ","")&amp;IF(AND(J144="CCS済",M144&lt;&gt;"✓"),"CCS後の申込待ち ","")&amp;IF(AND(M144="✓",N144&lt;&gt;"✓"),"振込待ち ","")&amp;IF(AND(N144="✓",O144&lt;&gt;"✓"),"同意書待ち ","")&amp;IF(T144="","次アクション未設定","")))</f>
        <v/>
      </c>
      <c r="X144" s="10" t="n"/>
      <c r="Y144" s="22" t="n"/>
    </row>
    <row r="145">
      <c r="A145" s="10">
        <f>IF(D145="","",ROW()-4)</f>
        <v/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4" t="n"/>
      <c r="L145" s="22" t="n"/>
      <c r="M145" s="23" t="n"/>
      <c r="N145" s="23" t="n"/>
      <c r="O145" s="23" t="n"/>
      <c r="P145" s="10">
        <f>IF(D145="","",IF(AND(M145="✓",N145="✓",O145="✓"),"✅正式",IF(M145&amp;N145&amp;O145="","入会前","手続き中")))</f>
        <v/>
      </c>
      <c r="Q145" s="24" t="n"/>
      <c r="R145" s="24" t="n"/>
      <c r="S145" s="10">
        <f>IF(OR(D145="",R145=""),"",TODAY()-R145)</f>
        <v/>
      </c>
      <c r="T145" s="22" t="n"/>
      <c r="U145" s="24" t="n"/>
      <c r="V145" s="23" t="n"/>
      <c r="W145" s="14">
        <f>IF(OR(D145="",V145="辞退",V145="保留",P145="✅正式"),"",TRIM(IF(AND(U145&lt;&gt;"",U145&lt;TODAY()),"期日超過 ","")&amp;IF(AND(S145&lt;&gt;"",S145&gt;='設定'!$B$9),"放置"&amp;S145&amp;"日 ","")&amp;IF(AND(J145="CCS済",M145&lt;&gt;"✓"),"CCS後の申込待ち ","")&amp;IF(AND(M145="✓",N145&lt;&gt;"✓"),"振込待ち ","")&amp;IF(AND(N145="✓",O145&lt;&gt;"✓"),"同意書待ち ","")&amp;IF(T145="","次アクション未設定","")))</f>
        <v/>
      </c>
      <c r="X145" s="10" t="n"/>
      <c r="Y145" s="22" t="n"/>
    </row>
    <row r="146">
      <c r="A146" s="10">
        <f>IF(D146="","",ROW()-4)</f>
        <v/>
      </c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3" t="n"/>
      <c r="K146" s="24" t="n"/>
      <c r="L146" s="22" t="n"/>
      <c r="M146" s="23" t="n"/>
      <c r="N146" s="23" t="n"/>
      <c r="O146" s="23" t="n"/>
      <c r="P146" s="10">
        <f>IF(D146="","",IF(AND(M146="✓",N146="✓",O146="✓"),"✅正式",IF(M146&amp;N146&amp;O146="","入会前","手続き中")))</f>
        <v/>
      </c>
      <c r="Q146" s="24" t="n"/>
      <c r="R146" s="24" t="n"/>
      <c r="S146" s="10">
        <f>IF(OR(D146="",R146=""),"",TODAY()-R146)</f>
        <v/>
      </c>
      <c r="T146" s="22" t="n"/>
      <c r="U146" s="24" t="n"/>
      <c r="V146" s="23" t="n"/>
      <c r="W146" s="14">
        <f>IF(OR(D146="",V146="辞退",V146="保留",P146="✅正式"),"",TRIM(IF(AND(U146&lt;&gt;"",U146&lt;TODAY()),"期日超過 ","")&amp;IF(AND(S146&lt;&gt;"",S146&gt;='設定'!$B$9),"放置"&amp;S146&amp;"日 ","")&amp;IF(AND(J146="CCS済",M146&lt;&gt;"✓"),"CCS後の申込待ち ","")&amp;IF(AND(M146="✓",N146&lt;&gt;"✓"),"振込待ち ","")&amp;IF(AND(N146="✓",O146&lt;&gt;"✓"),"同意書待ち ","")&amp;IF(T146="","次アクション未設定","")))</f>
        <v/>
      </c>
      <c r="X146" s="10" t="n"/>
      <c r="Y146" s="22" t="n"/>
    </row>
    <row r="147">
      <c r="A147" s="10">
        <f>IF(D147="","",ROW()-4)</f>
        <v/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4" t="n"/>
      <c r="L147" s="22" t="n"/>
      <c r="M147" s="23" t="n"/>
      <c r="N147" s="23" t="n"/>
      <c r="O147" s="23" t="n"/>
      <c r="P147" s="10">
        <f>IF(D147="","",IF(AND(M147="✓",N147="✓",O147="✓"),"✅正式",IF(M147&amp;N147&amp;O147="","入会前","手続き中")))</f>
        <v/>
      </c>
      <c r="Q147" s="24" t="n"/>
      <c r="R147" s="24" t="n"/>
      <c r="S147" s="10">
        <f>IF(OR(D147="",R147=""),"",TODAY()-R147)</f>
        <v/>
      </c>
      <c r="T147" s="22" t="n"/>
      <c r="U147" s="24" t="n"/>
      <c r="V147" s="23" t="n"/>
      <c r="W147" s="14">
        <f>IF(OR(D147="",V147="辞退",V147="保留",P147="✅正式"),"",TRIM(IF(AND(U147&lt;&gt;"",U147&lt;TODAY()),"期日超過 ","")&amp;IF(AND(S147&lt;&gt;"",S147&gt;='設定'!$B$9),"放置"&amp;S147&amp;"日 ","")&amp;IF(AND(J147="CCS済",M147&lt;&gt;"✓"),"CCS後の申込待ち ","")&amp;IF(AND(M147="✓",N147&lt;&gt;"✓"),"振込待ち ","")&amp;IF(AND(N147="✓",O147&lt;&gt;"✓"),"同意書待ち ","")&amp;IF(T147="","次アクション未設定","")))</f>
        <v/>
      </c>
      <c r="X147" s="10" t="n"/>
      <c r="Y147" s="22" t="n"/>
    </row>
    <row r="148">
      <c r="A148" s="10">
        <f>IF(D148="","",ROW()-4)</f>
        <v/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3" t="n"/>
      <c r="K148" s="24" t="n"/>
      <c r="L148" s="22" t="n"/>
      <c r="M148" s="23" t="n"/>
      <c r="N148" s="23" t="n"/>
      <c r="O148" s="23" t="n"/>
      <c r="P148" s="10">
        <f>IF(D148="","",IF(AND(M148="✓",N148="✓",O148="✓"),"✅正式",IF(M148&amp;N148&amp;O148="","入会前","手続き中")))</f>
        <v/>
      </c>
      <c r="Q148" s="24" t="n"/>
      <c r="R148" s="24" t="n"/>
      <c r="S148" s="10">
        <f>IF(OR(D148="",R148=""),"",TODAY()-R148)</f>
        <v/>
      </c>
      <c r="T148" s="22" t="n"/>
      <c r="U148" s="24" t="n"/>
      <c r="V148" s="23" t="n"/>
      <c r="W148" s="14">
        <f>IF(OR(D148="",V148="辞退",V148="保留",P148="✅正式"),"",TRIM(IF(AND(U148&lt;&gt;"",U148&lt;TODAY()),"期日超過 ","")&amp;IF(AND(S148&lt;&gt;"",S148&gt;='設定'!$B$9),"放置"&amp;S148&amp;"日 ","")&amp;IF(AND(J148="CCS済",M148&lt;&gt;"✓"),"CCS後の申込待ち ","")&amp;IF(AND(M148="✓",N148&lt;&gt;"✓"),"振込待ち ","")&amp;IF(AND(N148="✓",O148&lt;&gt;"✓"),"同意書待ち ","")&amp;IF(T148="","次アクション未設定","")))</f>
        <v/>
      </c>
      <c r="X148" s="10" t="n"/>
      <c r="Y148" s="22" t="n"/>
    </row>
    <row r="149">
      <c r="A149" s="10">
        <f>IF(D149="","",ROW()-4)</f>
        <v/>
      </c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4" t="n"/>
      <c r="L149" s="22" t="n"/>
      <c r="M149" s="23" t="n"/>
      <c r="N149" s="23" t="n"/>
      <c r="O149" s="23" t="n"/>
      <c r="P149" s="10">
        <f>IF(D149="","",IF(AND(M149="✓",N149="✓",O149="✓"),"✅正式",IF(M149&amp;N149&amp;O149="","入会前","手続き中")))</f>
        <v/>
      </c>
      <c r="Q149" s="24" t="n"/>
      <c r="R149" s="24" t="n"/>
      <c r="S149" s="10">
        <f>IF(OR(D149="",R149=""),"",TODAY()-R149)</f>
        <v/>
      </c>
      <c r="T149" s="22" t="n"/>
      <c r="U149" s="24" t="n"/>
      <c r="V149" s="23" t="n"/>
      <c r="W149" s="14">
        <f>IF(OR(D149="",V149="辞退",V149="保留",P149="✅正式"),"",TRIM(IF(AND(U149&lt;&gt;"",U149&lt;TODAY()),"期日超過 ","")&amp;IF(AND(S149&lt;&gt;"",S149&gt;='設定'!$B$9),"放置"&amp;S149&amp;"日 ","")&amp;IF(AND(J149="CCS済",M149&lt;&gt;"✓"),"CCS後の申込待ち ","")&amp;IF(AND(M149="✓",N149&lt;&gt;"✓"),"振込待ち ","")&amp;IF(AND(N149="✓",O149&lt;&gt;"✓"),"同意書待ち ","")&amp;IF(T149="","次アクション未設定","")))</f>
        <v/>
      </c>
      <c r="X149" s="10" t="n"/>
      <c r="Y149" s="22" t="n"/>
    </row>
    <row r="150">
      <c r="A150" s="10">
        <f>IF(D150="","",ROW()-4)</f>
        <v/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3" t="n"/>
      <c r="K150" s="24" t="n"/>
      <c r="L150" s="22" t="n"/>
      <c r="M150" s="23" t="n"/>
      <c r="N150" s="23" t="n"/>
      <c r="O150" s="23" t="n"/>
      <c r="P150" s="10">
        <f>IF(D150="","",IF(AND(M150="✓",N150="✓",O150="✓"),"✅正式",IF(M150&amp;N150&amp;O150="","入会前","手続き中")))</f>
        <v/>
      </c>
      <c r="Q150" s="24" t="n"/>
      <c r="R150" s="24" t="n"/>
      <c r="S150" s="10">
        <f>IF(OR(D150="",R150=""),"",TODAY()-R150)</f>
        <v/>
      </c>
      <c r="T150" s="22" t="n"/>
      <c r="U150" s="24" t="n"/>
      <c r="V150" s="23" t="n"/>
      <c r="W150" s="14">
        <f>IF(OR(D150="",V150="辞退",V150="保留",P150="✅正式"),"",TRIM(IF(AND(U150&lt;&gt;"",U150&lt;TODAY()),"期日超過 ","")&amp;IF(AND(S150&lt;&gt;"",S150&gt;='設定'!$B$9),"放置"&amp;S150&amp;"日 ","")&amp;IF(AND(J150="CCS済",M150&lt;&gt;"✓"),"CCS後の申込待ち ","")&amp;IF(AND(M150="✓",N150&lt;&gt;"✓"),"振込待ち ","")&amp;IF(AND(N150="✓",O150&lt;&gt;"✓"),"同意書待ち ","")&amp;IF(T150="","次アクション未設定","")))</f>
        <v/>
      </c>
      <c r="X150" s="10" t="n"/>
      <c r="Y150" s="22" t="n"/>
    </row>
    <row r="151">
      <c r="A151" s="10">
        <f>IF(D151="","",ROW()-4)</f>
        <v/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4" t="n"/>
      <c r="L151" s="22" t="n"/>
      <c r="M151" s="23" t="n"/>
      <c r="N151" s="23" t="n"/>
      <c r="O151" s="23" t="n"/>
      <c r="P151" s="10">
        <f>IF(D151="","",IF(AND(M151="✓",N151="✓",O151="✓"),"✅正式",IF(M151&amp;N151&amp;O151="","入会前","手続き中")))</f>
        <v/>
      </c>
      <c r="Q151" s="24" t="n"/>
      <c r="R151" s="24" t="n"/>
      <c r="S151" s="10">
        <f>IF(OR(D151="",R151=""),"",TODAY()-R151)</f>
        <v/>
      </c>
      <c r="T151" s="22" t="n"/>
      <c r="U151" s="24" t="n"/>
      <c r="V151" s="23" t="n"/>
      <c r="W151" s="14">
        <f>IF(OR(D151="",V151="辞退",V151="保留",P151="✅正式"),"",TRIM(IF(AND(U151&lt;&gt;"",U151&lt;TODAY()),"期日超過 ","")&amp;IF(AND(S151&lt;&gt;"",S151&gt;='設定'!$B$9),"放置"&amp;S151&amp;"日 ","")&amp;IF(AND(J151="CCS済",M151&lt;&gt;"✓"),"CCS後の申込待ち ","")&amp;IF(AND(M151="✓",N151&lt;&gt;"✓"),"振込待ち ","")&amp;IF(AND(N151="✓",O151&lt;&gt;"✓"),"同意書待ち ","")&amp;IF(T151="","次アクション未設定","")))</f>
        <v/>
      </c>
      <c r="X151" s="10" t="n"/>
      <c r="Y151" s="22" t="n"/>
    </row>
    <row r="152">
      <c r="A152" s="10">
        <f>IF(D152="","",ROW()-4)</f>
        <v/>
      </c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3" t="n"/>
      <c r="K152" s="24" t="n"/>
      <c r="L152" s="22" t="n"/>
      <c r="M152" s="23" t="n"/>
      <c r="N152" s="23" t="n"/>
      <c r="O152" s="23" t="n"/>
      <c r="P152" s="10">
        <f>IF(D152="","",IF(AND(M152="✓",N152="✓",O152="✓"),"✅正式",IF(M152&amp;N152&amp;O152="","入会前","手続き中")))</f>
        <v/>
      </c>
      <c r="Q152" s="24" t="n"/>
      <c r="R152" s="24" t="n"/>
      <c r="S152" s="10">
        <f>IF(OR(D152="",R152=""),"",TODAY()-R152)</f>
        <v/>
      </c>
      <c r="T152" s="22" t="n"/>
      <c r="U152" s="24" t="n"/>
      <c r="V152" s="23" t="n"/>
      <c r="W152" s="14">
        <f>IF(OR(D152="",V152="辞退",V152="保留",P152="✅正式"),"",TRIM(IF(AND(U152&lt;&gt;"",U152&lt;TODAY()),"期日超過 ","")&amp;IF(AND(S152&lt;&gt;"",S152&gt;='設定'!$B$9),"放置"&amp;S152&amp;"日 ","")&amp;IF(AND(J152="CCS済",M152&lt;&gt;"✓"),"CCS後の申込待ち ","")&amp;IF(AND(M152="✓",N152&lt;&gt;"✓"),"振込待ち ","")&amp;IF(AND(N152="✓",O152&lt;&gt;"✓"),"同意書待ち ","")&amp;IF(T152="","次アクション未設定","")))</f>
        <v/>
      </c>
      <c r="X152" s="10" t="n"/>
      <c r="Y152" s="22" t="n"/>
    </row>
    <row r="153">
      <c r="A153" s="10">
        <f>IF(D153="","",ROW()-4)</f>
        <v/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4" t="n"/>
      <c r="L153" s="22" t="n"/>
      <c r="M153" s="23" t="n"/>
      <c r="N153" s="23" t="n"/>
      <c r="O153" s="23" t="n"/>
      <c r="P153" s="10">
        <f>IF(D153="","",IF(AND(M153="✓",N153="✓",O153="✓"),"✅正式",IF(M153&amp;N153&amp;O153="","入会前","手続き中")))</f>
        <v/>
      </c>
      <c r="Q153" s="24" t="n"/>
      <c r="R153" s="24" t="n"/>
      <c r="S153" s="10">
        <f>IF(OR(D153="",R153=""),"",TODAY()-R153)</f>
        <v/>
      </c>
      <c r="T153" s="22" t="n"/>
      <c r="U153" s="24" t="n"/>
      <c r="V153" s="23" t="n"/>
      <c r="W153" s="14">
        <f>IF(OR(D153="",V153="辞退",V153="保留",P153="✅正式"),"",TRIM(IF(AND(U153&lt;&gt;"",U153&lt;TODAY()),"期日超過 ","")&amp;IF(AND(S153&lt;&gt;"",S153&gt;='設定'!$B$9),"放置"&amp;S153&amp;"日 ","")&amp;IF(AND(J153="CCS済",M153&lt;&gt;"✓"),"CCS後の申込待ち ","")&amp;IF(AND(M153="✓",N153&lt;&gt;"✓"),"振込待ち ","")&amp;IF(AND(N153="✓",O153&lt;&gt;"✓"),"同意書待ち ","")&amp;IF(T153="","次アクション未設定","")))</f>
        <v/>
      </c>
      <c r="X153" s="10" t="n"/>
      <c r="Y153" s="22" t="n"/>
    </row>
    <row r="154">
      <c r="A154" s="10">
        <f>IF(D154="","",ROW()-4)</f>
        <v/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3" t="n"/>
      <c r="K154" s="24" t="n"/>
      <c r="L154" s="22" t="n"/>
      <c r="M154" s="23" t="n"/>
      <c r="N154" s="23" t="n"/>
      <c r="O154" s="23" t="n"/>
      <c r="P154" s="10">
        <f>IF(D154="","",IF(AND(M154="✓",N154="✓",O154="✓"),"✅正式",IF(M154&amp;N154&amp;O154="","入会前","手続き中")))</f>
        <v/>
      </c>
      <c r="Q154" s="24" t="n"/>
      <c r="R154" s="24" t="n"/>
      <c r="S154" s="10">
        <f>IF(OR(D154="",R154=""),"",TODAY()-R154)</f>
        <v/>
      </c>
      <c r="T154" s="22" t="n"/>
      <c r="U154" s="24" t="n"/>
      <c r="V154" s="23" t="n"/>
      <c r="W154" s="14">
        <f>IF(OR(D154="",V154="辞退",V154="保留",P154="✅正式"),"",TRIM(IF(AND(U154&lt;&gt;"",U154&lt;TODAY()),"期日超過 ","")&amp;IF(AND(S154&lt;&gt;"",S154&gt;='設定'!$B$9),"放置"&amp;S154&amp;"日 ","")&amp;IF(AND(J154="CCS済",M154&lt;&gt;"✓"),"CCS後の申込待ち ","")&amp;IF(AND(M154="✓",N154&lt;&gt;"✓"),"振込待ち ","")&amp;IF(AND(N154="✓",O154&lt;&gt;"✓"),"同意書待ち ","")&amp;IF(T154="","次アクション未設定","")))</f>
        <v/>
      </c>
      <c r="X154" s="10" t="n"/>
      <c r="Y154" s="22" t="n"/>
    </row>
    <row r="155">
      <c r="A155" s="10">
        <f>IF(D155="","",ROW()-4)</f>
        <v/>
      </c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4" t="n"/>
      <c r="L155" s="22" t="n"/>
      <c r="M155" s="23" t="n"/>
      <c r="N155" s="23" t="n"/>
      <c r="O155" s="23" t="n"/>
      <c r="P155" s="10">
        <f>IF(D155="","",IF(AND(M155="✓",N155="✓",O155="✓"),"✅正式",IF(M155&amp;N155&amp;O155="","入会前","手続き中")))</f>
        <v/>
      </c>
      <c r="Q155" s="24" t="n"/>
      <c r="R155" s="24" t="n"/>
      <c r="S155" s="10">
        <f>IF(OR(D155="",R155=""),"",TODAY()-R155)</f>
        <v/>
      </c>
      <c r="T155" s="22" t="n"/>
      <c r="U155" s="24" t="n"/>
      <c r="V155" s="23" t="n"/>
      <c r="W155" s="14">
        <f>IF(OR(D155="",V155="辞退",V155="保留",P155="✅正式"),"",TRIM(IF(AND(U155&lt;&gt;"",U155&lt;TODAY()),"期日超過 ","")&amp;IF(AND(S155&lt;&gt;"",S155&gt;='設定'!$B$9),"放置"&amp;S155&amp;"日 ","")&amp;IF(AND(J155="CCS済",M155&lt;&gt;"✓"),"CCS後の申込待ち ","")&amp;IF(AND(M155="✓",N155&lt;&gt;"✓"),"振込待ち ","")&amp;IF(AND(N155="✓",O155&lt;&gt;"✓"),"同意書待ち ","")&amp;IF(T155="","次アクション未設定","")))</f>
        <v/>
      </c>
      <c r="X155" s="10" t="n"/>
      <c r="Y155" s="22" t="n"/>
    </row>
    <row r="156">
      <c r="A156" s="10">
        <f>IF(D156="","",ROW()-4)</f>
        <v/>
      </c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3" t="n"/>
      <c r="K156" s="24" t="n"/>
      <c r="L156" s="22" t="n"/>
      <c r="M156" s="23" t="n"/>
      <c r="N156" s="23" t="n"/>
      <c r="O156" s="23" t="n"/>
      <c r="P156" s="10">
        <f>IF(D156="","",IF(AND(M156="✓",N156="✓",O156="✓"),"✅正式",IF(M156&amp;N156&amp;O156="","入会前","手続き中")))</f>
        <v/>
      </c>
      <c r="Q156" s="24" t="n"/>
      <c r="R156" s="24" t="n"/>
      <c r="S156" s="10">
        <f>IF(OR(D156="",R156=""),"",TODAY()-R156)</f>
        <v/>
      </c>
      <c r="T156" s="22" t="n"/>
      <c r="U156" s="24" t="n"/>
      <c r="V156" s="23" t="n"/>
      <c r="W156" s="14">
        <f>IF(OR(D156="",V156="辞退",V156="保留",P156="✅正式"),"",TRIM(IF(AND(U156&lt;&gt;"",U156&lt;TODAY()),"期日超過 ","")&amp;IF(AND(S156&lt;&gt;"",S156&gt;='設定'!$B$9),"放置"&amp;S156&amp;"日 ","")&amp;IF(AND(J156="CCS済",M156&lt;&gt;"✓"),"CCS後の申込待ち ","")&amp;IF(AND(M156="✓",N156&lt;&gt;"✓"),"振込待ち ","")&amp;IF(AND(N156="✓",O156&lt;&gt;"✓"),"同意書待ち ","")&amp;IF(T156="","次アクション未設定","")))</f>
        <v/>
      </c>
      <c r="X156" s="10" t="n"/>
      <c r="Y156" s="22" t="n"/>
    </row>
    <row r="157">
      <c r="A157" s="10">
        <f>IF(D157="","",ROW()-4)</f>
        <v/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4" t="n"/>
      <c r="L157" s="22" t="n"/>
      <c r="M157" s="23" t="n"/>
      <c r="N157" s="23" t="n"/>
      <c r="O157" s="23" t="n"/>
      <c r="P157" s="10">
        <f>IF(D157="","",IF(AND(M157="✓",N157="✓",O157="✓"),"✅正式",IF(M157&amp;N157&amp;O157="","入会前","手続き中")))</f>
        <v/>
      </c>
      <c r="Q157" s="24" t="n"/>
      <c r="R157" s="24" t="n"/>
      <c r="S157" s="10">
        <f>IF(OR(D157="",R157=""),"",TODAY()-R157)</f>
        <v/>
      </c>
      <c r="T157" s="22" t="n"/>
      <c r="U157" s="24" t="n"/>
      <c r="V157" s="23" t="n"/>
      <c r="W157" s="14">
        <f>IF(OR(D157="",V157="辞退",V157="保留",P157="✅正式"),"",TRIM(IF(AND(U157&lt;&gt;"",U157&lt;TODAY()),"期日超過 ","")&amp;IF(AND(S157&lt;&gt;"",S157&gt;='設定'!$B$9),"放置"&amp;S157&amp;"日 ","")&amp;IF(AND(J157="CCS済",M157&lt;&gt;"✓"),"CCS後の申込待ち ","")&amp;IF(AND(M157="✓",N157&lt;&gt;"✓"),"振込待ち ","")&amp;IF(AND(N157="✓",O157&lt;&gt;"✓"),"同意書待ち ","")&amp;IF(T157="","次アクション未設定","")))</f>
        <v/>
      </c>
      <c r="X157" s="10" t="n"/>
      <c r="Y157" s="22" t="n"/>
    </row>
    <row r="158">
      <c r="A158" s="10">
        <f>IF(D158="","",ROW()-4)</f>
        <v/>
      </c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3" t="n"/>
      <c r="K158" s="24" t="n"/>
      <c r="L158" s="22" t="n"/>
      <c r="M158" s="23" t="n"/>
      <c r="N158" s="23" t="n"/>
      <c r="O158" s="23" t="n"/>
      <c r="P158" s="10">
        <f>IF(D158="","",IF(AND(M158="✓",N158="✓",O158="✓"),"✅正式",IF(M158&amp;N158&amp;O158="","入会前","手続き中")))</f>
        <v/>
      </c>
      <c r="Q158" s="24" t="n"/>
      <c r="R158" s="24" t="n"/>
      <c r="S158" s="10">
        <f>IF(OR(D158="",R158=""),"",TODAY()-R158)</f>
        <v/>
      </c>
      <c r="T158" s="22" t="n"/>
      <c r="U158" s="24" t="n"/>
      <c r="V158" s="23" t="n"/>
      <c r="W158" s="14">
        <f>IF(OR(D158="",V158="辞退",V158="保留",P158="✅正式"),"",TRIM(IF(AND(U158&lt;&gt;"",U158&lt;TODAY()),"期日超過 ","")&amp;IF(AND(S158&lt;&gt;"",S158&gt;='設定'!$B$9),"放置"&amp;S158&amp;"日 ","")&amp;IF(AND(J158="CCS済",M158&lt;&gt;"✓"),"CCS後の申込待ち ","")&amp;IF(AND(M158="✓",N158&lt;&gt;"✓"),"振込待ち ","")&amp;IF(AND(N158="✓",O158&lt;&gt;"✓"),"同意書待ち ","")&amp;IF(T158="","次アクション未設定","")))</f>
        <v/>
      </c>
      <c r="X158" s="10" t="n"/>
      <c r="Y158" s="22" t="n"/>
    </row>
    <row r="159">
      <c r="A159" s="10">
        <f>IF(D159="","",ROW()-4)</f>
        <v/>
      </c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4" t="n"/>
      <c r="L159" s="22" t="n"/>
      <c r="M159" s="23" t="n"/>
      <c r="N159" s="23" t="n"/>
      <c r="O159" s="23" t="n"/>
      <c r="P159" s="10">
        <f>IF(D159="","",IF(AND(M159="✓",N159="✓",O159="✓"),"✅正式",IF(M159&amp;N159&amp;O159="","入会前","手続き中")))</f>
        <v/>
      </c>
      <c r="Q159" s="24" t="n"/>
      <c r="R159" s="24" t="n"/>
      <c r="S159" s="10">
        <f>IF(OR(D159="",R159=""),"",TODAY()-R159)</f>
        <v/>
      </c>
      <c r="T159" s="22" t="n"/>
      <c r="U159" s="24" t="n"/>
      <c r="V159" s="23" t="n"/>
      <c r="W159" s="14">
        <f>IF(OR(D159="",V159="辞退",V159="保留",P159="✅正式"),"",TRIM(IF(AND(U159&lt;&gt;"",U159&lt;TODAY()),"期日超過 ","")&amp;IF(AND(S159&lt;&gt;"",S159&gt;='設定'!$B$9),"放置"&amp;S159&amp;"日 ","")&amp;IF(AND(J159="CCS済",M159&lt;&gt;"✓"),"CCS後の申込待ち ","")&amp;IF(AND(M159="✓",N159&lt;&gt;"✓"),"振込待ち ","")&amp;IF(AND(N159="✓",O159&lt;&gt;"✓"),"同意書待ち ","")&amp;IF(T159="","次アクション未設定","")))</f>
        <v/>
      </c>
      <c r="X159" s="10" t="n"/>
      <c r="Y159" s="22" t="n"/>
    </row>
    <row r="160">
      <c r="A160" s="10">
        <f>IF(D160="","",ROW()-4)</f>
        <v/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3" t="n"/>
      <c r="K160" s="24" t="n"/>
      <c r="L160" s="22" t="n"/>
      <c r="M160" s="23" t="n"/>
      <c r="N160" s="23" t="n"/>
      <c r="O160" s="23" t="n"/>
      <c r="P160" s="10">
        <f>IF(D160="","",IF(AND(M160="✓",N160="✓",O160="✓"),"✅正式",IF(M160&amp;N160&amp;O160="","入会前","手続き中")))</f>
        <v/>
      </c>
      <c r="Q160" s="24" t="n"/>
      <c r="R160" s="24" t="n"/>
      <c r="S160" s="10">
        <f>IF(OR(D160="",R160=""),"",TODAY()-R160)</f>
        <v/>
      </c>
      <c r="T160" s="22" t="n"/>
      <c r="U160" s="24" t="n"/>
      <c r="V160" s="23" t="n"/>
      <c r="W160" s="14">
        <f>IF(OR(D160="",V160="辞退",V160="保留",P160="✅正式"),"",TRIM(IF(AND(U160&lt;&gt;"",U160&lt;TODAY()),"期日超過 ","")&amp;IF(AND(S160&lt;&gt;"",S160&gt;='設定'!$B$9),"放置"&amp;S160&amp;"日 ","")&amp;IF(AND(J160="CCS済",M160&lt;&gt;"✓"),"CCS後の申込待ち ","")&amp;IF(AND(M160="✓",N160&lt;&gt;"✓"),"振込待ち ","")&amp;IF(AND(N160="✓",O160&lt;&gt;"✓"),"同意書待ち ","")&amp;IF(T160="","次アクション未設定","")))</f>
        <v/>
      </c>
      <c r="X160" s="10" t="n"/>
      <c r="Y160" s="22" t="n"/>
    </row>
    <row r="161">
      <c r="A161" s="10">
        <f>IF(D161="","",ROW()-4)</f>
        <v/>
      </c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4" t="n"/>
      <c r="L161" s="22" t="n"/>
      <c r="M161" s="23" t="n"/>
      <c r="N161" s="23" t="n"/>
      <c r="O161" s="23" t="n"/>
      <c r="P161" s="10">
        <f>IF(D161="","",IF(AND(M161="✓",N161="✓",O161="✓"),"✅正式",IF(M161&amp;N161&amp;O161="","入会前","手続き中")))</f>
        <v/>
      </c>
      <c r="Q161" s="24" t="n"/>
      <c r="R161" s="24" t="n"/>
      <c r="S161" s="10">
        <f>IF(OR(D161="",R161=""),"",TODAY()-R161)</f>
        <v/>
      </c>
      <c r="T161" s="22" t="n"/>
      <c r="U161" s="24" t="n"/>
      <c r="V161" s="23" t="n"/>
      <c r="W161" s="14">
        <f>IF(OR(D161="",V161="辞退",V161="保留",P161="✅正式"),"",TRIM(IF(AND(U161&lt;&gt;"",U161&lt;TODAY()),"期日超過 ","")&amp;IF(AND(S161&lt;&gt;"",S161&gt;='設定'!$B$9),"放置"&amp;S161&amp;"日 ","")&amp;IF(AND(J161="CCS済",M161&lt;&gt;"✓"),"CCS後の申込待ち ","")&amp;IF(AND(M161="✓",N161&lt;&gt;"✓"),"振込待ち ","")&amp;IF(AND(N161="✓",O161&lt;&gt;"✓"),"同意書待ち ","")&amp;IF(T161="","次アクション未設定","")))</f>
        <v/>
      </c>
      <c r="X161" s="10" t="n"/>
      <c r="Y161" s="22" t="n"/>
    </row>
    <row r="162">
      <c r="A162" s="10">
        <f>IF(D162="","",ROW()-4)</f>
        <v/>
      </c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3" t="n"/>
      <c r="K162" s="24" t="n"/>
      <c r="L162" s="22" t="n"/>
      <c r="M162" s="23" t="n"/>
      <c r="N162" s="23" t="n"/>
      <c r="O162" s="23" t="n"/>
      <c r="P162" s="10">
        <f>IF(D162="","",IF(AND(M162="✓",N162="✓",O162="✓"),"✅正式",IF(M162&amp;N162&amp;O162="","入会前","手続き中")))</f>
        <v/>
      </c>
      <c r="Q162" s="24" t="n"/>
      <c r="R162" s="24" t="n"/>
      <c r="S162" s="10">
        <f>IF(OR(D162="",R162=""),"",TODAY()-R162)</f>
        <v/>
      </c>
      <c r="T162" s="22" t="n"/>
      <c r="U162" s="24" t="n"/>
      <c r="V162" s="23" t="n"/>
      <c r="W162" s="14">
        <f>IF(OR(D162="",V162="辞退",V162="保留",P162="✅正式"),"",TRIM(IF(AND(U162&lt;&gt;"",U162&lt;TODAY()),"期日超過 ","")&amp;IF(AND(S162&lt;&gt;"",S162&gt;='設定'!$B$9),"放置"&amp;S162&amp;"日 ","")&amp;IF(AND(J162="CCS済",M162&lt;&gt;"✓"),"CCS後の申込待ち ","")&amp;IF(AND(M162="✓",N162&lt;&gt;"✓"),"振込待ち ","")&amp;IF(AND(N162="✓",O162&lt;&gt;"✓"),"同意書待ち ","")&amp;IF(T162="","次アクション未設定","")))</f>
        <v/>
      </c>
      <c r="X162" s="10" t="n"/>
      <c r="Y162" s="22" t="n"/>
    </row>
    <row r="163">
      <c r="A163" s="10">
        <f>IF(D163="","",ROW()-4)</f>
        <v/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4" t="n"/>
      <c r="L163" s="22" t="n"/>
      <c r="M163" s="23" t="n"/>
      <c r="N163" s="23" t="n"/>
      <c r="O163" s="23" t="n"/>
      <c r="P163" s="10">
        <f>IF(D163="","",IF(AND(M163="✓",N163="✓",O163="✓"),"✅正式",IF(M163&amp;N163&amp;O163="","入会前","手続き中")))</f>
        <v/>
      </c>
      <c r="Q163" s="24" t="n"/>
      <c r="R163" s="24" t="n"/>
      <c r="S163" s="10">
        <f>IF(OR(D163="",R163=""),"",TODAY()-R163)</f>
        <v/>
      </c>
      <c r="T163" s="22" t="n"/>
      <c r="U163" s="24" t="n"/>
      <c r="V163" s="23" t="n"/>
      <c r="W163" s="14">
        <f>IF(OR(D163="",V163="辞退",V163="保留",P163="✅正式"),"",TRIM(IF(AND(U163&lt;&gt;"",U163&lt;TODAY()),"期日超過 ","")&amp;IF(AND(S163&lt;&gt;"",S163&gt;='設定'!$B$9),"放置"&amp;S163&amp;"日 ","")&amp;IF(AND(J163="CCS済",M163&lt;&gt;"✓"),"CCS後の申込待ち ","")&amp;IF(AND(M163="✓",N163&lt;&gt;"✓"),"振込待ち ","")&amp;IF(AND(N163="✓",O163&lt;&gt;"✓"),"同意書待ち ","")&amp;IF(T163="","次アクション未設定","")))</f>
        <v/>
      </c>
      <c r="X163" s="10" t="n"/>
      <c r="Y163" s="22" t="n"/>
    </row>
    <row r="164">
      <c r="A164" s="10">
        <f>IF(D164="","",ROW()-4)</f>
        <v/>
      </c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3" t="n"/>
      <c r="K164" s="24" t="n"/>
      <c r="L164" s="22" t="n"/>
      <c r="M164" s="23" t="n"/>
      <c r="N164" s="23" t="n"/>
      <c r="O164" s="23" t="n"/>
      <c r="P164" s="10">
        <f>IF(D164="","",IF(AND(M164="✓",N164="✓",O164="✓"),"✅正式",IF(M164&amp;N164&amp;O164="","入会前","手続き中")))</f>
        <v/>
      </c>
      <c r="Q164" s="24" t="n"/>
      <c r="R164" s="24" t="n"/>
      <c r="S164" s="10">
        <f>IF(OR(D164="",R164=""),"",TODAY()-R164)</f>
        <v/>
      </c>
      <c r="T164" s="22" t="n"/>
      <c r="U164" s="24" t="n"/>
      <c r="V164" s="23" t="n"/>
      <c r="W164" s="14">
        <f>IF(OR(D164="",V164="辞退",V164="保留",P164="✅正式"),"",TRIM(IF(AND(U164&lt;&gt;"",U164&lt;TODAY()),"期日超過 ","")&amp;IF(AND(S164&lt;&gt;"",S164&gt;='設定'!$B$9),"放置"&amp;S164&amp;"日 ","")&amp;IF(AND(J164="CCS済",M164&lt;&gt;"✓"),"CCS後の申込待ち ","")&amp;IF(AND(M164="✓",N164&lt;&gt;"✓"),"振込待ち ","")&amp;IF(AND(N164="✓",O164&lt;&gt;"✓"),"同意書待ち ","")&amp;IF(T164="","次アクション未設定","")))</f>
        <v/>
      </c>
      <c r="X164" s="10" t="n"/>
      <c r="Y164" s="22" t="n"/>
    </row>
    <row r="165">
      <c r="A165" s="10">
        <f>IF(D165="","",ROW()-4)</f>
        <v/>
      </c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4" t="n"/>
      <c r="L165" s="22" t="n"/>
      <c r="M165" s="23" t="n"/>
      <c r="N165" s="23" t="n"/>
      <c r="O165" s="23" t="n"/>
      <c r="P165" s="10">
        <f>IF(D165="","",IF(AND(M165="✓",N165="✓",O165="✓"),"✅正式",IF(M165&amp;N165&amp;O165="","入会前","手続き中")))</f>
        <v/>
      </c>
      <c r="Q165" s="24" t="n"/>
      <c r="R165" s="24" t="n"/>
      <c r="S165" s="10">
        <f>IF(OR(D165="",R165=""),"",TODAY()-R165)</f>
        <v/>
      </c>
      <c r="T165" s="22" t="n"/>
      <c r="U165" s="24" t="n"/>
      <c r="V165" s="23" t="n"/>
      <c r="W165" s="14">
        <f>IF(OR(D165="",V165="辞退",V165="保留",P165="✅正式"),"",TRIM(IF(AND(U165&lt;&gt;"",U165&lt;TODAY()),"期日超過 ","")&amp;IF(AND(S165&lt;&gt;"",S165&gt;='設定'!$B$9),"放置"&amp;S165&amp;"日 ","")&amp;IF(AND(J165="CCS済",M165&lt;&gt;"✓"),"CCS後の申込待ち ","")&amp;IF(AND(M165="✓",N165&lt;&gt;"✓"),"振込待ち ","")&amp;IF(AND(N165="✓",O165&lt;&gt;"✓"),"同意書待ち ","")&amp;IF(T165="","次アクション未設定","")))</f>
        <v/>
      </c>
      <c r="X165" s="10" t="n"/>
      <c r="Y165" s="22" t="n"/>
    </row>
    <row r="166">
      <c r="A166" s="10">
        <f>IF(D166="","",ROW()-4)</f>
        <v/>
      </c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3" t="n"/>
      <c r="K166" s="24" t="n"/>
      <c r="L166" s="22" t="n"/>
      <c r="M166" s="23" t="n"/>
      <c r="N166" s="23" t="n"/>
      <c r="O166" s="23" t="n"/>
      <c r="P166" s="10">
        <f>IF(D166="","",IF(AND(M166="✓",N166="✓",O166="✓"),"✅正式",IF(M166&amp;N166&amp;O166="","入会前","手続き中")))</f>
        <v/>
      </c>
      <c r="Q166" s="24" t="n"/>
      <c r="R166" s="24" t="n"/>
      <c r="S166" s="10">
        <f>IF(OR(D166="",R166=""),"",TODAY()-R166)</f>
        <v/>
      </c>
      <c r="T166" s="22" t="n"/>
      <c r="U166" s="24" t="n"/>
      <c r="V166" s="23" t="n"/>
      <c r="W166" s="14">
        <f>IF(OR(D166="",V166="辞退",V166="保留",P166="✅正式"),"",TRIM(IF(AND(U166&lt;&gt;"",U166&lt;TODAY()),"期日超過 ","")&amp;IF(AND(S166&lt;&gt;"",S166&gt;='設定'!$B$9),"放置"&amp;S166&amp;"日 ","")&amp;IF(AND(J166="CCS済",M166&lt;&gt;"✓"),"CCS後の申込待ち ","")&amp;IF(AND(M166="✓",N166&lt;&gt;"✓"),"振込待ち ","")&amp;IF(AND(N166="✓",O166&lt;&gt;"✓"),"同意書待ち ","")&amp;IF(T166="","次アクション未設定","")))</f>
        <v/>
      </c>
      <c r="X166" s="10" t="n"/>
      <c r="Y166" s="22" t="n"/>
    </row>
    <row r="167">
      <c r="A167" s="10">
        <f>IF(D167="","",ROW()-4)</f>
        <v/>
      </c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4" t="n"/>
      <c r="L167" s="22" t="n"/>
      <c r="M167" s="23" t="n"/>
      <c r="N167" s="23" t="n"/>
      <c r="O167" s="23" t="n"/>
      <c r="P167" s="10">
        <f>IF(D167="","",IF(AND(M167="✓",N167="✓",O167="✓"),"✅正式",IF(M167&amp;N167&amp;O167="","入会前","手続き中")))</f>
        <v/>
      </c>
      <c r="Q167" s="24" t="n"/>
      <c r="R167" s="24" t="n"/>
      <c r="S167" s="10">
        <f>IF(OR(D167="",R167=""),"",TODAY()-R167)</f>
        <v/>
      </c>
      <c r="T167" s="22" t="n"/>
      <c r="U167" s="24" t="n"/>
      <c r="V167" s="23" t="n"/>
      <c r="W167" s="14">
        <f>IF(OR(D167="",V167="辞退",V167="保留",P167="✅正式"),"",TRIM(IF(AND(U167&lt;&gt;"",U167&lt;TODAY()),"期日超過 ","")&amp;IF(AND(S167&lt;&gt;"",S167&gt;='設定'!$B$9),"放置"&amp;S167&amp;"日 ","")&amp;IF(AND(J167="CCS済",M167&lt;&gt;"✓"),"CCS後の申込待ち ","")&amp;IF(AND(M167="✓",N167&lt;&gt;"✓"),"振込待ち ","")&amp;IF(AND(N167="✓",O167&lt;&gt;"✓"),"同意書待ち ","")&amp;IF(T167="","次アクション未設定","")))</f>
        <v/>
      </c>
      <c r="X167" s="10" t="n"/>
      <c r="Y167" s="22" t="n"/>
    </row>
    <row r="168">
      <c r="A168" s="10">
        <f>IF(D168="","",ROW()-4)</f>
        <v/>
      </c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3" t="n"/>
      <c r="K168" s="24" t="n"/>
      <c r="L168" s="22" t="n"/>
      <c r="M168" s="23" t="n"/>
      <c r="N168" s="23" t="n"/>
      <c r="O168" s="23" t="n"/>
      <c r="P168" s="10">
        <f>IF(D168="","",IF(AND(M168="✓",N168="✓",O168="✓"),"✅正式",IF(M168&amp;N168&amp;O168="","入会前","手続き中")))</f>
        <v/>
      </c>
      <c r="Q168" s="24" t="n"/>
      <c r="R168" s="24" t="n"/>
      <c r="S168" s="10">
        <f>IF(OR(D168="",R168=""),"",TODAY()-R168)</f>
        <v/>
      </c>
      <c r="T168" s="22" t="n"/>
      <c r="U168" s="24" t="n"/>
      <c r="V168" s="23" t="n"/>
      <c r="W168" s="14">
        <f>IF(OR(D168="",V168="辞退",V168="保留",P168="✅正式"),"",TRIM(IF(AND(U168&lt;&gt;"",U168&lt;TODAY()),"期日超過 ","")&amp;IF(AND(S168&lt;&gt;"",S168&gt;='設定'!$B$9),"放置"&amp;S168&amp;"日 ","")&amp;IF(AND(J168="CCS済",M168&lt;&gt;"✓"),"CCS後の申込待ち ","")&amp;IF(AND(M168="✓",N168&lt;&gt;"✓"),"振込待ち ","")&amp;IF(AND(N168="✓",O168&lt;&gt;"✓"),"同意書待ち ","")&amp;IF(T168="","次アクション未設定","")))</f>
        <v/>
      </c>
      <c r="X168" s="10" t="n"/>
      <c r="Y168" s="22" t="n"/>
    </row>
    <row r="169">
      <c r="A169" s="10">
        <f>IF(D169="","",ROW()-4)</f>
        <v/>
      </c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4" t="n"/>
      <c r="L169" s="22" t="n"/>
      <c r="M169" s="23" t="n"/>
      <c r="N169" s="23" t="n"/>
      <c r="O169" s="23" t="n"/>
      <c r="P169" s="10">
        <f>IF(D169="","",IF(AND(M169="✓",N169="✓",O169="✓"),"✅正式",IF(M169&amp;N169&amp;O169="","入会前","手続き中")))</f>
        <v/>
      </c>
      <c r="Q169" s="24" t="n"/>
      <c r="R169" s="24" t="n"/>
      <c r="S169" s="10">
        <f>IF(OR(D169="",R169=""),"",TODAY()-R169)</f>
        <v/>
      </c>
      <c r="T169" s="22" t="n"/>
      <c r="U169" s="24" t="n"/>
      <c r="V169" s="23" t="n"/>
      <c r="W169" s="14">
        <f>IF(OR(D169="",V169="辞退",V169="保留",P169="✅正式"),"",TRIM(IF(AND(U169&lt;&gt;"",U169&lt;TODAY()),"期日超過 ","")&amp;IF(AND(S169&lt;&gt;"",S169&gt;='設定'!$B$9),"放置"&amp;S169&amp;"日 ","")&amp;IF(AND(J169="CCS済",M169&lt;&gt;"✓"),"CCS後の申込待ち ","")&amp;IF(AND(M169="✓",N169&lt;&gt;"✓"),"振込待ち ","")&amp;IF(AND(N169="✓",O169&lt;&gt;"✓"),"同意書待ち ","")&amp;IF(T169="","次アクション未設定","")))</f>
        <v/>
      </c>
      <c r="X169" s="10" t="n"/>
      <c r="Y169" s="22" t="n"/>
    </row>
    <row r="170">
      <c r="A170" s="10">
        <f>IF(D170="","",ROW()-4)</f>
        <v/>
      </c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3" t="n"/>
      <c r="K170" s="24" t="n"/>
      <c r="L170" s="22" t="n"/>
      <c r="M170" s="23" t="n"/>
      <c r="N170" s="23" t="n"/>
      <c r="O170" s="23" t="n"/>
      <c r="P170" s="10">
        <f>IF(D170="","",IF(AND(M170="✓",N170="✓",O170="✓"),"✅正式",IF(M170&amp;N170&amp;O170="","入会前","手続き中")))</f>
        <v/>
      </c>
      <c r="Q170" s="24" t="n"/>
      <c r="R170" s="24" t="n"/>
      <c r="S170" s="10">
        <f>IF(OR(D170="",R170=""),"",TODAY()-R170)</f>
        <v/>
      </c>
      <c r="T170" s="22" t="n"/>
      <c r="U170" s="24" t="n"/>
      <c r="V170" s="23" t="n"/>
      <c r="W170" s="14">
        <f>IF(OR(D170="",V170="辞退",V170="保留",P170="✅正式"),"",TRIM(IF(AND(U170&lt;&gt;"",U170&lt;TODAY()),"期日超過 ","")&amp;IF(AND(S170&lt;&gt;"",S170&gt;='設定'!$B$9),"放置"&amp;S170&amp;"日 ","")&amp;IF(AND(J170="CCS済",M170&lt;&gt;"✓"),"CCS後の申込待ち ","")&amp;IF(AND(M170="✓",N170&lt;&gt;"✓"),"振込待ち ","")&amp;IF(AND(N170="✓",O170&lt;&gt;"✓"),"同意書待ち ","")&amp;IF(T170="","次アクション未設定","")))</f>
        <v/>
      </c>
      <c r="X170" s="10" t="n"/>
      <c r="Y170" s="22" t="n"/>
    </row>
    <row r="171">
      <c r="A171" s="10">
        <f>IF(D171="","",ROW()-4)</f>
        <v/>
      </c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4" t="n"/>
      <c r="L171" s="22" t="n"/>
      <c r="M171" s="23" t="n"/>
      <c r="N171" s="23" t="n"/>
      <c r="O171" s="23" t="n"/>
      <c r="P171" s="10">
        <f>IF(D171="","",IF(AND(M171="✓",N171="✓",O171="✓"),"✅正式",IF(M171&amp;N171&amp;O171="","入会前","手続き中")))</f>
        <v/>
      </c>
      <c r="Q171" s="24" t="n"/>
      <c r="R171" s="24" t="n"/>
      <c r="S171" s="10">
        <f>IF(OR(D171="",R171=""),"",TODAY()-R171)</f>
        <v/>
      </c>
      <c r="T171" s="22" t="n"/>
      <c r="U171" s="24" t="n"/>
      <c r="V171" s="23" t="n"/>
      <c r="W171" s="14">
        <f>IF(OR(D171="",V171="辞退",V171="保留",P171="✅正式"),"",TRIM(IF(AND(U171&lt;&gt;"",U171&lt;TODAY()),"期日超過 ","")&amp;IF(AND(S171&lt;&gt;"",S171&gt;='設定'!$B$9),"放置"&amp;S171&amp;"日 ","")&amp;IF(AND(J171="CCS済",M171&lt;&gt;"✓"),"CCS後の申込待ち ","")&amp;IF(AND(M171="✓",N171&lt;&gt;"✓"),"振込待ち ","")&amp;IF(AND(N171="✓",O171&lt;&gt;"✓"),"同意書待ち ","")&amp;IF(T171="","次アクション未設定","")))</f>
        <v/>
      </c>
      <c r="X171" s="10" t="n"/>
      <c r="Y171" s="22" t="n"/>
    </row>
    <row r="172">
      <c r="A172" s="10">
        <f>IF(D172="","",ROW()-4)</f>
        <v/>
      </c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3" t="n"/>
      <c r="K172" s="24" t="n"/>
      <c r="L172" s="22" t="n"/>
      <c r="M172" s="23" t="n"/>
      <c r="N172" s="23" t="n"/>
      <c r="O172" s="23" t="n"/>
      <c r="P172" s="10">
        <f>IF(D172="","",IF(AND(M172="✓",N172="✓",O172="✓"),"✅正式",IF(M172&amp;N172&amp;O172="","入会前","手続き中")))</f>
        <v/>
      </c>
      <c r="Q172" s="24" t="n"/>
      <c r="R172" s="24" t="n"/>
      <c r="S172" s="10">
        <f>IF(OR(D172="",R172=""),"",TODAY()-R172)</f>
        <v/>
      </c>
      <c r="T172" s="22" t="n"/>
      <c r="U172" s="24" t="n"/>
      <c r="V172" s="23" t="n"/>
      <c r="W172" s="14">
        <f>IF(OR(D172="",V172="辞退",V172="保留",P172="✅正式"),"",TRIM(IF(AND(U172&lt;&gt;"",U172&lt;TODAY()),"期日超過 ","")&amp;IF(AND(S172&lt;&gt;"",S172&gt;='設定'!$B$9),"放置"&amp;S172&amp;"日 ","")&amp;IF(AND(J172="CCS済",M172&lt;&gt;"✓"),"CCS後の申込待ち ","")&amp;IF(AND(M172="✓",N172&lt;&gt;"✓"),"振込待ち ","")&amp;IF(AND(N172="✓",O172&lt;&gt;"✓"),"同意書待ち ","")&amp;IF(T172="","次アクション未設定","")))</f>
        <v/>
      </c>
      <c r="X172" s="10" t="n"/>
      <c r="Y172" s="22" t="n"/>
    </row>
    <row r="173">
      <c r="A173" s="10">
        <f>IF(D173="","",ROW()-4)</f>
        <v/>
      </c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4" t="n"/>
      <c r="L173" s="22" t="n"/>
      <c r="M173" s="23" t="n"/>
      <c r="N173" s="23" t="n"/>
      <c r="O173" s="23" t="n"/>
      <c r="P173" s="10">
        <f>IF(D173="","",IF(AND(M173="✓",N173="✓",O173="✓"),"✅正式",IF(M173&amp;N173&amp;O173="","入会前","手続き中")))</f>
        <v/>
      </c>
      <c r="Q173" s="24" t="n"/>
      <c r="R173" s="24" t="n"/>
      <c r="S173" s="10">
        <f>IF(OR(D173="",R173=""),"",TODAY()-R173)</f>
        <v/>
      </c>
      <c r="T173" s="22" t="n"/>
      <c r="U173" s="24" t="n"/>
      <c r="V173" s="23" t="n"/>
      <c r="W173" s="14">
        <f>IF(OR(D173="",V173="辞退",V173="保留",P173="✅正式"),"",TRIM(IF(AND(U173&lt;&gt;"",U173&lt;TODAY()),"期日超過 ","")&amp;IF(AND(S173&lt;&gt;"",S173&gt;='設定'!$B$9),"放置"&amp;S173&amp;"日 ","")&amp;IF(AND(J173="CCS済",M173&lt;&gt;"✓"),"CCS後の申込待ち ","")&amp;IF(AND(M173="✓",N173&lt;&gt;"✓"),"振込待ち ","")&amp;IF(AND(N173="✓",O173&lt;&gt;"✓"),"同意書待ち ","")&amp;IF(T173="","次アクション未設定","")))</f>
        <v/>
      </c>
      <c r="X173" s="10" t="n"/>
      <c r="Y173" s="22" t="n"/>
    </row>
    <row r="174">
      <c r="A174" s="10">
        <f>IF(D174="","",ROW()-4)</f>
        <v/>
      </c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3" t="n"/>
      <c r="K174" s="24" t="n"/>
      <c r="L174" s="22" t="n"/>
      <c r="M174" s="23" t="n"/>
      <c r="N174" s="23" t="n"/>
      <c r="O174" s="23" t="n"/>
      <c r="P174" s="10">
        <f>IF(D174="","",IF(AND(M174="✓",N174="✓",O174="✓"),"✅正式",IF(M174&amp;N174&amp;O174="","入会前","手続き中")))</f>
        <v/>
      </c>
      <c r="Q174" s="24" t="n"/>
      <c r="R174" s="24" t="n"/>
      <c r="S174" s="10">
        <f>IF(OR(D174="",R174=""),"",TODAY()-R174)</f>
        <v/>
      </c>
      <c r="T174" s="22" t="n"/>
      <c r="U174" s="24" t="n"/>
      <c r="V174" s="23" t="n"/>
      <c r="W174" s="14">
        <f>IF(OR(D174="",V174="辞退",V174="保留",P174="✅正式"),"",TRIM(IF(AND(U174&lt;&gt;"",U174&lt;TODAY()),"期日超過 ","")&amp;IF(AND(S174&lt;&gt;"",S174&gt;='設定'!$B$9),"放置"&amp;S174&amp;"日 ","")&amp;IF(AND(J174="CCS済",M174&lt;&gt;"✓"),"CCS後の申込待ち ","")&amp;IF(AND(M174="✓",N174&lt;&gt;"✓"),"振込待ち ","")&amp;IF(AND(N174="✓",O174&lt;&gt;"✓"),"同意書待ち ","")&amp;IF(T174="","次アクション未設定","")))</f>
        <v/>
      </c>
      <c r="X174" s="10" t="n"/>
      <c r="Y174" s="22" t="n"/>
    </row>
    <row r="175">
      <c r="A175" s="10">
        <f>IF(D175="","",ROW()-4)</f>
        <v/>
      </c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4" t="n"/>
      <c r="L175" s="22" t="n"/>
      <c r="M175" s="23" t="n"/>
      <c r="N175" s="23" t="n"/>
      <c r="O175" s="23" t="n"/>
      <c r="P175" s="10">
        <f>IF(D175="","",IF(AND(M175="✓",N175="✓",O175="✓"),"✅正式",IF(M175&amp;N175&amp;O175="","入会前","手続き中")))</f>
        <v/>
      </c>
      <c r="Q175" s="24" t="n"/>
      <c r="R175" s="24" t="n"/>
      <c r="S175" s="10">
        <f>IF(OR(D175="",R175=""),"",TODAY()-R175)</f>
        <v/>
      </c>
      <c r="T175" s="22" t="n"/>
      <c r="U175" s="24" t="n"/>
      <c r="V175" s="23" t="n"/>
      <c r="W175" s="14">
        <f>IF(OR(D175="",V175="辞退",V175="保留",P175="✅正式"),"",TRIM(IF(AND(U175&lt;&gt;"",U175&lt;TODAY()),"期日超過 ","")&amp;IF(AND(S175&lt;&gt;"",S175&gt;='設定'!$B$9),"放置"&amp;S175&amp;"日 ","")&amp;IF(AND(J175="CCS済",M175&lt;&gt;"✓"),"CCS後の申込待ち ","")&amp;IF(AND(M175="✓",N175&lt;&gt;"✓"),"振込待ち ","")&amp;IF(AND(N175="✓",O175&lt;&gt;"✓"),"同意書待ち ","")&amp;IF(T175="","次アクション未設定","")))</f>
        <v/>
      </c>
      <c r="X175" s="10" t="n"/>
      <c r="Y175" s="22" t="n"/>
    </row>
    <row r="176">
      <c r="A176" s="10">
        <f>IF(D176="","",ROW()-4)</f>
        <v/>
      </c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3" t="n"/>
      <c r="K176" s="24" t="n"/>
      <c r="L176" s="22" t="n"/>
      <c r="M176" s="23" t="n"/>
      <c r="N176" s="23" t="n"/>
      <c r="O176" s="23" t="n"/>
      <c r="P176" s="10">
        <f>IF(D176="","",IF(AND(M176="✓",N176="✓",O176="✓"),"✅正式",IF(M176&amp;N176&amp;O176="","入会前","手続き中")))</f>
        <v/>
      </c>
      <c r="Q176" s="24" t="n"/>
      <c r="R176" s="24" t="n"/>
      <c r="S176" s="10">
        <f>IF(OR(D176="",R176=""),"",TODAY()-R176)</f>
        <v/>
      </c>
      <c r="T176" s="22" t="n"/>
      <c r="U176" s="24" t="n"/>
      <c r="V176" s="23" t="n"/>
      <c r="W176" s="14">
        <f>IF(OR(D176="",V176="辞退",V176="保留",P176="✅正式"),"",TRIM(IF(AND(U176&lt;&gt;"",U176&lt;TODAY()),"期日超過 ","")&amp;IF(AND(S176&lt;&gt;"",S176&gt;='設定'!$B$9),"放置"&amp;S176&amp;"日 ","")&amp;IF(AND(J176="CCS済",M176&lt;&gt;"✓"),"CCS後の申込待ち ","")&amp;IF(AND(M176="✓",N176&lt;&gt;"✓"),"振込待ち ","")&amp;IF(AND(N176="✓",O176&lt;&gt;"✓"),"同意書待ち ","")&amp;IF(T176="","次アクション未設定","")))</f>
        <v/>
      </c>
      <c r="X176" s="10" t="n"/>
      <c r="Y176" s="22" t="n"/>
    </row>
    <row r="177">
      <c r="A177" s="10">
        <f>IF(D177="","",ROW()-4)</f>
        <v/>
      </c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4" t="n"/>
      <c r="L177" s="22" t="n"/>
      <c r="M177" s="23" t="n"/>
      <c r="N177" s="23" t="n"/>
      <c r="O177" s="23" t="n"/>
      <c r="P177" s="10">
        <f>IF(D177="","",IF(AND(M177="✓",N177="✓",O177="✓"),"✅正式",IF(M177&amp;N177&amp;O177="","入会前","手続き中")))</f>
        <v/>
      </c>
      <c r="Q177" s="24" t="n"/>
      <c r="R177" s="24" t="n"/>
      <c r="S177" s="10">
        <f>IF(OR(D177="",R177=""),"",TODAY()-R177)</f>
        <v/>
      </c>
      <c r="T177" s="22" t="n"/>
      <c r="U177" s="24" t="n"/>
      <c r="V177" s="23" t="n"/>
      <c r="W177" s="14">
        <f>IF(OR(D177="",V177="辞退",V177="保留",P177="✅正式"),"",TRIM(IF(AND(U177&lt;&gt;"",U177&lt;TODAY()),"期日超過 ","")&amp;IF(AND(S177&lt;&gt;"",S177&gt;='設定'!$B$9),"放置"&amp;S177&amp;"日 ","")&amp;IF(AND(J177="CCS済",M177&lt;&gt;"✓"),"CCS後の申込待ち ","")&amp;IF(AND(M177="✓",N177&lt;&gt;"✓"),"振込待ち ","")&amp;IF(AND(N177="✓",O177&lt;&gt;"✓"),"同意書待ち ","")&amp;IF(T177="","次アクション未設定","")))</f>
        <v/>
      </c>
      <c r="X177" s="10" t="n"/>
      <c r="Y177" s="22" t="n"/>
    </row>
    <row r="178">
      <c r="A178" s="10">
        <f>IF(D178="","",ROW()-4)</f>
        <v/>
      </c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3" t="n"/>
      <c r="K178" s="24" t="n"/>
      <c r="L178" s="22" t="n"/>
      <c r="M178" s="23" t="n"/>
      <c r="N178" s="23" t="n"/>
      <c r="O178" s="23" t="n"/>
      <c r="P178" s="10">
        <f>IF(D178="","",IF(AND(M178="✓",N178="✓",O178="✓"),"✅正式",IF(M178&amp;N178&amp;O178="","入会前","手続き中")))</f>
        <v/>
      </c>
      <c r="Q178" s="24" t="n"/>
      <c r="R178" s="24" t="n"/>
      <c r="S178" s="10">
        <f>IF(OR(D178="",R178=""),"",TODAY()-R178)</f>
        <v/>
      </c>
      <c r="T178" s="22" t="n"/>
      <c r="U178" s="24" t="n"/>
      <c r="V178" s="23" t="n"/>
      <c r="W178" s="14">
        <f>IF(OR(D178="",V178="辞退",V178="保留",P178="✅正式"),"",TRIM(IF(AND(U178&lt;&gt;"",U178&lt;TODAY()),"期日超過 ","")&amp;IF(AND(S178&lt;&gt;"",S178&gt;='設定'!$B$9),"放置"&amp;S178&amp;"日 ","")&amp;IF(AND(J178="CCS済",M178&lt;&gt;"✓"),"CCS後の申込待ち ","")&amp;IF(AND(M178="✓",N178&lt;&gt;"✓"),"振込待ち ","")&amp;IF(AND(N178="✓",O178&lt;&gt;"✓"),"同意書待ち ","")&amp;IF(T178="","次アクション未設定","")))</f>
        <v/>
      </c>
      <c r="X178" s="10" t="n"/>
      <c r="Y178" s="22" t="n"/>
    </row>
    <row r="179">
      <c r="A179" s="10">
        <f>IF(D179="","",ROW()-4)</f>
        <v/>
      </c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4" t="n"/>
      <c r="L179" s="22" t="n"/>
      <c r="M179" s="23" t="n"/>
      <c r="N179" s="23" t="n"/>
      <c r="O179" s="23" t="n"/>
      <c r="P179" s="10">
        <f>IF(D179="","",IF(AND(M179="✓",N179="✓",O179="✓"),"✅正式",IF(M179&amp;N179&amp;O179="","入会前","手続き中")))</f>
        <v/>
      </c>
      <c r="Q179" s="24" t="n"/>
      <c r="R179" s="24" t="n"/>
      <c r="S179" s="10">
        <f>IF(OR(D179="",R179=""),"",TODAY()-R179)</f>
        <v/>
      </c>
      <c r="T179" s="22" t="n"/>
      <c r="U179" s="24" t="n"/>
      <c r="V179" s="23" t="n"/>
      <c r="W179" s="14">
        <f>IF(OR(D179="",V179="辞退",V179="保留",P179="✅正式"),"",TRIM(IF(AND(U179&lt;&gt;"",U179&lt;TODAY()),"期日超過 ","")&amp;IF(AND(S179&lt;&gt;"",S179&gt;='設定'!$B$9),"放置"&amp;S179&amp;"日 ","")&amp;IF(AND(J179="CCS済",M179&lt;&gt;"✓"),"CCS後の申込待ち ","")&amp;IF(AND(M179="✓",N179&lt;&gt;"✓"),"振込待ち ","")&amp;IF(AND(N179="✓",O179&lt;&gt;"✓"),"同意書待ち ","")&amp;IF(T179="","次アクション未設定","")))</f>
        <v/>
      </c>
      <c r="X179" s="10" t="n"/>
      <c r="Y179" s="22" t="n"/>
    </row>
    <row r="180">
      <c r="A180" s="10">
        <f>IF(D180="","",ROW()-4)</f>
        <v/>
      </c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3" t="n"/>
      <c r="K180" s="24" t="n"/>
      <c r="L180" s="22" t="n"/>
      <c r="M180" s="23" t="n"/>
      <c r="N180" s="23" t="n"/>
      <c r="O180" s="23" t="n"/>
      <c r="P180" s="10">
        <f>IF(D180="","",IF(AND(M180="✓",N180="✓",O180="✓"),"✅正式",IF(M180&amp;N180&amp;O180="","入会前","手続き中")))</f>
        <v/>
      </c>
      <c r="Q180" s="24" t="n"/>
      <c r="R180" s="24" t="n"/>
      <c r="S180" s="10">
        <f>IF(OR(D180="",R180=""),"",TODAY()-R180)</f>
        <v/>
      </c>
      <c r="T180" s="22" t="n"/>
      <c r="U180" s="24" t="n"/>
      <c r="V180" s="23" t="n"/>
      <c r="W180" s="14">
        <f>IF(OR(D180="",V180="辞退",V180="保留",P180="✅正式"),"",TRIM(IF(AND(U180&lt;&gt;"",U180&lt;TODAY()),"期日超過 ","")&amp;IF(AND(S180&lt;&gt;"",S180&gt;='設定'!$B$9),"放置"&amp;S180&amp;"日 ","")&amp;IF(AND(J180="CCS済",M180&lt;&gt;"✓"),"CCS後の申込待ち ","")&amp;IF(AND(M180="✓",N180&lt;&gt;"✓"),"振込待ち ","")&amp;IF(AND(N180="✓",O180&lt;&gt;"✓"),"同意書待ち ","")&amp;IF(T180="","次アクション未設定","")))</f>
        <v/>
      </c>
      <c r="X180" s="10" t="n"/>
      <c r="Y180" s="22" t="n"/>
    </row>
    <row r="181">
      <c r="A181" s="10">
        <f>IF(D181="","",ROW()-4)</f>
        <v/>
      </c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4" t="n"/>
      <c r="L181" s="22" t="n"/>
      <c r="M181" s="23" t="n"/>
      <c r="N181" s="23" t="n"/>
      <c r="O181" s="23" t="n"/>
      <c r="P181" s="10">
        <f>IF(D181="","",IF(AND(M181="✓",N181="✓",O181="✓"),"✅正式",IF(M181&amp;N181&amp;O181="","入会前","手続き中")))</f>
        <v/>
      </c>
      <c r="Q181" s="24" t="n"/>
      <c r="R181" s="24" t="n"/>
      <c r="S181" s="10">
        <f>IF(OR(D181="",R181=""),"",TODAY()-R181)</f>
        <v/>
      </c>
      <c r="T181" s="22" t="n"/>
      <c r="U181" s="24" t="n"/>
      <c r="V181" s="23" t="n"/>
      <c r="W181" s="14">
        <f>IF(OR(D181="",V181="辞退",V181="保留",P181="✅正式"),"",TRIM(IF(AND(U181&lt;&gt;"",U181&lt;TODAY()),"期日超過 ","")&amp;IF(AND(S181&lt;&gt;"",S181&gt;='設定'!$B$9),"放置"&amp;S181&amp;"日 ","")&amp;IF(AND(J181="CCS済",M181&lt;&gt;"✓"),"CCS後の申込待ち ","")&amp;IF(AND(M181="✓",N181&lt;&gt;"✓"),"振込待ち ","")&amp;IF(AND(N181="✓",O181&lt;&gt;"✓"),"同意書待ち ","")&amp;IF(T181="","次アクション未設定","")))</f>
        <v/>
      </c>
      <c r="X181" s="10" t="n"/>
      <c r="Y181" s="22" t="n"/>
    </row>
    <row r="182">
      <c r="A182" s="10">
        <f>IF(D182="","",ROW()-4)</f>
        <v/>
      </c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3" t="n"/>
      <c r="K182" s="24" t="n"/>
      <c r="L182" s="22" t="n"/>
      <c r="M182" s="23" t="n"/>
      <c r="N182" s="23" t="n"/>
      <c r="O182" s="23" t="n"/>
      <c r="P182" s="10">
        <f>IF(D182="","",IF(AND(M182="✓",N182="✓",O182="✓"),"✅正式",IF(M182&amp;N182&amp;O182="","入会前","手続き中")))</f>
        <v/>
      </c>
      <c r="Q182" s="24" t="n"/>
      <c r="R182" s="24" t="n"/>
      <c r="S182" s="10">
        <f>IF(OR(D182="",R182=""),"",TODAY()-R182)</f>
        <v/>
      </c>
      <c r="T182" s="22" t="n"/>
      <c r="U182" s="24" t="n"/>
      <c r="V182" s="23" t="n"/>
      <c r="W182" s="14">
        <f>IF(OR(D182="",V182="辞退",V182="保留",P182="✅正式"),"",TRIM(IF(AND(U182&lt;&gt;"",U182&lt;TODAY()),"期日超過 ","")&amp;IF(AND(S182&lt;&gt;"",S182&gt;='設定'!$B$9),"放置"&amp;S182&amp;"日 ","")&amp;IF(AND(J182="CCS済",M182&lt;&gt;"✓"),"CCS後の申込待ち ","")&amp;IF(AND(M182="✓",N182&lt;&gt;"✓"),"振込待ち ","")&amp;IF(AND(N182="✓",O182&lt;&gt;"✓"),"同意書待ち ","")&amp;IF(T182="","次アクション未設定","")))</f>
        <v/>
      </c>
      <c r="X182" s="10" t="n"/>
      <c r="Y182" s="22" t="n"/>
    </row>
    <row r="183">
      <c r="A183" s="10">
        <f>IF(D183="","",ROW()-4)</f>
        <v/>
      </c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4" t="n"/>
      <c r="L183" s="22" t="n"/>
      <c r="M183" s="23" t="n"/>
      <c r="N183" s="23" t="n"/>
      <c r="O183" s="23" t="n"/>
      <c r="P183" s="10">
        <f>IF(D183="","",IF(AND(M183="✓",N183="✓",O183="✓"),"✅正式",IF(M183&amp;N183&amp;O183="","入会前","手続き中")))</f>
        <v/>
      </c>
      <c r="Q183" s="24" t="n"/>
      <c r="R183" s="24" t="n"/>
      <c r="S183" s="10">
        <f>IF(OR(D183="",R183=""),"",TODAY()-R183)</f>
        <v/>
      </c>
      <c r="T183" s="22" t="n"/>
      <c r="U183" s="24" t="n"/>
      <c r="V183" s="23" t="n"/>
      <c r="W183" s="14">
        <f>IF(OR(D183="",V183="辞退",V183="保留",P183="✅正式"),"",TRIM(IF(AND(U183&lt;&gt;"",U183&lt;TODAY()),"期日超過 ","")&amp;IF(AND(S183&lt;&gt;"",S183&gt;='設定'!$B$9),"放置"&amp;S183&amp;"日 ","")&amp;IF(AND(J183="CCS済",M183&lt;&gt;"✓"),"CCS後の申込待ち ","")&amp;IF(AND(M183="✓",N183&lt;&gt;"✓"),"振込待ち ","")&amp;IF(AND(N183="✓",O183&lt;&gt;"✓"),"同意書待ち ","")&amp;IF(T183="","次アクション未設定","")))</f>
        <v/>
      </c>
      <c r="X183" s="10" t="n"/>
      <c r="Y183" s="22" t="n"/>
    </row>
    <row r="184">
      <c r="A184" s="10">
        <f>IF(D184="","",ROW()-4)</f>
        <v/>
      </c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3" t="n"/>
      <c r="K184" s="24" t="n"/>
      <c r="L184" s="22" t="n"/>
      <c r="M184" s="23" t="n"/>
      <c r="N184" s="23" t="n"/>
      <c r="O184" s="23" t="n"/>
      <c r="P184" s="10">
        <f>IF(D184="","",IF(AND(M184="✓",N184="✓",O184="✓"),"✅正式",IF(M184&amp;N184&amp;O184="","入会前","手続き中")))</f>
        <v/>
      </c>
      <c r="Q184" s="24" t="n"/>
      <c r="R184" s="24" t="n"/>
      <c r="S184" s="10">
        <f>IF(OR(D184="",R184=""),"",TODAY()-R184)</f>
        <v/>
      </c>
      <c r="T184" s="22" t="n"/>
      <c r="U184" s="24" t="n"/>
      <c r="V184" s="23" t="n"/>
      <c r="W184" s="14">
        <f>IF(OR(D184="",V184="辞退",V184="保留",P184="✅正式"),"",TRIM(IF(AND(U184&lt;&gt;"",U184&lt;TODAY()),"期日超過 ","")&amp;IF(AND(S184&lt;&gt;"",S184&gt;='設定'!$B$9),"放置"&amp;S184&amp;"日 ","")&amp;IF(AND(J184="CCS済",M184&lt;&gt;"✓"),"CCS後の申込待ち ","")&amp;IF(AND(M184="✓",N184&lt;&gt;"✓"),"振込待ち ","")&amp;IF(AND(N184="✓",O184&lt;&gt;"✓"),"同意書待ち ","")&amp;IF(T184="","次アクション未設定","")))</f>
        <v/>
      </c>
      <c r="X184" s="10" t="n"/>
      <c r="Y184" s="22" t="n"/>
    </row>
    <row r="185">
      <c r="A185" s="10">
        <f>IF(D185="","",ROW()-4)</f>
        <v/>
      </c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4" t="n"/>
      <c r="L185" s="22" t="n"/>
      <c r="M185" s="23" t="n"/>
      <c r="N185" s="23" t="n"/>
      <c r="O185" s="23" t="n"/>
      <c r="P185" s="10">
        <f>IF(D185="","",IF(AND(M185="✓",N185="✓",O185="✓"),"✅正式",IF(M185&amp;N185&amp;O185="","入会前","手続き中")))</f>
        <v/>
      </c>
      <c r="Q185" s="24" t="n"/>
      <c r="R185" s="24" t="n"/>
      <c r="S185" s="10">
        <f>IF(OR(D185="",R185=""),"",TODAY()-R185)</f>
        <v/>
      </c>
      <c r="T185" s="22" t="n"/>
      <c r="U185" s="24" t="n"/>
      <c r="V185" s="23" t="n"/>
      <c r="W185" s="14">
        <f>IF(OR(D185="",V185="辞退",V185="保留",P185="✅正式"),"",TRIM(IF(AND(U185&lt;&gt;"",U185&lt;TODAY()),"期日超過 ","")&amp;IF(AND(S185&lt;&gt;"",S185&gt;='設定'!$B$9),"放置"&amp;S185&amp;"日 ","")&amp;IF(AND(J185="CCS済",M185&lt;&gt;"✓"),"CCS後の申込待ち ","")&amp;IF(AND(M185="✓",N185&lt;&gt;"✓"),"振込待ち ","")&amp;IF(AND(N185="✓",O185&lt;&gt;"✓"),"同意書待ち ","")&amp;IF(T185="","次アクション未設定","")))</f>
        <v/>
      </c>
      <c r="X185" s="10" t="n"/>
      <c r="Y185" s="22" t="n"/>
    </row>
    <row r="186">
      <c r="A186" s="10">
        <f>IF(D186="","",ROW()-4)</f>
        <v/>
      </c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3" t="n"/>
      <c r="K186" s="24" t="n"/>
      <c r="L186" s="22" t="n"/>
      <c r="M186" s="23" t="n"/>
      <c r="N186" s="23" t="n"/>
      <c r="O186" s="23" t="n"/>
      <c r="P186" s="10">
        <f>IF(D186="","",IF(AND(M186="✓",N186="✓",O186="✓"),"✅正式",IF(M186&amp;N186&amp;O186="","入会前","手続き中")))</f>
        <v/>
      </c>
      <c r="Q186" s="24" t="n"/>
      <c r="R186" s="24" t="n"/>
      <c r="S186" s="10">
        <f>IF(OR(D186="",R186=""),"",TODAY()-R186)</f>
        <v/>
      </c>
      <c r="T186" s="22" t="n"/>
      <c r="U186" s="24" t="n"/>
      <c r="V186" s="23" t="n"/>
      <c r="W186" s="14">
        <f>IF(OR(D186="",V186="辞退",V186="保留",P186="✅正式"),"",TRIM(IF(AND(U186&lt;&gt;"",U186&lt;TODAY()),"期日超過 ","")&amp;IF(AND(S186&lt;&gt;"",S186&gt;='設定'!$B$9),"放置"&amp;S186&amp;"日 ","")&amp;IF(AND(J186="CCS済",M186&lt;&gt;"✓"),"CCS後の申込待ち ","")&amp;IF(AND(M186="✓",N186&lt;&gt;"✓"),"振込待ち ","")&amp;IF(AND(N186="✓",O186&lt;&gt;"✓"),"同意書待ち ","")&amp;IF(T186="","次アクション未設定","")))</f>
        <v/>
      </c>
      <c r="X186" s="10" t="n"/>
      <c r="Y186" s="22" t="n"/>
    </row>
    <row r="187">
      <c r="A187" s="10">
        <f>IF(D187="","",ROW()-4)</f>
        <v/>
      </c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4" t="n"/>
      <c r="L187" s="22" t="n"/>
      <c r="M187" s="23" t="n"/>
      <c r="N187" s="23" t="n"/>
      <c r="O187" s="23" t="n"/>
      <c r="P187" s="10">
        <f>IF(D187="","",IF(AND(M187="✓",N187="✓",O187="✓"),"✅正式",IF(M187&amp;N187&amp;O187="","入会前","手続き中")))</f>
        <v/>
      </c>
      <c r="Q187" s="24" t="n"/>
      <c r="R187" s="24" t="n"/>
      <c r="S187" s="10">
        <f>IF(OR(D187="",R187=""),"",TODAY()-R187)</f>
        <v/>
      </c>
      <c r="T187" s="22" t="n"/>
      <c r="U187" s="24" t="n"/>
      <c r="V187" s="23" t="n"/>
      <c r="W187" s="14">
        <f>IF(OR(D187="",V187="辞退",V187="保留",P187="✅正式"),"",TRIM(IF(AND(U187&lt;&gt;"",U187&lt;TODAY()),"期日超過 ","")&amp;IF(AND(S187&lt;&gt;"",S187&gt;='設定'!$B$9),"放置"&amp;S187&amp;"日 ","")&amp;IF(AND(J187="CCS済",M187&lt;&gt;"✓"),"CCS後の申込待ち ","")&amp;IF(AND(M187="✓",N187&lt;&gt;"✓"),"振込待ち ","")&amp;IF(AND(N187="✓",O187&lt;&gt;"✓"),"同意書待ち ","")&amp;IF(T187="","次アクション未設定","")))</f>
        <v/>
      </c>
      <c r="X187" s="10" t="n"/>
      <c r="Y187" s="22" t="n"/>
    </row>
    <row r="188">
      <c r="A188" s="10">
        <f>IF(D188="","",ROW()-4)</f>
        <v/>
      </c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3" t="n"/>
      <c r="K188" s="24" t="n"/>
      <c r="L188" s="22" t="n"/>
      <c r="M188" s="23" t="n"/>
      <c r="N188" s="23" t="n"/>
      <c r="O188" s="23" t="n"/>
      <c r="P188" s="10">
        <f>IF(D188="","",IF(AND(M188="✓",N188="✓",O188="✓"),"✅正式",IF(M188&amp;N188&amp;O188="","入会前","手続き中")))</f>
        <v/>
      </c>
      <c r="Q188" s="24" t="n"/>
      <c r="R188" s="24" t="n"/>
      <c r="S188" s="10">
        <f>IF(OR(D188="",R188=""),"",TODAY()-R188)</f>
        <v/>
      </c>
      <c r="T188" s="22" t="n"/>
      <c r="U188" s="24" t="n"/>
      <c r="V188" s="23" t="n"/>
      <c r="W188" s="14">
        <f>IF(OR(D188="",V188="辞退",V188="保留",P188="✅正式"),"",TRIM(IF(AND(U188&lt;&gt;"",U188&lt;TODAY()),"期日超過 ","")&amp;IF(AND(S188&lt;&gt;"",S188&gt;='設定'!$B$9),"放置"&amp;S188&amp;"日 ","")&amp;IF(AND(J188="CCS済",M188&lt;&gt;"✓"),"CCS後の申込待ち ","")&amp;IF(AND(M188="✓",N188&lt;&gt;"✓"),"振込待ち ","")&amp;IF(AND(N188="✓",O188&lt;&gt;"✓"),"同意書待ち ","")&amp;IF(T188="","次アクション未設定","")))</f>
        <v/>
      </c>
      <c r="X188" s="10" t="n"/>
      <c r="Y188" s="22" t="n"/>
    </row>
    <row r="189">
      <c r="A189" s="10">
        <f>IF(D189="","",ROW()-4)</f>
        <v/>
      </c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4" t="n"/>
      <c r="L189" s="22" t="n"/>
      <c r="M189" s="23" t="n"/>
      <c r="N189" s="23" t="n"/>
      <c r="O189" s="23" t="n"/>
      <c r="P189" s="10">
        <f>IF(D189="","",IF(AND(M189="✓",N189="✓",O189="✓"),"✅正式",IF(M189&amp;N189&amp;O189="","入会前","手続き中")))</f>
        <v/>
      </c>
      <c r="Q189" s="24" t="n"/>
      <c r="R189" s="24" t="n"/>
      <c r="S189" s="10">
        <f>IF(OR(D189="",R189=""),"",TODAY()-R189)</f>
        <v/>
      </c>
      <c r="T189" s="22" t="n"/>
      <c r="U189" s="24" t="n"/>
      <c r="V189" s="23" t="n"/>
      <c r="W189" s="14">
        <f>IF(OR(D189="",V189="辞退",V189="保留",P189="✅正式"),"",TRIM(IF(AND(U189&lt;&gt;"",U189&lt;TODAY()),"期日超過 ","")&amp;IF(AND(S189&lt;&gt;"",S189&gt;='設定'!$B$9),"放置"&amp;S189&amp;"日 ","")&amp;IF(AND(J189="CCS済",M189&lt;&gt;"✓"),"CCS後の申込待ち ","")&amp;IF(AND(M189="✓",N189&lt;&gt;"✓"),"振込待ち ","")&amp;IF(AND(N189="✓",O189&lt;&gt;"✓"),"同意書待ち ","")&amp;IF(T189="","次アクション未設定","")))</f>
        <v/>
      </c>
      <c r="X189" s="10" t="n"/>
      <c r="Y189" s="22" t="n"/>
    </row>
    <row r="190">
      <c r="A190" s="10">
        <f>IF(D190="","",ROW()-4)</f>
        <v/>
      </c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3" t="n"/>
      <c r="K190" s="24" t="n"/>
      <c r="L190" s="22" t="n"/>
      <c r="M190" s="23" t="n"/>
      <c r="N190" s="23" t="n"/>
      <c r="O190" s="23" t="n"/>
      <c r="P190" s="10">
        <f>IF(D190="","",IF(AND(M190="✓",N190="✓",O190="✓"),"✅正式",IF(M190&amp;N190&amp;O190="","入会前","手続き中")))</f>
        <v/>
      </c>
      <c r="Q190" s="24" t="n"/>
      <c r="R190" s="24" t="n"/>
      <c r="S190" s="10">
        <f>IF(OR(D190="",R190=""),"",TODAY()-R190)</f>
        <v/>
      </c>
      <c r="T190" s="22" t="n"/>
      <c r="U190" s="24" t="n"/>
      <c r="V190" s="23" t="n"/>
      <c r="W190" s="14">
        <f>IF(OR(D190="",V190="辞退",V190="保留",P190="✅正式"),"",TRIM(IF(AND(U190&lt;&gt;"",U190&lt;TODAY()),"期日超過 ","")&amp;IF(AND(S190&lt;&gt;"",S190&gt;='設定'!$B$9),"放置"&amp;S190&amp;"日 ","")&amp;IF(AND(J190="CCS済",M190&lt;&gt;"✓"),"CCS後の申込待ち ","")&amp;IF(AND(M190="✓",N190&lt;&gt;"✓"),"振込待ち ","")&amp;IF(AND(N190="✓",O190&lt;&gt;"✓"),"同意書待ち ","")&amp;IF(T190="","次アクション未設定","")))</f>
        <v/>
      </c>
      <c r="X190" s="10" t="n"/>
      <c r="Y190" s="22" t="n"/>
    </row>
    <row r="191">
      <c r="A191" s="10">
        <f>IF(D191="","",ROW()-4)</f>
        <v/>
      </c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4" t="n"/>
      <c r="L191" s="22" t="n"/>
      <c r="M191" s="23" t="n"/>
      <c r="N191" s="23" t="n"/>
      <c r="O191" s="23" t="n"/>
      <c r="P191" s="10">
        <f>IF(D191="","",IF(AND(M191="✓",N191="✓",O191="✓"),"✅正式",IF(M191&amp;N191&amp;O191="","入会前","手続き中")))</f>
        <v/>
      </c>
      <c r="Q191" s="24" t="n"/>
      <c r="R191" s="24" t="n"/>
      <c r="S191" s="10">
        <f>IF(OR(D191="",R191=""),"",TODAY()-R191)</f>
        <v/>
      </c>
      <c r="T191" s="22" t="n"/>
      <c r="U191" s="24" t="n"/>
      <c r="V191" s="23" t="n"/>
      <c r="W191" s="14">
        <f>IF(OR(D191="",V191="辞退",V191="保留",P191="✅正式"),"",TRIM(IF(AND(U191&lt;&gt;"",U191&lt;TODAY()),"期日超過 ","")&amp;IF(AND(S191&lt;&gt;"",S191&gt;='設定'!$B$9),"放置"&amp;S191&amp;"日 ","")&amp;IF(AND(J191="CCS済",M191&lt;&gt;"✓"),"CCS後の申込待ち ","")&amp;IF(AND(M191="✓",N191&lt;&gt;"✓"),"振込待ち ","")&amp;IF(AND(N191="✓",O191&lt;&gt;"✓"),"同意書待ち ","")&amp;IF(T191="","次アクション未設定","")))</f>
        <v/>
      </c>
      <c r="X191" s="10" t="n"/>
      <c r="Y191" s="22" t="n"/>
    </row>
    <row r="192">
      <c r="A192" s="10">
        <f>IF(D192="","",ROW()-4)</f>
        <v/>
      </c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3" t="n"/>
      <c r="K192" s="24" t="n"/>
      <c r="L192" s="22" t="n"/>
      <c r="M192" s="23" t="n"/>
      <c r="N192" s="23" t="n"/>
      <c r="O192" s="23" t="n"/>
      <c r="P192" s="10">
        <f>IF(D192="","",IF(AND(M192="✓",N192="✓",O192="✓"),"✅正式",IF(M192&amp;N192&amp;O192="","入会前","手続き中")))</f>
        <v/>
      </c>
      <c r="Q192" s="24" t="n"/>
      <c r="R192" s="24" t="n"/>
      <c r="S192" s="10">
        <f>IF(OR(D192="",R192=""),"",TODAY()-R192)</f>
        <v/>
      </c>
      <c r="T192" s="22" t="n"/>
      <c r="U192" s="24" t="n"/>
      <c r="V192" s="23" t="n"/>
      <c r="W192" s="14">
        <f>IF(OR(D192="",V192="辞退",V192="保留",P192="✅正式"),"",TRIM(IF(AND(U192&lt;&gt;"",U192&lt;TODAY()),"期日超過 ","")&amp;IF(AND(S192&lt;&gt;"",S192&gt;='設定'!$B$9),"放置"&amp;S192&amp;"日 ","")&amp;IF(AND(J192="CCS済",M192&lt;&gt;"✓"),"CCS後の申込待ち ","")&amp;IF(AND(M192="✓",N192&lt;&gt;"✓"),"振込待ち ","")&amp;IF(AND(N192="✓",O192&lt;&gt;"✓"),"同意書待ち ","")&amp;IF(T192="","次アクション未設定","")))</f>
        <v/>
      </c>
      <c r="X192" s="10" t="n"/>
      <c r="Y192" s="22" t="n"/>
    </row>
    <row r="193">
      <c r="A193" s="10">
        <f>IF(D193="","",ROW()-4)</f>
        <v/>
      </c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4" t="n"/>
      <c r="L193" s="22" t="n"/>
      <c r="M193" s="23" t="n"/>
      <c r="N193" s="23" t="n"/>
      <c r="O193" s="23" t="n"/>
      <c r="P193" s="10">
        <f>IF(D193="","",IF(AND(M193="✓",N193="✓",O193="✓"),"✅正式",IF(M193&amp;N193&amp;O193="","入会前","手続き中")))</f>
        <v/>
      </c>
      <c r="Q193" s="24" t="n"/>
      <c r="R193" s="24" t="n"/>
      <c r="S193" s="10">
        <f>IF(OR(D193="",R193=""),"",TODAY()-R193)</f>
        <v/>
      </c>
      <c r="T193" s="22" t="n"/>
      <c r="U193" s="24" t="n"/>
      <c r="V193" s="23" t="n"/>
      <c r="W193" s="14">
        <f>IF(OR(D193="",V193="辞退",V193="保留",P193="✅正式"),"",TRIM(IF(AND(U193&lt;&gt;"",U193&lt;TODAY()),"期日超過 ","")&amp;IF(AND(S193&lt;&gt;"",S193&gt;='設定'!$B$9),"放置"&amp;S193&amp;"日 ","")&amp;IF(AND(J193="CCS済",M193&lt;&gt;"✓"),"CCS後の申込待ち ","")&amp;IF(AND(M193="✓",N193&lt;&gt;"✓"),"振込待ち ","")&amp;IF(AND(N193="✓",O193&lt;&gt;"✓"),"同意書待ち ","")&amp;IF(T193="","次アクション未設定","")))</f>
        <v/>
      </c>
      <c r="X193" s="10" t="n"/>
      <c r="Y193" s="22" t="n"/>
    </row>
    <row r="194">
      <c r="A194" s="10">
        <f>IF(D194="","",ROW()-4)</f>
        <v/>
      </c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3" t="n"/>
      <c r="K194" s="24" t="n"/>
      <c r="L194" s="22" t="n"/>
      <c r="M194" s="23" t="n"/>
      <c r="N194" s="23" t="n"/>
      <c r="O194" s="23" t="n"/>
      <c r="P194" s="10">
        <f>IF(D194="","",IF(AND(M194="✓",N194="✓",O194="✓"),"✅正式",IF(M194&amp;N194&amp;O194="","入会前","手続き中")))</f>
        <v/>
      </c>
      <c r="Q194" s="24" t="n"/>
      <c r="R194" s="24" t="n"/>
      <c r="S194" s="10">
        <f>IF(OR(D194="",R194=""),"",TODAY()-R194)</f>
        <v/>
      </c>
      <c r="T194" s="22" t="n"/>
      <c r="U194" s="24" t="n"/>
      <c r="V194" s="23" t="n"/>
      <c r="W194" s="14">
        <f>IF(OR(D194="",V194="辞退",V194="保留",P194="✅正式"),"",TRIM(IF(AND(U194&lt;&gt;"",U194&lt;TODAY()),"期日超過 ","")&amp;IF(AND(S194&lt;&gt;"",S194&gt;='設定'!$B$9),"放置"&amp;S194&amp;"日 ","")&amp;IF(AND(J194="CCS済",M194&lt;&gt;"✓"),"CCS後の申込待ち ","")&amp;IF(AND(M194="✓",N194&lt;&gt;"✓"),"振込待ち ","")&amp;IF(AND(N194="✓",O194&lt;&gt;"✓"),"同意書待ち ","")&amp;IF(T194="","次アクション未設定","")))</f>
        <v/>
      </c>
      <c r="X194" s="10" t="n"/>
      <c r="Y194" s="22" t="n"/>
    </row>
    <row r="195">
      <c r="A195" s="10">
        <f>IF(D195="","",ROW()-4)</f>
        <v/>
      </c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4" t="n"/>
      <c r="L195" s="22" t="n"/>
      <c r="M195" s="23" t="n"/>
      <c r="N195" s="23" t="n"/>
      <c r="O195" s="23" t="n"/>
      <c r="P195" s="10">
        <f>IF(D195="","",IF(AND(M195="✓",N195="✓",O195="✓"),"✅正式",IF(M195&amp;N195&amp;O195="","入会前","手続き中")))</f>
        <v/>
      </c>
      <c r="Q195" s="24" t="n"/>
      <c r="R195" s="24" t="n"/>
      <c r="S195" s="10">
        <f>IF(OR(D195="",R195=""),"",TODAY()-R195)</f>
        <v/>
      </c>
      <c r="T195" s="22" t="n"/>
      <c r="U195" s="24" t="n"/>
      <c r="V195" s="23" t="n"/>
      <c r="W195" s="14">
        <f>IF(OR(D195="",V195="辞退",V195="保留",P195="✅正式"),"",TRIM(IF(AND(U195&lt;&gt;"",U195&lt;TODAY()),"期日超過 ","")&amp;IF(AND(S195&lt;&gt;"",S195&gt;='設定'!$B$9),"放置"&amp;S195&amp;"日 ","")&amp;IF(AND(J195="CCS済",M195&lt;&gt;"✓"),"CCS後の申込待ち ","")&amp;IF(AND(M195="✓",N195&lt;&gt;"✓"),"振込待ち ","")&amp;IF(AND(N195="✓",O195&lt;&gt;"✓"),"同意書待ち ","")&amp;IF(T195="","次アクション未設定","")))</f>
        <v/>
      </c>
      <c r="X195" s="10" t="n"/>
      <c r="Y195" s="22" t="n"/>
    </row>
    <row r="196">
      <c r="A196" s="10">
        <f>IF(D196="","",ROW()-4)</f>
        <v/>
      </c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3" t="n"/>
      <c r="K196" s="24" t="n"/>
      <c r="L196" s="22" t="n"/>
      <c r="M196" s="23" t="n"/>
      <c r="N196" s="23" t="n"/>
      <c r="O196" s="23" t="n"/>
      <c r="P196" s="10">
        <f>IF(D196="","",IF(AND(M196="✓",N196="✓",O196="✓"),"✅正式",IF(M196&amp;N196&amp;O196="","入会前","手続き中")))</f>
        <v/>
      </c>
      <c r="Q196" s="24" t="n"/>
      <c r="R196" s="24" t="n"/>
      <c r="S196" s="10">
        <f>IF(OR(D196="",R196=""),"",TODAY()-R196)</f>
        <v/>
      </c>
      <c r="T196" s="22" t="n"/>
      <c r="U196" s="24" t="n"/>
      <c r="V196" s="23" t="n"/>
      <c r="W196" s="14">
        <f>IF(OR(D196="",V196="辞退",V196="保留",P196="✅正式"),"",TRIM(IF(AND(U196&lt;&gt;"",U196&lt;TODAY()),"期日超過 ","")&amp;IF(AND(S196&lt;&gt;"",S196&gt;='設定'!$B$9),"放置"&amp;S196&amp;"日 ","")&amp;IF(AND(J196="CCS済",M196&lt;&gt;"✓"),"CCS後の申込待ち ","")&amp;IF(AND(M196="✓",N196&lt;&gt;"✓"),"振込待ち ","")&amp;IF(AND(N196="✓",O196&lt;&gt;"✓"),"同意書待ち ","")&amp;IF(T196="","次アクション未設定","")))</f>
        <v/>
      </c>
      <c r="X196" s="10" t="n"/>
      <c r="Y196" s="22" t="n"/>
    </row>
    <row r="197">
      <c r="A197" s="10">
        <f>IF(D197="","",ROW()-4)</f>
        <v/>
      </c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4" t="n"/>
      <c r="L197" s="22" t="n"/>
      <c r="M197" s="23" t="n"/>
      <c r="N197" s="23" t="n"/>
      <c r="O197" s="23" t="n"/>
      <c r="P197" s="10">
        <f>IF(D197="","",IF(AND(M197="✓",N197="✓",O197="✓"),"✅正式",IF(M197&amp;N197&amp;O197="","入会前","手続き中")))</f>
        <v/>
      </c>
      <c r="Q197" s="24" t="n"/>
      <c r="R197" s="24" t="n"/>
      <c r="S197" s="10">
        <f>IF(OR(D197="",R197=""),"",TODAY()-R197)</f>
        <v/>
      </c>
      <c r="T197" s="22" t="n"/>
      <c r="U197" s="24" t="n"/>
      <c r="V197" s="23" t="n"/>
      <c r="W197" s="14">
        <f>IF(OR(D197="",V197="辞退",V197="保留",P197="✅正式"),"",TRIM(IF(AND(U197&lt;&gt;"",U197&lt;TODAY()),"期日超過 ","")&amp;IF(AND(S197&lt;&gt;"",S197&gt;='設定'!$B$9),"放置"&amp;S197&amp;"日 ","")&amp;IF(AND(J197="CCS済",M197&lt;&gt;"✓"),"CCS後の申込待ち ","")&amp;IF(AND(M197="✓",N197&lt;&gt;"✓"),"振込待ち ","")&amp;IF(AND(N197="✓",O197&lt;&gt;"✓"),"同意書待ち ","")&amp;IF(T197="","次アクション未設定","")))</f>
        <v/>
      </c>
      <c r="X197" s="10" t="n"/>
      <c r="Y197" s="22" t="n"/>
    </row>
    <row r="198">
      <c r="A198" s="10">
        <f>IF(D198="","",ROW()-4)</f>
        <v/>
      </c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3" t="n"/>
      <c r="K198" s="24" t="n"/>
      <c r="L198" s="22" t="n"/>
      <c r="M198" s="23" t="n"/>
      <c r="N198" s="23" t="n"/>
      <c r="O198" s="23" t="n"/>
      <c r="P198" s="10">
        <f>IF(D198="","",IF(AND(M198="✓",N198="✓",O198="✓"),"✅正式",IF(M198&amp;N198&amp;O198="","入会前","手続き中")))</f>
        <v/>
      </c>
      <c r="Q198" s="24" t="n"/>
      <c r="R198" s="24" t="n"/>
      <c r="S198" s="10">
        <f>IF(OR(D198="",R198=""),"",TODAY()-R198)</f>
        <v/>
      </c>
      <c r="T198" s="22" t="n"/>
      <c r="U198" s="24" t="n"/>
      <c r="V198" s="23" t="n"/>
      <c r="W198" s="14">
        <f>IF(OR(D198="",V198="辞退",V198="保留",P198="✅正式"),"",TRIM(IF(AND(U198&lt;&gt;"",U198&lt;TODAY()),"期日超過 ","")&amp;IF(AND(S198&lt;&gt;"",S198&gt;='設定'!$B$9),"放置"&amp;S198&amp;"日 ","")&amp;IF(AND(J198="CCS済",M198&lt;&gt;"✓"),"CCS後の申込待ち ","")&amp;IF(AND(M198="✓",N198&lt;&gt;"✓"),"振込待ち ","")&amp;IF(AND(N198="✓",O198&lt;&gt;"✓"),"同意書待ち ","")&amp;IF(T198="","次アクション未設定","")))</f>
        <v/>
      </c>
      <c r="X198" s="10" t="n"/>
      <c r="Y198" s="22" t="n"/>
    </row>
    <row r="199">
      <c r="A199" s="10">
        <f>IF(D199="","",ROW()-4)</f>
        <v/>
      </c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4" t="n"/>
      <c r="L199" s="22" t="n"/>
      <c r="M199" s="23" t="n"/>
      <c r="N199" s="23" t="n"/>
      <c r="O199" s="23" t="n"/>
      <c r="P199" s="10">
        <f>IF(D199="","",IF(AND(M199="✓",N199="✓",O199="✓"),"✅正式",IF(M199&amp;N199&amp;O199="","入会前","手続き中")))</f>
        <v/>
      </c>
      <c r="Q199" s="24" t="n"/>
      <c r="R199" s="24" t="n"/>
      <c r="S199" s="10">
        <f>IF(OR(D199="",R199=""),"",TODAY()-R199)</f>
        <v/>
      </c>
      <c r="T199" s="22" t="n"/>
      <c r="U199" s="24" t="n"/>
      <c r="V199" s="23" t="n"/>
      <c r="W199" s="14">
        <f>IF(OR(D199="",V199="辞退",V199="保留",P199="✅正式"),"",TRIM(IF(AND(U199&lt;&gt;"",U199&lt;TODAY()),"期日超過 ","")&amp;IF(AND(S199&lt;&gt;"",S199&gt;='設定'!$B$9),"放置"&amp;S199&amp;"日 ","")&amp;IF(AND(J199="CCS済",M199&lt;&gt;"✓"),"CCS後の申込待ち ","")&amp;IF(AND(M199="✓",N199&lt;&gt;"✓"),"振込待ち ","")&amp;IF(AND(N199="✓",O199&lt;&gt;"✓"),"同意書待ち ","")&amp;IF(T199="","次アクション未設定","")))</f>
        <v/>
      </c>
      <c r="X199" s="10" t="n"/>
      <c r="Y199" s="22" t="n"/>
    </row>
    <row r="200">
      <c r="A200" s="10">
        <f>IF(D200="","",ROW()-4)</f>
        <v/>
      </c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3" t="n"/>
      <c r="K200" s="24" t="n"/>
      <c r="L200" s="22" t="n"/>
      <c r="M200" s="23" t="n"/>
      <c r="N200" s="23" t="n"/>
      <c r="O200" s="23" t="n"/>
      <c r="P200" s="10">
        <f>IF(D200="","",IF(AND(M200="✓",N200="✓",O200="✓"),"✅正式",IF(M200&amp;N200&amp;O200="","入会前","手続き中")))</f>
        <v/>
      </c>
      <c r="Q200" s="24" t="n"/>
      <c r="R200" s="24" t="n"/>
      <c r="S200" s="10">
        <f>IF(OR(D200="",R200=""),"",TODAY()-R200)</f>
        <v/>
      </c>
      <c r="T200" s="22" t="n"/>
      <c r="U200" s="24" t="n"/>
      <c r="V200" s="23" t="n"/>
      <c r="W200" s="14">
        <f>IF(OR(D200="",V200="辞退",V200="保留",P200="✅正式"),"",TRIM(IF(AND(U200&lt;&gt;"",U200&lt;TODAY()),"期日超過 ","")&amp;IF(AND(S200&lt;&gt;"",S200&gt;='設定'!$B$9),"放置"&amp;S200&amp;"日 ","")&amp;IF(AND(J200="CCS済",M200&lt;&gt;"✓"),"CCS後の申込待ち ","")&amp;IF(AND(M200="✓",N200&lt;&gt;"✓"),"振込待ち ","")&amp;IF(AND(N200="✓",O200&lt;&gt;"✓"),"同意書待ち ","")&amp;IF(T200="","次アクション未設定","")))</f>
        <v/>
      </c>
      <c r="X200" s="10" t="n"/>
      <c r="Y200" s="22" t="n"/>
    </row>
    <row r="201">
      <c r="A201" s="10">
        <f>IF(D201="","",ROW()-4)</f>
        <v/>
      </c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4" t="n"/>
      <c r="L201" s="22" t="n"/>
      <c r="M201" s="23" t="n"/>
      <c r="N201" s="23" t="n"/>
      <c r="O201" s="23" t="n"/>
      <c r="P201" s="10">
        <f>IF(D201="","",IF(AND(M201="✓",N201="✓",O201="✓"),"✅正式",IF(M201&amp;N201&amp;O201="","入会前","手続き中")))</f>
        <v/>
      </c>
      <c r="Q201" s="24" t="n"/>
      <c r="R201" s="24" t="n"/>
      <c r="S201" s="10">
        <f>IF(OR(D201="",R201=""),"",TODAY()-R201)</f>
        <v/>
      </c>
      <c r="T201" s="22" t="n"/>
      <c r="U201" s="24" t="n"/>
      <c r="V201" s="23" t="n"/>
      <c r="W201" s="14">
        <f>IF(OR(D201="",V201="辞退",V201="保留",P201="✅正式"),"",TRIM(IF(AND(U201&lt;&gt;"",U201&lt;TODAY()),"期日超過 ","")&amp;IF(AND(S201&lt;&gt;"",S201&gt;='設定'!$B$9),"放置"&amp;S201&amp;"日 ","")&amp;IF(AND(J201="CCS済",M201&lt;&gt;"✓"),"CCS後の申込待ち ","")&amp;IF(AND(M201="✓",N201&lt;&gt;"✓"),"振込待ち ","")&amp;IF(AND(N201="✓",O201&lt;&gt;"✓"),"同意書待ち ","")&amp;IF(T201="","次アクション未設定","")))</f>
        <v/>
      </c>
      <c r="X201" s="10" t="n"/>
      <c r="Y201" s="22" t="n"/>
    </row>
    <row r="202">
      <c r="A202" s="10">
        <f>IF(D202="","",ROW()-4)</f>
        <v/>
      </c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3" t="n"/>
      <c r="K202" s="24" t="n"/>
      <c r="L202" s="22" t="n"/>
      <c r="M202" s="23" t="n"/>
      <c r="N202" s="23" t="n"/>
      <c r="O202" s="23" t="n"/>
      <c r="P202" s="10">
        <f>IF(D202="","",IF(AND(M202="✓",N202="✓",O202="✓"),"✅正式",IF(M202&amp;N202&amp;O202="","入会前","手続き中")))</f>
        <v/>
      </c>
      <c r="Q202" s="24" t="n"/>
      <c r="R202" s="24" t="n"/>
      <c r="S202" s="10">
        <f>IF(OR(D202="",R202=""),"",TODAY()-R202)</f>
        <v/>
      </c>
      <c r="T202" s="22" t="n"/>
      <c r="U202" s="24" t="n"/>
      <c r="V202" s="23" t="n"/>
      <c r="W202" s="14">
        <f>IF(OR(D202="",V202="辞退",V202="保留",P202="✅正式"),"",TRIM(IF(AND(U202&lt;&gt;"",U202&lt;TODAY()),"期日超過 ","")&amp;IF(AND(S202&lt;&gt;"",S202&gt;='設定'!$B$9),"放置"&amp;S202&amp;"日 ","")&amp;IF(AND(J202="CCS済",M202&lt;&gt;"✓"),"CCS後の申込待ち ","")&amp;IF(AND(M202="✓",N202&lt;&gt;"✓"),"振込待ち ","")&amp;IF(AND(N202="✓",O202&lt;&gt;"✓"),"同意書待ち ","")&amp;IF(T202="","次アクション未設定","")))</f>
        <v/>
      </c>
      <c r="X202" s="10" t="n"/>
      <c r="Y202" s="22" t="n"/>
    </row>
    <row r="203">
      <c r="A203" s="10">
        <f>IF(D203="","",ROW()-4)</f>
        <v/>
      </c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4" t="n"/>
      <c r="L203" s="22" t="n"/>
      <c r="M203" s="23" t="n"/>
      <c r="N203" s="23" t="n"/>
      <c r="O203" s="23" t="n"/>
      <c r="P203" s="10">
        <f>IF(D203="","",IF(AND(M203="✓",N203="✓",O203="✓"),"✅正式",IF(M203&amp;N203&amp;O203="","入会前","手続き中")))</f>
        <v/>
      </c>
      <c r="Q203" s="24" t="n"/>
      <c r="R203" s="24" t="n"/>
      <c r="S203" s="10">
        <f>IF(OR(D203="",R203=""),"",TODAY()-R203)</f>
        <v/>
      </c>
      <c r="T203" s="22" t="n"/>
      <c r="U203" s="24" t="n"/>
      <c r="V203" s="23" t="n"/>
      <c r="W203" s="14">
        <f>IF(OR(D203="",V203="辞退",V203="保留",P203="✅正式"),"",TRIM(IF(AND(U203&lt;&gt;"",U203&lt;TODAY()),"期日超過 ","")&amp;IF(AND(S203&lt;&gt;"",S203&gt;='設定'!$B$9),"放置"&amp;S203&amp;"日 ","")&amp;IF(AND(J203="CCS済",M203&lt;&gt;"✓"),"CCS後の申込待ち ","")&amp;IF(AND(M203="✓",N203&lt;&gt;"✓"),"振込待ち ","")&amp;IF(AND(N203="✓",O203&lt;&gt;"✓"),"同意書待ち ","")&amp;IF(T203="","次アクション未設定","")))</f>
        <v/>
      </c>
      <c r="X203" s="10" t="n"/>
      <c r="Y203" s="22" t="n"/>
    </row>
    <row r="204">
      <c r="A204" s="10">
        <f>IF(D204="","",ROW()-4)</f>
        <v/>
      </c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3" t="n"/>
      <c r="K204" s="24" t="n"/>
      <c r="L204" s="22" t="n"/>
      <c r="M204" s="23" t="n"/>
      <c r="N204" s="23" t="n"/>
      <c r="O204" s="23" t="n"/>
      <c r="P204" s="10">
        <f>IF(D204="","",IF(AND(M204="✓",N204="✓",O204="✓"),"✅正式",IF(M204&amp;N204&amp;O204="","入会前","手続き中")))</f>
        <v/>
      </c>
      <c r="Q204" s="24" t="n"/>
      <c r="R204" s="24" t="n"/>
      <c r="S204" s="10">
        <f>IF(OR(D204="",R204=""),"",TODAY()-R204)</f>
        <v/>
      </c>
      <c r="T204" s="22" t="n"/>
      <c r="U204" s="24" t="n"/>
      <c r="V204" s="23" t="n"/>
      <c r="W204" s="14">
        <f>IF(OR(D204="",V204="辞退",V204="保留",P204="✅正式"),"",TRIM(IF(AND(U204&lt;&gt;"",U204&lt;TODAY()),"期日超過 ","")&amp;IF(AND(S204&lt;&gt;"",S204&gt;='設定'!$B$9),"放置"&amp;S204&amp;"日 ","")&amp;IF(AND(J204="CCS済",M204&lt;&gt;"✓"),"CCS後の申込待ち ","")&amp;IF(AND(M204="✓",N204&lt;&gt;"✓"),"振込待ち ","")&amp;IF(AND(N204="✓",O204&lt;&gt;"✓"),"同意書待ち ","")&amp;IF(T204="","次アクション未設定","")))</f>
        <v/>
      </c>
      <c r="X204" s="10" t="n"/>
      <c r="Y204" s="22" t="n"/>
    </row>
    <row r="205">
      <c r="A205" s="10">
        <f>IF(D205="","",ROW()-4)</f>
        <v/>
      </c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4" t="n"/>
      <c r="L205" s="22" t="n"/>
      <c r="M205" s="23" t="n"/>
      <c r="N205" s="23" t="n"/>
      <c r="O205" s="23" t="n"/>
      <c r="P205" s="10">
        <f>IF(D205="","",IF(AND(M205="✓",N205="✓",O205="✓"),"✅正式",IF(M205&amp;N205&amp;O205="","入会前","手続き中")))</f>
        <v/>
      </c>
      <c r="Q205" s="24" t="n"/>
      <c r="R205" s="24" t="n"/>
      <c r="S205" s="10">
        <f>IF(OR(D205="",R205=""),"",TODAY()-R205)</f>
        <v/>
      </c>
      <c r="T205" s="22" t="n"/>
      <c r="U205" s="24" t="n"/>
      <c r="V205" s="23" t="n"/>
      <c r="W205" s="14">
        <f>IF(OR(D205="",V205="辞退",V205="保留",P205="✅正式"),"",TRIM(IF(AND(U205&lt;&gt;"",U205&lt;TODAY()),"期日超過 ","")&amp;IF(AND(S205&lt;&gt;"",S205&gt;='設定'!$B$9),"放置"&amp;S205&amp;"日 ","")&amp;IF(AND(J205="CCS済",M205&lt;&gt;"✓"),"CCS後の申込待ち ","")&amp;IF(AND(M205="✓",N205&lt;&gt;"✓"),"振込待ち ","")&amp;IF(AND(N205="✓",O205&lt;&gt;"✓"),"同意書待ち ","")&amp;IF(T205="","次アクション未設定","")))</f>
        <v/>
      </c>
      <c r="X205" s="10" t="n"/>
      <c r="Y205" s="22" t="n"/>
    </row>
    <row r="206">
      <c r="A206" s="10">
        <f>IF(D206="","",ROW()-4)</f>
        <v/>
      </c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3" t="n"/>
      <c r="K206" s="24" t="n"/>
      <c r="L206" s="22" t="n"/>
      <c r="M206" s="23" t="n"/>
      <c r="N206" s="23" t="n"/>
      <c r="O206" s="23" t="n"/>
      <c r="P206" s="10">
        <f>IF(D206="","",IF(AND(M206="✓",N206="✓",O206="✓"),"✅正式",IF(M206&amp;N206&amp;O206="","入会前","手続き中")))</f>
        <v/>
      </c>
      <c r="Q206" s="24" t="n"/>
      <c r="R206" s="24" t="n"/>
      <c r="S206" s="10">
        <f>IF(OR(D206="",R206=""),"",TODAY()-R206)</f>
        <v/>
      </c>
      <c r="T206" s="22" t="n"/>
      <c r="U206" s="24" t="n"/>
      <c r="V206" s="23" t="n"/>
      <c r="W206" s="14">
        <f>IF(OR(D206="",V206="辞退",V206="保留",P206="✅正式"),"",TRIM(IF(AND(U206&lt;&gt;"",U206&lt;TODAY()),"期日超過 ","")&amp;IF(AND(S206&lt;&gt;"",S206&gt;='設定'!$B$9),"放置"&amp;S206&amp;"日 ","")&amp;IF(AND(J206="CCS済",M206&lt;&gt;"✓"),"CCS後の申込待ち ","")&amp;IF(AND(M206="✓",N206&lt;&gt;"✓"),"振込待ち ","")&amp;IF(AND(N206="✓",O206&lt;&gt;"✓"),"同意書待ち ","")&amp;IF(T206="","次アクション未設定","")))</f>
        <v/>
      </c>
      <c r="X206" s="10" t="n"/>
      <c r="Y206" s="22" t="n"/>
    </row>
    <row r="207">
      <c r="A207" s="10">
        <f>IF(D207="","",ROW()-4)</f>
        <v/>
      </c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4" t="n"/>
      <c r="L207" s="22" t="n"/>
      <c r="M207" s="23" t="n"/>
      <c r="N207" s="23" t="n"/>
      <c r="O207" s="23" t="n"/>
      <c r="P207" s="10">
        <f>IF(D207="","",IF(AND(M207="✓",N207="✓",O207="✓"),"✅正式",IF(M207&amp;N207&amp;O207="","入会前","手続き中")))</f>
        <v/>
      </c>
      <c r="Q207" s="24" t="n"/>
      <c r="R207" s="24" t="n"/>
      <c r="S207" s="10">
        <f>IF(OR(D207="",R207=""),"",TODAY()-R207)</f>
        <v/>
      </c>
      <c r="T207" s="22" t="n"/>
      <c r="U207" s="24" t="n"/>
      <c r="V207" s="23" t="n"/>
      <c r="W207" s="14">
        <f>IF(OR(D207="",V207="辞退",V207="保留",P207="✅正式"),"",TRIM(IF(AND(U207&lt;&gt;"",U207&lt;TODAY()),"期日超過 ","")&amp;IF(AND(S207&lt;&gt;"",S207&gt;='設定'!$B$9),"放置"&amp;S207&amp;"日 ","")&amp;IF(AND(J207="CCS済",M207&lt;&gt;"✓"),"CCS後の申込待ち ","")&amp;IF(AND(M207="✓",N207&lt;&gt;"✓"),"振込待ち ","")&amp;IF(AND(N207="✓",O207&lt;&gt;"✓"),"同意書待ち ","")&amp;IF(T207="","次アクション未設定","")))</f>
        <v/>
      </c>
      <c r="X207" s="10" t="n"/>
      <c r="Y207" s="22" t="n"/>
    </row>
    <row r="208">
      <c r="A208" s="10">
        <f>IF(D208="","",ROW()-4)</f>
        <v/>
      </c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3" t="n"/>
      <c r="K208" s="24" t="n"/>
      <c r="L208" s="22" t="n"/>
      <c r="M208" s="23" t="n"/>
      <c r="N208" s="23" t="n"/>
      <c r="O208" s="23" t="n"/>
      <c r="P208" s="10">
        <f>IF(D208="","",IF(AND(M208="✓",N208="✓",O208="✓"),"✅正式",IF(M208&amp;N208&amp;O208="","入会前","手続き中")))</f>
        <v/>
      </c>
      <c r="Q208" s="24" t="n"/>
      <c r="R208" s="24" t="n"/>
      <c r="S208" s="10">
        <f>IF(OR(D208="",R208=""),"",TODAY()-R208)</f>
        <v/>
      </c>
      <c r="T208" s="22" t="n"/>
      <c r="U208" s="24" t="n"/>
      <c r="V208" s="23" t="n"/>
      <c r="W208" s="14">
        <f>IF(OR(D208="",V208="辞退",V208="保留",P208="✅正式"),"",TRIM(IF(AND(U208&lt;&gt;"",U208&lt;TODAY()),"期日超過 ","")&amp;IF(AND(S208&lt;&gt;"",S208&gt;='設定'!$B$9),"放置"&amp;S208&amp;"日 ","")&amp;IF(AND(J208="CCS済",M208&lt;&gt;"✓"),"CCS後の申込待ち ","")&amp;IF(AND(M208="✓",N208&lt;&gt;"✓"),"振込待ち ","")&amp;IF(AND(N208="✓",O208&lt;&gt;"✓"),"同意書待ち ","")&amp;IF(T208="","次アクション未設定","")))</f>
        <v/>
      </c>
      <c r="X208" s="10" t="n"/>
      <c r="Y208" s="22" t="n"/>
    </row>
    <row r="209">
      <c r="A209" s="10">
        <f>IF(D209="","",ROW()-4)</f>
        <v/>
      </c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4" t="n"/>
      <c r="L209" s="22" t="n"/>
      <c r="M209" s="23" t="n"/>
      <c r="N209" s="23" t="n"/>
      <c r="O209" s="23" t="n"/>
      <c r="P209" s="10">
        <f>IF(D209="","",IF(AND(M209="✓",N209="✓",O209="✓"),"✅正式",IF(M209&amp;N209&amp;O209="","入会前","手続き中")))</f>
        <v/>
      </c>
      <c r="Q209" s="24" t="n"/>
      <c r="R209" s="24" t="n"/>
      <c r="S209" s="10">
        <f>IF(OR(D209="",R209=""),"",TODAY()-R209)</f>
        <v/>
      </c>
      <c r="T209" s="22" t="n"/>
      <c r="U209" s="24" t="n"/>
      <c r="V209" s="23" t="n"/>
      <c r="W209" s="14">
        <f>IF(OR(D209="",V209="辞退",V209="保留",P209="✅正式"),"",TRIM(IF(AND(U209&lt;&gt;"",U209&lt;TODAY()),"期日超過 ","")&amp;IF(AND(S209&lt;&gt;"",S209&gt;='設定'!$B$9),"放置"&amp;S209&amp;"日 ","")&amp;IF(AND(J209="CCS済",M209&lt;&gt;"✓"),"CCS後の申込待ち ","")&amp;IF(AND(M209="✓",N209&lt;&gt;"✓"),"振込待ち ","")&amp;IF(AND(N209="✓",O209&lt;&gt;"✓"),"同意書待ち ","")&amp;IF(T209="","次アクション未設定","")))</f>
        <v/>
      </c>
      <c r="X209" s="10" t="n"/>
      <c r="Y209" s="22" t="n"/>
    </row>
    <row r="210">
      <c r="A210" s="10">
        <f>IF(D210="","",ROW()-4)</f>
        <v/>
      </c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3" t="n"/>
      <c r="K210" s="24" t="n"/>
      <c r="L210" s="22" t="n"/>
      <c r="M210" s="23" t="n"/>
      <c r="N210" s="23" t="n"/>
      <c r="O210" s="23" t="n"/>
      <c r="P210" s="10">
        <f>IF(D210="","",IF(AND(M210="✓",N210="✓",O210="✓"),"✅正式",IF(M210&amp;N210&amp;O210="","入会前","手続き中")))</f>
        <v/>
      </c>
      <c r="Q210" s="24" t="n"/>
      <c r="R210" s="24" t="n"/>
      <c r="S210" s="10">
        <f>IF(OR(D210="",R210=""),"",TODAY()-R210)</f>
        <v/>
      </c>
      <c r="T210" s="22" t="n"/>
      <c r="U210" s="24" t="n"/>
      <c r="V210" s="23" t="n"/>
      <c r="W210" s="14">
        <f>IF(OR(D210="",V210="辞退",V210="保留",P210="✅正式"),"",TRIM(IF(AND(U210&lt;&gt;"",U210&lt;TODAY()),"期日超過 ","")&amp;IF(AND(S210&lt;&gt;"",S210&gt;='設定'!$B$9),"放置"&amp;S210&amp;"日 ","")&amp;IF(AND(J210="CCS済",M210&lt;&gt;"✓"),"CCS後の申込待ち ","")&amp;IF(AND(M210="✓",N210&lt;&gt;"✓"),"振込待ち ","")&amp;IF(AND(N210="✓",O210&lt;&gt;"✓"),"同意書待ち ","")&amp;IF(T210="","次アクション未設定","")))</f>
        <v/>
      </c>
      <c r="X210" s="10" t="n"/>
      <c r="Y210" s="22" t="n"/>
    </row>
    <row r="211">
      <c r="A211" s="10">
        <f>IF(D211="","",ROW()-4)</f>
        <v/>
      </c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4" t="n"/>
      <c r="L211" s="22" t="n"/>
      <c r="M211" s="23" t="n"/>
      <c r="N211" s="23" t="n"/>
      <c r="O211" s="23" t="n"/>
      <c r="P211" s="10">
        <f>IF(D211="","",IF(AND(M211="✓",N211="✓",O211="✓"),"✅正式",IF(M211&amp;N211&amp;O211="","入会前","手続き中")))</f>
        <v/>
      </c>
      <c r="Q211" s="24" t="n"/>
      <c r="R211" s="24" t="n"/>
      <c r="S211" s="10">
        <f>IF(OR(D211="",R211=""),"",TODAY()-R211)</f>
        <v/>
      </c>
      <c r="T211" s="22" t="n"/>
      <c r="U211" s="24" t="n"/>
      <c r="V211" s="23" t="n"/>
      <c r="W211" s="14">
        <f>IF(OR(D211="",V211="辞退",V211="保留",P211="✅正式"),"",TRIM(IF(AND(U211&lt;&gt;"",U211&lt;TODAY()),"期日超過 ","")&amp;IF(AND(S211&lt;&gt;"",S211&gt;='設定'!$B$9),"放置"&amp;S211&amp;"日 ","")&amp;IF(AND(J211="CCS済",M211&lt;&gt;"✓"),"CCS後の申込待ち ","")&amp;IF(AND(M211="✓",N211&lt;&gt;"✓"),"振込待ち ","")&amp;IF(AND(N211="✓",O211&lt;&gt;"✓"),"同意書待ち ","")&amp;IF(T211="","次アクション未設定","")))</f>
        <v/>
      </c>
      <c r="X211" s="10" t="n"/>
      <c r="Y211" s="22" t="n"/>
    </row>
    <row r="212">
      <c r="A212" s="10">
        <f>IF(D212="","",ROW()-4)</f>
        <v/>
      </c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3" t="n"/>
      <c r="K212" s="24" t="n"/>
      <c r="L212" s="22" t="n"/>
      <c r="M212" s="23" t="n"/>
      <c r="N212" s="23" t="n"/>
      <c r="O212" s="23" t="n"/>
      <c r="P212" s="10">
        <f>IF(D212="","",IF(AND(M212="✓",N212="✓",O212="✓"),"✅正式",IF(M212&amp;N212&amp;O212="","入会前","手続き中")))</f>
        <v/>
      </c>
      <c r="Q212" s="24" t="n"/>
      <c r="R212" s="24" t="n"/>
      <c r="S212" s="10">
        <f>IF(OR(D212="",R212=""),"",TODAY()-R212)</f>
        <v/>
      </c>
      <c r="T212" s="22" t="n"/>
      <c r="U212" s="24" t="n"/>
      <c r="V212" s="23" t="n"/>
      <c r="W212" s="14">
        <f>IF(OR(D212="",V212="辞退",V212="保留",P212="✅正式"),"",TRIM(IF(AND(U212&lt;&gt;"",U212&lt;TODAY()),"期日超過 ","")&amp;IF(AND(S212&lt;&gt;"",S212&gt;='設定'!$B$9),"放置"&amp;S212&amp;"日 ","")&amp;IF(AND(J212="CCS済",M212&lt;&gt;"✓"),"CCS後の申込待ち ","")&amp;IF(AND(M212="✓",N212&lt;&gt;"✓"),"振込待ち ","")&amp;IF(AND(N212="✓",O212&lt;&gt;"✓"),"同意書待ち ","")&amp;IF(T212="","次アクション未設定","")))</f>
        <v/>
      </c>
      <c r="X212" s="10" t="n"/>
      <c r="Y212" s="22" t="n"/>
    </row>
    <row r="213">
      <c r="A213" s="10">
        <f>IF(D213="","",ROW()-4)</f>
        <v/>
      </c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4" t="n"/>
      <c r="L213" s="22" t="n"/>
      <c r="M213" s="23" t="n"/>
      <c r="N213" s="23" t="n"/>
      <c r="O213" s="23" t="n"/>
      <c r="P213" s="10">
        <f>IF(D213="","",IF(AND(M213="✓",N213="✓",O213="✓"),"✅正式",IF(M213&amp;N213&amp;O213="","入会前","手続き中")))</f>
        <v/>
      </c>
      <c r="Q213" s="24" t="n"/>
      <c r="R213" s="24" t="n"/>
      <c r="S213" s="10">
        <f>IF(OR(D213="",R213=""),"",TODAY()-R213)</f>
        <v/>
      </c>
      <c r="T213" s="22" t="n"/>
      <c r="U213" s="24" t="n"/>
      <c r="V213" s="23" t="n"/>
      <c r="W213" s="14">
        <f>IF(OR(D213="",V213="辞退",V213="保留",P213="✅正式"),"",TRIM(IF(AND(U213&lt;&gt;"",U213&lt;TODAY()),"期日超過 ","")&amp;IF(AND(S213&lt;&gt;"",S213&gt;='設定'!$B$9),"放置"&amp;S213&amp;"日 ","")&amp;IF(AND(J213="CCS済",M213&lt;&gt;"✓"),"CCS後の申込待ち ","")&amp;IF(AND(M213="✓",N213&lt;&gt;"✓"),"振込待ち ","")&amp;IF(AND(N213="✓",O213&lt;&gt;"✓"),"同意書待ち ","")&amp;IF(T213="","次アクション未設定","")))</f>
        <v/>
      </c>
      <c r="X213" s="10" t="n"/>
      <c r="Y213" s="22" t="n"/>
    </row>
    <row r="214">
      <c r="A214" s="10">
        <f>IF(D214="","",ROW()-4)</f>
        <v/>
      </c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3" t="n"/>
      <c r="K214" s="24" t="n"/>
      <c r="L214" s="22" t="n"/>
      <c r="M214" s="23" t="n"/>
      <c r="N214" s="23" t="n"/>
      <c r="O214" s="23" t="n"/>
      <c r="P214" s="10">
        <f>IF(D214="","",IF(AND(M214="✓",N214="✓",O214="✓"),"✅正式",IF(M214&amp;N214&amp;O214="","入会前","手続き中")))</f>
        <v/>
      </c>
      <c r="Q214" s="24" t="n"/>
      <c r="R214" s="24" t="n"/>
      <c r="S214" s="10">
        <f>IF(OR(D214="",R214=""),"",TODAY()-R214)</f>
        <v/>
      </c>
      <c r="T214" s="22" t="n"/>
      <c r="U214" s="24" t="n"/>
      <c r="V214" s="23" t="n"/>
      <c r="W214" s="14">
        <f>IF(OR(D214="",V214="辞退",V214="保留",P214="✅正式"),"",TRIM(IF(AND(U214&lt;&gt;"",U214&lt;TODAY()),"期日超過 ","")&amp;IF(AND(S214&lt;&gt;"",S214&gt;='設定'!$B$9),"放置"&amp;S214&amp;"日 ","")&amp;IF(AND(J214="CCS済",M214&lt;&gt;"✓"),"CCS後の申込待ち ","")&amp;IF(AND(M214="✓",N214&lt;&gt;"✓"),"振込待ち ","")&amp;IF(AND(N214="✓",O214&lt;&gt;"✓"),"同意書待ち ","")&amp;IF(T214="","次アクション未設定","")))</f>
        <v/>
      </c>
      <c r="X214" s="10" t="n"/>
      <c r="Y214" s="22" t="n"/>
    </row>
    <row r="215">
      <c r="A215" s="10">
        <f>IF(D215="","",ROW()-4)</f>
        <v/>
      </c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4" t="n"/>
      <c r="L215" s="22" t="n"/>
      <c r="M215" s="23" t="n"/>
      <c r="N215" s="23" t="n"/>
      <c r="O215" s="23" t="n"/>
      <c r="P215" s="10">
        <f>IF(D215="","",IF(AND(M215="✓",N215="✓",O215="✓"),"✅正式",IF(M215&amp;N215&amp;O215="","入会前","手続き中")))</f>
        <v/>
      </c>
      <c r="Q215" s="24" t="n"/>
      <c r="R215" s="24" t="n"/>
      <c r="S215" s="10">
        <f>IF(OR(D215="",R215=""),"",TODAY()-R215)</f>
        <v/>
      </c>
      <c r="T215" s="22" t="n"/>
      <c r="U215" s="24" t="n"/>
      <c r="V215" s="23" t="n"/>
      <c r="W215" s="14">
        <f>IF(OR(D215="",V215="辞退",V215="保留",P215="✅正式"),"",TRIM(IF(AND(U215&lt;&gt;"",U215&lt;TODAY()),"期日超過 ","")&amp;IF(AND(S215&lt;&gt;"",S215&gt;='設定'!$B$9),"放置"&amp;S215&amp;"日 ","")&amp;IF(AND(J215="CCS済",M215&lt;&gt;"✓"),"CCS後の申込待ち ","")&amp;IF(AND(M215="✓",N215&lt;&gt;"✓"),"振込待ち ","")&amp;IF(AND(N215="✓",O215&lt;&gt;"✓"),"同意書待ち ","")&amp;IF(T215="","次アクション未設定","")))</f>
        <v/>
      </c>
      <c r="X215" s="10" t="n"/>
      <c r="Y215" s="22" t="n"/>
    </row>
    <row r="216">
      <c r="A216" s="10">
        <f>IF(D216="","",ROW()-4)</f>
        <v/>
      </c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3" t="n"/>
      <c r="K216" s="24" t="n"/>
      <c r="L216" s="22" t="n"/>
      <c r="M216" s="23" t="n"/>
      <c r="N216" s="23" t="n"/>
      <c r="O216" s="23" t="n"/>
      <c r="P216" s="10">
        <f>IF(D216="","",IF(AND(M216="✓",N216="✓",O216="✓"),"✅正式",IF(M216&amp;N216&amp;O216="","入会前","手続き中")))</f>
        <v/>
      </c>
      <c r="Q216" s="24" t="n"/>
      <c r="R216" s="24" t="n"/>
      <c r="S216" s="10">
        <f>IF(OR(D216="",R216=""),"",TODAY()-R216)</f>
        <v/>
      </c>
      <c r="T216" s="22" t="n"/>
      <c r="U216" s="24" t="n"/>
      <c r="V216" s="23" t="n"/>
      <c r="W216" s="14">
        <f>IF(OR(D216="",V216="辞退",V216="保留",P216="✅正式"),"",TRIM(IF(AND(U216&lt;&gt;"",U216&lt;TODAY()),"期日超過 ","")&amp;IF(AND(S216&lt;&gt;"",S216&gt;='設定'!$B$9),"放置"&amp;S216&amp;"日 ","")&amp;IF(AND(J216="CCS済",M216&lt;&gt;"✓"),"CCS後の申込待ち ","")&amp;IF(AND(M216="✓",N216&lt;&gt;"✓"),"振込待ち ","")&amp;IF(AND(N216="✓",O216&lt;&gt;"✓"),"同意書待ち ","")&amp;IF(T216="","次アクション未設定","")))</f>
        <v/>
      </c>
      <c r="X216" s="10" t="n"/>
      <c r="Y216" s="22" t="n"/>
    </row>
    <row r="217">
      <c r="A217" s="10">
        <f>IF(D217="","",ROW()-4)</f>
        <v/>
      </c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4" t="n"/>
      <c r="L217" s="22" t="n"/>
      <c r="M217" s="23" t="n"/>
      <c r="N217" s="23" t="n"/>
      <c r="O217" s="23" t="n"/>
      <c r="P217" s="10">
        <f>IF(D217="","",IF(AND(M217="✓",N217="✓",O217="✓"),"✅正式",IF(M217&amp;N217&amp;O217="","入会前","手続き中")))</f>
        <v/>
      </c>
      <c r="Q217" s="24" t="n"/>
      <c r="R217" s="24" t="n"/>
      <c r="S217" s="10">
        <f>IF(OR(D217="",R217=""),"",TODAY()-R217)</f>
        <v/>
      </c>
      <c r="T217" s="22" t="n"/>
      <c r="U217" s="24" t="n"/>
      <c r="V217" s="23" t="n"/>
      <c r="W217" s="14">
        <f>IF(OR(D217="",V217="辞退",V217="保留",P217="✅正式"),"",TRIM(IF(AND(U217&lt;&gt;"",U217&lt;TODAY()),"期日超過 ","")&amp;IF(AND(S217&lt;&gt;"",S217&gt;='設定'!$B$9),"放置"&amp;S217&amp;"日 ","")&amp;IF(AND(J217="CCS済",M217&lt;&gt;"✓"),"CCS後の申込待ち ","")&amp;IF(AND(M217="✓",N217&lt;&gt;"✓"),"振込待ち ","")&amp;IF(AND(N217="✓",O217&lt;&gt;"✓"),"同意書待ち ","")&amp;IF(T217="","次アクション未設定","")))</f>
        <v/>
      </c>
      <c r="X217" s="10" t="n"/>
      <c r="Y217" s="22" t="n"/>
    </row>
    <row r="218">
      <c r="A218" s="10">
        <f>IF(D218="","",ROW()-4)</f>
        <v/>
      </c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3" t="n"/>
      <c r="K218" s="24" t="n"/>
      <c r="L218" s="22" t="n"/>
      <c r="M218" s="23" t="n"/>
      <c r="N218" s="23" t="n"/>
      <c r="O218" s="23" t="n"/>
      <c r="P218" s="10">
        <f>IF(D218="","",IF(AND(M218="✓",N218="✓",O218="✓"),"✅正式",IF(M218&amp;N218&amp;O218="","入会前","手続き中")))</f>
        <v/>
      </c>
      <c r="Q218" s="24" t="n"/>
      <c r="R218" s="24" t="n"/>
      <c r="S218" s="10">
        <f>IF(OR(D218="",R218=""),"",TODAY()-R218)</f>
        <v/>
      </c>
      <c r="T218" s="22" t="n"/>
      <c r="U218" s="24" t="n"/>
      <c r="V218" s="23" t="n"/>
      <c r="W218" s="14">
        <f>IF(OR(D218="",V218="辞退",V218="保留",P218="✅正式"),"",TRIM(IF(AND(U218&lt;&gt;"",U218&lt;TODAY()),"期日超過 ","")&amp;IF(AND(S218&lt;&gt;"",S218&gt;='設定'!$B$9),"放置"&amp;S218&amp;"日 ","")&amp;IF(AND(J218="CCS済",M218&lt;&gt;"✓"),"CCS後の申込待ち ","")&amp;IF(AND(M218="✓",N218&lt;&gt;"✓"),"振込待ち ","")&amp;IF(AND(N218="✓",O218&lt;&gt;"✓"),"同意書待ち ","")&amp;IF(T218="","次アクション未設定","")))</f>
        <v/>
      </c>
      <c r="X218" s="10" t="n"/>
      <c r="Y218" s="22" t="n"/>
    </row>
    <row r="219">
      <c r="A219" s="10">
        <f>IF(D219="","",ROW()-4)</f>
        <v/>
      </c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4" t="n"/>
      <c r="L219" s="22" t="n"/>
      <c r="M219" s="23" t="n"/>
      <c r="N219" s="23" t="n"/>
      <c r="O219" s="23" t="n"/>
      <c r="P219" s="10">
        <f>IF(D219="","",IF(AND(M219="✓",N219="✓",O219="✓"),"✅正式",IF(M219&amp;N219&amp;O219="","入会前","手続き中")))</f>
        <v/>
      </c>
      <c r="Q219" s="24" t="n"/>
      <c r="R219" s="24" t="n"/>
      <c r="S219" s="10">
        <f>IF(OR(D219="",R219=""),"",TODAY()-R219)</f>
        <v/>
      </c>
      <c r="T219" s="22" t="n"/>
      <c r="U219" s="24" t="n"/>
      <c r="V219" s="23" t="n"/>
      <c r="W219" s="14">
        <f>IF(OR(D219="",V219="辞退",V219="保留",P219="✅正式"),"",TRIM(IF(AND(U219&lt;&gt;"",U219&lt;TODAY()),"期日超過 ","")&amp;IF(AND(S219&lt;&gt;"",S219&gt;='設定'!$B$9),"放置"&amp;S219&amp;"日 ","")&amp;IF(AND(J219="CCS済",M219&lt;&gt;"✓"),"CCS後の申込待ち ","")&amp;IF(AND(M219="✓",N219&lt;&gt;"✓"),"振込待ち ","")&amp;IF(AND(N219="✓",O219&lt;&gt;"✓"),"同意書待ち ","")&amp;IF(T219="","次アクション未設定","")))</f>
        <v/>
      </c>
      <c r="X219" s="10" t="n"/>
      <c r="Y219" s="22" t="n"/>
    </row>
    <row r="220">
      <c r="A220" s="10">
        <f>IF(D220="","",ROW()-4)</f>
        <v/>
      </c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3" t="n"/>
      <c r="K220" s="24" t="n"/>
      <c r="L220" s="22" t="n"/>
      <c r="M220" s="23" t="n"/>
      <c r="N220" s="23" t="n"/>
      <c r="O220" s="23" t="n"/>
      <c r="P220" s="10">
        <f>IF(D220="","",IF(AND(M220="✓",N220="✓",O220="✓"),"✅正式",IF(M220&amp;N220&amp;O220="","入会前","手続き中")))</f>
        <v/>
      </c>
      <c r="Q220" s="24" t="n"/>
      <c r="R220" s="24" t="n"/>
      <c r="S220" s="10">
        <f>IF(OR(D220="",R220=""),"",TODAY()-R220)</f>
        <v/>
      </c>
      <c r="T220" s="22" t="n"/>
      <c r="U220" s="24" t="n"/>
      <c r="V220" s="23" t="n"/>
      <c r="W220" s="14">
        <f>IF(OR(D220="",V220="辞退",V220="保留",P220="✅正式"),"",TRIM(IF(AND(U220&lt;&gt;"",U220&lt;TODAY()),"期日超過 ","")&amp;IF(AND(S220&lt;&gt;"",S220&gt;='設定'!$B$9),"放置"&amp;S220&amp;"日 ","")&amp;IF(AND(J220="CCS済",M220&lt;&gt;"✓"),"CCS後の申込待ち ","")&amp;IF(AND(M220="✓",N220&lt;&gt;"✓"),"振込待ち ","")&amp;IF(AND(N220="✓",O220&lt;&gt;"✓"),"同意書待ち ","")&amp;IF(T220="","次アクション未設定","")))</f>
        <v/>
      </c>
      <c r="X220" s="10" t="n"/>
      <c r="Y220" s="22" t="n"/>
    </row>
    <row r="221">
      <c r="A221" s="10">
        <f>IF(D221="","",ROW()-4)</f>
        <v/>
      </c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4" t="n"/>
      <c r="L221" s="22" t="n"/>
      <c r="M221" s="23" t="n"/>
      <c r="N221" s="23" t="n"/>
      <c r="O221" s="23" t="n"/>
      <c r="P221" s="10">
        <f>IF(D221="","",IF(AND(M221="✓",N221="✓",O221="✓"),"✅正式",IF(M221&amp;N221&amp;O221="","入会前","手続き中")))</f>
        <v/>
      </c>
      <c r="Q221" s="24" t="n"/>
      <c r="R221" s="24" t="n"/>
      <c r="S221" s="10">
        <f>IF(OR(D221="",R221=""),"",TODAY()-R221)</f>
        <v/>
      </c>
      <c r="T221" s="22" t="n"/>
      <c r="U221" s="24" t="n"/>
      <c r="V221" s="23" t="n"/>
      <c r="W221" s="14">
        <f>IF(OR(D221="",V221="辞退",V221="保留",P221="✅正式"),"",TRIM(IF(AND(U221&lt;&gt;"",U221&lt;TODAY()),"期日超過 ","")&amp;IF(AND(S221&lt;&gt;"",S221&gt;='設定'!$B$9),"放置"&amp;S221&amp;"日 ","")&amp;IF(AND(J221="CCS済",M221&lt;&gt;"✓"),"CCS後の申込待ち ","")&amp;IF(AND(M221="✓",N221&lt;&gt;"✓"),"振込待ち ","")&amp;IF(AND(N221="✓",O221&lt;&gt;"✓"),"同意書待ち ","")&amp;IF(T221="","次アクション未設定","")))</f>
        <v/>
      </c>
      <c r="X221" s="10" t="n"/>
      <c r="Y221" s="22" t="n"/>
    </row>
    <row r="222">
      <c r="A222" s="10">
        <f>IF(D222="","",ROW()-4)</f>
        <v/>
      </c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3" t="n"/>
      <c r="K222" s="24" t="n"/>
      <c r="L222" s="22" t="n"/>
      <c r="M222" s="23" t="n"/>
      <c r="N222" s="23" t="n"/>
      <c r="O222" s="23" t="n"/>
      <c r="P222" s="10">
        <f>IF(D222="","",IF(AND(M222="✓",N222="✓",O222="✓"),"✅正式",IF(M222&amp;N222&amp;O222="","入会前","手続き中")))</f>
        <v/>
      </c>
      <c r="Q222" s="24" t="n"/>
      <c r="R222" s="24" t="n"/>
      <c r="S222" s="10">
        <f>IF(OR(D222="",R222=""),"",TODAY()-R222)</f>
        <v/>
      </c>
      <c r="T222" s="22" t="n"/>
      <c r="U222" s="24" t="n"/>
      <c r="V222" s="23" t="n"/>
      <c r="W222" s="14">
        <f>IF(OR(D222="",V222="辞退",V222="保留",P222="✅正式"),"",TRIM(IF(AND(U222&lt;&gt;"",U222&lt;TODAY()),"期日超過 ","")&amp;IF(AND(S222&lt;&gt;"",S222&gt;='設定'!$B$9),"放置"&amp;S222&amp;"日 ","")&amp;IF(AND(J222="CCS済",M222&lt;&gt;"✓"),"CCS後の申込待ち ","")&amp;IF(AND(M222="✓",N222&lt;&gt;"✓"),"振込待ち ","")&amp;IF(AND(N222="✓",O222&lt;&gt;"✓"),"同意書待ち ","")&amp;IF(T222="","次アクション未設定","")))</f>
        <v/>
      </c>
      <c r="X222" s="10" t="n"/>
      <c r="Y222" s="22" t="n"/>
    </row>
    <row r="223">
      <c r="A223" s="10">
        <f>IF(D223="","",ROW()-4)</f>
        <v/>
      </c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4" t="n"/>
      <c r="L223" s="22" t="n"/>
      <c r="M223" s="23" t="n"/>
      <c r="N223" s="23" t="n"/>
      <c r="O223" s="23" t="n"/>
      <c r="P223" s="10">
        <f>IF(D223="","",IF(AND(M223="✓",N223="✓",O223="✓"),"✅正式",IF(M223&amp;N223&amp;O223="","入会前","手続き中")))</f>
        <v/>
      </c>
      <c r="Q223" s="24" t="n"/>
      <c r="R223" s="24" t="n"/>
      <c r="S223" s="10">
        <f>IF(OR(D223="",R223=""),"",TODAY()-R223)</f>
        <v/>
      </c>
      <c r="T223" s="22" t="n"/>
      <c r="U223" s="24" t="n"/>
      <c r="V223" s="23" t="n"/>
      <c r="W223" s="14">
        <f>IF(OR(D223="",V223="辞退",V223="保留",P223="✅正式"),"",TRIM(IF(AND(U223&lt;&gt;"",U223&lt;TODAY()),"期日超過 ","")&amp;IF(AND(S223&lt;&gt;"",S223&gt;='設定'!$B$9),"放置"&amp;S223&amp;"日 ","")&amp;IF(AND(J223="CCS済",M223&lt;&gt;"✓"),"CCS後の申込待ち ","")&amp;IF(AND(M223="✓",N223&lt;&gt;"✓"),"振込待ち ","")&amp;IF(AND(N223="✓",O223&lt;&gt;"✓"),"同意書待ち ","")&amp;IF(T223="","次アクション未設定","")))</f>
        <v/>
      </c>
      <c r="X223" s="10" t="n"/>
      <c r="Y223" s="22" t="n"/>
    </row>
    <row r="224">
      <c r="A224" s="10">
        <f>IF(D224="","",ROW()-4)</f>
        <v/>
      </c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3" t="n"/>
      <c r="K224" s="24" t="n"/>
      <c r="L224" s="22" t="n"/>
      <c r="M224" s="23" t="n"/>
      <c r="N224" s="23" t="n"/>
      <c r="O224" s="23" t="n"/>
      <c r="P224" s="10">
        <f>IF(D224="","",IF(AND(M224="✓",N224="✓",O224="✓"),"✅正式",IF(M224&amp;N224&amp;O224="","入会前","手続き中")))</f>
        <v/>
      </c>
      <c r="Q224" s="24" t="n"/>
      <c r="R224" s="24" t="n"/>
      <c r="S224" s="10">
        <f>IF(OR(D224="",R224=""),"",TODAY()-R224)</f>
        <v/>
      </c>
      <c r="T224" s="22" t="n"/>
      <c r="U224" s="24" t="n"/>
      <c r="V224" s="23" t="n"/>
      <c r="W224" s="14">
        <f>IF(OR(D224="",V224="辞退",V224="保留",P224="✅正式"),"",TRIM(IF(AND(U224&lt;&gt;"",U224&lt;TODAY()),"期日超過 ","")&amp;IF(AND(S224&lt;&gt;"",S224&gt;='設定'!$B$9),"放置"&amp;S224&amp;"日 ","")&amp;IF(AND(J224="CCS済",M224&lt;&gt;"✓"),"CCS後の申込待ち ","")&amp;IF(AND(M224="✓",N224&lt;&gt;"✓"),"振込待ち ","")&amp;IF(AND(N224="✓",O224&lt;&gt;"✓"),"同意書待ち ","")&amp;IF(T224="","次アクション未設定","")))</f>
        <v/>
      </c>
      <c r="X224" s="10" t="n"/>
      <c r="Y224" s="22" t="n"/>
    </row>
    <row r="225">
      <c r="A225" s="10">
        <f>IF(D225="","",ROW()-4)</f>
        <v/>
      </c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4" t="n"/>
      <c r="L225" s="22" t="n"/>
      <c r="M225" s="23" t="n"/>
      <c r="N225" s="23" t="n"/>
      <c r="O225" s="23" t="n"/>
      <c r="P225" s="10">
        <f>IF(D225="","",IF(AND(M225="✓",N225="✓",O225="✓"),"✅正式",IF(M225&amp;N225&amp;O225="","入会前","手続き中")))</f>
        <v/>
      </c>
      <c r="Q225" s="24" t="n"/>
      <c r="R225" s="24" t="n"/>
      <c r="S225" s="10">
        <f>IF(OR(D225="",R225=""),"",TODAY()-R225)</f>
        <v/>
      </c>
      <c r="T225" s="22" t="n"/>
      <c r="U225" s="24" t="n"/>
      <c r="V225" s="23" t="n"/>
      <c r="W225" s="14">
        <f>IF(OR(D225="",V225="辞退",V225="保留",P225="✅正式"),"",TRIM(IF(AND(U225&lt;&gt;"",U225&lt;TODAY()),"期日超過 ","")&amp;IF(AND(S225&lt;&gt;"",S225&gt;='設定'!$B$9),"放置"&amp;S225&amp;"日 ","")&amp;IF(AND(J225="CCS済",M225&lt;&gt;"✓"),"CCS後の申込待ち ","")&amp;IF(AND(M225="✓",N225&lt;&gt;"✓"),"振込待ち ","")&amp;IF(AND(N225="✓",O225&lt;&gt;"✓"),"同意書待ち ","")&amp;IF(T225="","次アクション未設定","")))</f>
        <v/>
      </c>
      <c r="X225" s="10" t="n"/>
      <c r="Y225" s="22" t="n"/>
    </row>
    <row r="226">
      <c r="A226" s="10">
        <f>IF(D226="","",ROW()-4)</f>
        <v/>
      </c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3" t="n"/>
      <c r="K226" s="24" t="n"/>
      <c r="L226" s="22" t="n"/>
      <c r="M226" s="23" t="n"/>
      <c r="N226" s="23" t="n"/>
      <c r="O226" s="23" t="n"/>
      <c r="P226" s="10">
        <f>IF(D226="","",IF(AND(M226="✓",N226="✓",O226="✓"),"✅正式",IF(M226&amp;N226&amp;O226="","入会前","手続き中")))</f>
        <v/>
      </c>
      <c r="Q226" s="24" t="n"/>
      <c r="R226" s="24" t="n"/>
      <c r="S226" s="10">
        <f>IF(OR(D226="",R226=""),"",TODAY()-R226)</f>
        <v/>
      </c>
      <c r="T226" s="22" t="n"/>
      <c r="U226" s="24" t="n"/>
      <c r="V226" s="23" t="n"/>
      <c r="W226" s="14">
        <f>IF(OR(D226="",V226="辞退",V226="保留",P226="✅正式"),"",TRIM(IF(AND(U226&lt;&gt;"",U226&lt;TODAY()),"期日超過 ","")&amp;IF(AND(S226&lt;&gt;"",S226&gt;='設定'!$B$9),"放置"&amp;S226&amp;"日 ","")&amp;IF(AND(J226="CCS済",M226&lt;&gt;"✓"),"CCS後の申込待ち ","")&amp;IF(AND(M226="✓",N226&lt;&gt;"✓"),"振込待ち ","")&amp;IF(AND(N226="✓",O226&lt;&gt;"✓"),"同意書待ち ","")&amp;IF(T226="","次アクション未設定","")))</f>
        <v/>
      </c>
      <c r="X226" s="10" t="n"/>
      <c r="Y226" s="22" t="n"/>
    </row>
    <row r="227">
      <c r="A227" s="10">
        <f>IF(D227="","",ROW()-4)</f>
        <v/>
      </c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4" t="n"/>
      <c r="L227" s="22" t="n"/>
      <c r="M227" s="23" t="n"/>
      <c r="N227" s="23" t="n"/>
      <c r="O227" s="23" t="n"/>
      <c r="P227" s="10">
        <f>IF(D227="","",IF(AND(M227="✓",N227="✓",O227="✓"),"✅正式",IF(M227&amp;N227&amp;O227="","入会前","手続き中")))</f>
        <v/>
      </c>
      <c r="Q227" s="24" t="n"/>
      <c r="R227" s="24" t="n"/>
      <c r="S227" s="10">
        <f>IF(OR(D227="",R227=""),"",TODAY()-R227)</f>
        <v/>
      </c>
      <c r="T227" s="22" t="n"/>
      <c r="U227" s="24" t="n"/>
      <c r="V227" s="23" t="n"/>
      <c r="W227" s="14">
        <f>IF(OR(D227="",V227="辞退",V227="保留",P227="✅正式"),"",TRIM(IF(AND(U227&lt;&gt;"",U227&lt;TODAY()),"期日超過 ","")&amp;IF(AND(S227&lt;&gt;"",S227&gt;='設定'!$B$9),"放置"&amp;S227&amp;"日 ","")&amp;IF(AND(J227="CCS済",M227&lt;&gt;"✓"),"CCS後の申込待ち ","")&amp;IF(AND(M227="✓",N227&lt;&gt;"✓"),"振込待ち ","")&amp;IF(AND(N227="✓",O227&lt;&gt;"✓"),"同意書待ち ","")&amp;IF(T227="","次アクション未設定","")))</f>
        <v/>
      </c>
      <c r="X227" s="10" t="n"/>
      <c r="Y227" s="22" t="n"/>
    </row>
    <row r="228">
      <c r="A228" s="10">
        <f>IF(D228="","",ROW()-4)</f>
        <v/>
      </c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3" t="n"/>
      <c r="K228" s="24" t="n"/>
      <c r="L228" s="22" t="n"/>
      <c r="M228" s="23" t="n"/>
      <c r="N228" s="23" t="n"/>
      <c r="O228" s="23" t="n"/>
      <c r="P228" s="10">
        <f>IF(D228="","",IF(AND(M228="✓",N228="✓",O228="✓"),"✅正式",IF(M228&amp;N228&amp;O228="","入会前","手続き中")))</f>
        <v/>
      </c>
      <c r="Q228" s="24" t="n"/>
      <c r="R228" s="24" t="n"/>
      <c r="S228" s="10">
        <f>IF(OR(D228="",R228=""),"",TODAY()-R228)</f>
        <v/>
      </c>
      <c r="T228" s="22" t="n"/>
      <c r="U228" s="24" t="n"/>
      <c r="V228" s="23" t="n"/>
      <c r="W228" s="14">
        <f>IF(OR(D228="",V228="辞退",V228="保留",P228="✅正式"),"",TRIM(IF(AND(U228&lt;&gt;"",U228&lt;TODAY()),"期日超過 ","")&amp;IF(AND(S228&lt;&gt;"",S228&gt;='設定'!$B$9),"放置"&amp;S228&amp;"日 ","")&amp;IF(AND(J228="CCS済",M228&lt;&gt;"✓"),"CCS後の申込待ち ","")&amp;IF(AND(M228="✓",N228&lt;&gt;"✓"),"振込待ち ","")&amp;IF(AND(N228="✓",O228&lt;&gt;"✓"),"同意書待ち ","")&amp;IF(T228="","次アクション未設定","")))</f>
        <v/>
      </c>
      <c r="X228" s="10" t="n"/>
      <c r="Y228" s="22" t="n"/>
    </row>
    <row r="229">
      <c r="A229" s="10">
        <f>IF(D229="","",ROW()-4)</f>
        <v/>
      </c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4" t="n"/>
      <c r="L229" s="22" t="n"/>
      <c r="M229" s="23" t="n"/>
      <c r="N229" s="23" t="n"/>
      <c r="O229" s="23" t="n"/>
      <c r="P229" s="10">
        <f>IF(D229="","",IF(AND(M229="✓",N229="✓",O229="✓"),"✅正式",IF(M229&amp;N229&amp;O229="","入会前","手続き中")))</f>
        <v/>
      </c>
      <c r="Q229" s="24" t="n"/>
      <c r="R229" s="24" t="n"/>
      <c r="S229" s="10">
        <f>IF(OR(D229="",R229=""),"",TODAY()-R229)</f>
        <v/>
      </c>
      <c r="T229" s="22" t="n"/>
      <c r="U229" s="24" t="n"/>
      <c r="V229" s="23" t="n"/>
      <c r="W229" s="14">
        <f>IF(OR(D229="",V229="辞退",V229="保留",P229="✅正式"),"",TRIM(IF(AND(U229&lt;&gt;"",U229&lt;TODAY()),"期日超過 ","")&amp;IF(AND(S229&lt;&gt;"",S229&gt;='設定'!$B$9),"放置"&amp;S229&amp;"日 ","")&amp;IF(AND(J229="CCS済",M229&lt;&gt;"✓"),"CCS後の申込待ち ","")&amp;IF(AND(M229="✓",N229&lt;&gt;"✓"),"振込待ち ","")&amp;IF(AND(N229="✓",O229&lt;&gt;"✓"),"同意書待ち ","")&amp;IF(T229="","次アクション未設定","")))</f>
        <v/>
      </c>
      <c r="X229" s="10" t="n"/>
      <c r="Y229" s="22" t="n"/>
    </row>
    <row r="230">
      <c r="A230" s="10">
        <f>IF(D230="","",ROW()-4)</f>
        <v/>
      </c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3" t="n"/>
      <c r="K230" s="24" t="n"/>
      <c r="L230" s="22" t="n"/>
      <c r="M230" s="23" t="n"/>
      <c r="N230" s="23" t="n"/>
      <c r="O230" s="23" t="n"/>
      <c r="P230" s="10">
        <f>IF(D230="","",IF(AND(M230="✓",N230="✓",O230="✓"),"✅正式",IF(M230&amp;N230&amp;O230="","入会前","手続き中")))</f>
        <v/>
      </c>
      <c r="Q230" s="24" t="n"/>
      <c r="R230" s="24" t="n"/>
      <c r="S230" s="10">
        <f>IF(OR(D230="",R230=""),"",TODAY()-R230)</f>
        <v/>
      </c>
      <c r="T230" s="22" t="n"/>
      <c r="U230" s="24" t="n"/>
      <c r="V230" s="23" t="n"/>
      <c r="W230" s="14">
        <f>IF(OR(D230="",V230="辞退",V230="保留",P230="✅正式"),"",TRIM(IF(AND(U230&lt;&gt;"",U230&lt;TODAY()),"期日超過 ","")&amp;IF(AND(S230&lt;&gt;"",S230&gt;='設定'!$B$9),"放置"&amp;S230&amp;"日 ","")&amp;IF(AND(J230="CCS済",M230&lt;&gt;"✓"),"CCS後の申込待ち ","")&amp;IF(AND(M230="✓",N230&lt;&gt;"✓"),"振込待ち ","")&amp;IF(AND(N230="✓",O230&lt;&gt;"✓"),"同意書待ち ","")&amp;IF(T230="","次アクション未設定","")))</f>
        <v/>
      </c>
      <c r="X230" s="10" t="n"/>
      <c r="Y230" s="22" t="n"/>
    </row>
    <row r="231">
      <c r="A231" s="10">
        <f>IF(D231="","",ROW()-4)</f>
        <v/>
      </c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4" t="n"/>
      <c r="L231" s="22" t="n"/>
      <c r="M231" s="23" t="n"/>
      <c r="N231" s="23" t="n"/>
      <c r="O231" s="23" t="n"/>
      <c r="P231" s="10">
        <f>IF(D231="","",IF(AND(M231="✓",N231="✓",O231="✓"),"✅正式",IF(M231&amp;N231&amp;O231="","入会前","手続き中")))</f>
        <v/>
      </c>
      <c r="Q231" s="24" t="n"/>
      <c r="R231" s="24" t="n"/>
      <c r="S231" s="10">
        <f>IF(OR(D231="",R231=""),"",TODAY()-R231)</f>
        <v/>
      </c>
      <c r="T231" s="22" t="n"/>
      <c r="U231" s="24" t="n"/>
      <c r="V231" s="23" t="n"/>
      <c r="W231" s="14">
        <f>IF(OR(D231="",V231="辞退",V231="保留",P231="✅正式"),"",TRIM(IF(AND(U231&lt;&gt;"",U231&lt;TODAY()),"期日超過 ","")&amp;IF(AND(S231&lt;&gt;"",S231&gt;='設定'!$B$9),"放置"&amp;S231&amp;"日 ","")&amp;IF(AND(J231="CCS済",M231&lt;&gt;"✓"),"CCS後の申込待ち ","")&amp;IF(AND(M231="✓",N231&lt;&gt;"✓"),"振込待ち ","")&amp;IF(AND(N231="✓",O231&lt;&gt;"✓"),"同意書待ち ","")&amp;IF(T231="","次アクション未設定","")))</f>
        <v/>
      </c>
      <c r="X231" s="10" t="n"/>
      <c r="Y231" s="22" t="n"/>
    </row>
    <row r="232">
      <c r="A232" s="10">
        <f>IF(D232="","",ROW()-4)</f>
        <v/>
      </c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3" t="n"/>
      <c r="K232" s="24" t="n"/>
      <c r="L232" s="22" t="n"/>
      <c r="M232" s="23" t="n"/>
      <c r="N232" s="23" t="n"/>
      <c r="O232" s="23" t="n"/>
      <c r="P232" s="10">
        <f>IF(D232="","",IF(AND(M232="✓",N232="✓",O232="✓"),"✅正式",IF(M232&amp;N232&amp;O232="","入会前","手続き中")))</f>
        <v/>
      </c>
      <c r="Q232" s="24" t="n"/>
      <c r="R232" s="24" t="n"/>
      <c r="S232" s="10">
        <f>IF(OR(D232="",R232=""),"",TODAY()-R232)</f>
        <v/>
      </c>
      <c r="T232" s="22" t="n"/>
      <c r="U232" s="24" t="n"/>
      <c r="V232" s="23" t="n"/>
      <c r="W232" s="14">
        <f>IF(OR(D232="",V232="辞退",V232="保留",P232="✅正式"),"",TRIM(IF(AND(U232&lt;&gt;"",U232&lt;TODAY()),"期日超過 ","")&amp;IF(AND(S232&lt;&gt;"",S232&gt;='設定'!$B$9),"放置"&amp;S232&amp;"日 ","")&amp;IF(AND(J232="CCS済",M232&lt;&gt;"✓"),"CCS後の申込待ち ","")&amp;IF(AND(M232="✓",N232&lt;&gt;"✓"),"振込待ち ","")&amp;IF(AND(N232="✓",O232&lt;&gt;"✓"),"同意書待ち ","")&amp;IF(T232="","次アクション未設定","")))</f>
        <v/>
      </c>
      <c r="X232" s="10" t="n"/>
      <c r="Y232" s="22" t="n"/>
    </row>
    <row r="233">
      <c r="A233" s="10">
        <f>IF(D233="","",ROW()-4)</f>
        <v/>
      </c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4" t="n"/>
      <c r="L233" s="22" t="n"/>
      <c r="M233" s="23" t="n"/>
      <c r="N233" s="23" t="n"/>
      <c r="O233" s="23" t="n"/>
      <c r="P233" s="10">
        <f>IF(D233="","",IF(AND(M233="✓",N233="✓",O233="✓"),"✅正式",IF(M233&amp;N233&amp;O233="","入会前","手続き中")))</f>
        <v/>
      </c>
      <c r="Q233" s="24" t="n"/>
      <c r="R233" s="24" t="n"/>
      <c r="S233" s="10">
        <f>IF(OR(D233="",R233=""),"",TODAY()-R233)</f>
        <v/>
      </c>
      <c r="T233" s="22" t="n"/>
      <c r="U233" s="24" t="n"/>
      <c r="V233" s="23" t="n"/>
      <c r="W233" s="14">
        <f>IF(OR(D233="",V233="辞退",V233="保留",P233="✅正式"),"",TRIM(IF(AND(U233&lt;&gt;"",U233&lt;TODAY()),"期日超過 ","")&amp;IF(AND(S233&lt;&gt;"",S233&gt;='設定'!$B$9),"放置"&amp;S233&amp;"日 ","")&amp;IF(AND(J233="CCS済",M233&lt;&gt;"✓"),"CCS後の申込待ち ","")&amp;IF(AND(M233="✓",N233&lt;&gt;"✓"),"振込待ち ","")&amp;IF(AND(N233="✓",O233&lt;&gt;"✓"),"同意書待ち ","")&amp;IF(T233="","次アクション未設定","")))</f>
        <v/>
      </c>
      <c r="X233" s="10" t="n"/>
      <c r="Y233" s="22" t="n"/>
    </row>
    <row r="234">
      <c r="A234" s="10">
        <f>IF(D234="","",ROW()-4)</f>
        <v/>
      </c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3" t="n"/>
      <c r="K234" s="24" t="n"/>
      <c r="L234" s="22" t="n"/>
      <c r="M234" s="23" t="n"/>
      <c r="N234" s="23" t="n"/>
      <c r="O234" s="23" t="n"/>
      <c r="P234" s="10">
        <f>IF(D234="","",IF(AND(M234="✓",N234="✓",O234="✓"),"✅正式",IF(M234&amp;N234&amp;O234="","入会前","手続き中")))</f>
        <v/>
      </c>
      <c r="Q234" s="24" t="n"/>
      <c r="R234" s="24" t="n"/>
      <c r="S234" s="10">
        <f>IF(OR(D234="",R234=""),"",TODAY()-R234)</f>
        <v/>
      </c>
      <c r="T234" s="22" t="n"/>
      <c r="U234" s="24" t="n"/>
      <c r="V234" s="23" t="n"/>
      <c r="W234" s="14">
        <f>IF(OR(D234="",V234="辞退",V234="保留",P234="✅正式"),"",TRIM(IF(AND(U234&lt;&gt;"",U234&lt;TODAY()),"期日超過 ","")&amp;IF(AND(S234&lt;&gt;"",S234&gt;='設定'!$B$9),"放置"&amp;S234&amp;"日 ","")&amp;IF(AND(J234="CCS済",M234&lt;&gt;"✓"),"CCS後の申込待ち ","")&amp;IF(AND(M234="✓",N234&lt;&gt;"✓"),"振込待ち ","")&amp;IF(AND(N234="✓",O234&lt;&gt;"✓"),"同意書待ち ","")&amp;IF(T234="","次アクション未設定","")))</f>
        <v/>
      </c>
      <c r="X234" s="10" t="n"/>
      <c r="Y234" s="22" t="n"/>
    </row>
    <row r="235">
      <c r="A235" s="10">
        <f>IF(D235="","",ROW()-4)</f>
        <v/>
      </c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4" t="n"/>
      <c r="L235" s="22" t="n"/>
      <c r="M235" s="23" t="n"/>
      <c r="N235" s="23" t="n"/>
      <c r="O235" s="23" t="n"/>
      <c r="P235" s="10">
        <f>IF(D235="","",IF(AND(M235="✓",N235="✓",O235="✓"),"✅正式",IF(M235&amp;N235&amp;O235="","入会前","手続き中")))</f>
        <v/>
      </c>
      <c r="Q235" s="24" t="n"/>
      <c r="R235" s="24" t="n"/>
      <c r="S235" s="10">
        <f>IF(OR(D235="",R235=""),"",TODAY()-R235)</f>
        <v/>
      </c>
      <c r="T235" s="22" t="n"/>
      <c r="U235" s="24" t="n"/>
      <c r="V235" s="23" t="n"/>
      <c r="W235" s="14">
        <f>IF(OR(D235="",V235="辞退",V235="保留",P235="✅正式"),"",TRIM(IF(AND(U235&lt;&gt;"",U235&lt;TODAY()),"期日超過 ","")&amp;IF(AND(S235&lt;&gt;"",S235&gt;='設定'!$B$9),"放置"&amp;S235&amp;"日 ","")&amp;IF(AND(J235="CCS済",M235&lt;&gt;"✓"),"CCS後の申込待ち ","")&amp;IF(AND(M235="✓",N235&lt;&gt;"✓"),"振込待ち ","")&amp;IF(AND(N235="✓",O235&lt;&gt;"✓"),"同意書待ち ","")&amp;IF(T235="","次アクション未設定","")))</f>
        <v/>
      </c>
      <c r="X235" s="10" t="n"/>
      <c r="Y235" s="22" t="n"/>
    </row>
    <row r="236">
      <c r="A236" s="10">
        <f>IF(D236="","",ROW()-4)</f>
        <v/>
      </c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3" t="n"/>
      <c r="K236" s="24" t="n"/>
      <c r="L236" s="22" t="n"/>
      <c r="M236" s="23" t="n"/>
      <c r="N236" s="23" t="n"/>
      <c r="O236" s="23" t="n"/>
      <c r="P236" s="10">
        <f>IF(D236="","",IF(AND(M236="✓",N236="✓",O236="✓"),"✅正式",IF(M236&amp;N236&amp;O236="","入会前","手続き中")))</f>
        <v/>
      </c>
      <c r="Q236" s="24" t="n"/>
      <c r="R236" s="24" t="n"/>
      <c r="S236" s="10">
        <f>IF(OR(D236="",R236=""),"",TODAY()-R236)</f>
        <v/>
      </c>
      <c r="T236" s="22" t="n"/>
      <c r="U236" s="24" t="n"/>
      <c r="V236" s="23" t="n"/>
      <c r="W236" s="14">
        <f>IF(OR(D236="",V236="辞退",V236="保留",P236="✅正式"),"",TRIM(IF(AND(U236&lt;&gt;"",U236&lt;TODAY()),"期日超過 ","")&amp;IF(AND(S236&lt;&gt;"",S236&gt;='設定'!$B$9),"放置"&amp;S236&amp;"日 ","")&amp;IF(AND(J236="CCS済",M236&lt;&gt;"✓"),"CCS後の申込待ち ","")&amp;IF(AND(M236="✓",N236&lt;&gt;"✓"),"振込待ち ","")&amp;IF(AND(N236="✓",O236&lt;&gt;"✓"),"同意書待ち ","")&amp;IF(T236="","次アクション未設定","")))</f>
        <v/>
      </c>
      <c r="X236" s="10" t="n"/>
      <c r="Y236" s="22" t="n"/>
    </row>
    <row r="237">
      <c r="A237" s="10">
        <f>IF(D237="","",ROW()-4)</f>
        <v/>
      </c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4" t="n"/>
      <c r="L237" s="22" t="n"/>
      <c r="M237" s="23" t="n"/>
      <c r="N237" s="23" t="n"/>
      <c r="O237" s="23" t="n"/>
      <c r="P237" s="10">
        <f>IF(D237="","",IF(AND(M237="✓",N237="✓",O237="✓"),"✅正式",IF(M237&amp;N237&amp;O237="","入会前","手続き中")))</f>
        <v/>
      </c>
      <c r="Q237" s="24" t="n"/>
      <c r="R237" s="24" t="n"/>
      <c r="S237" s="10">
        <f>IF(OR(D237="",R237=""),"",TODAY()-R237)</f>
        <v/>
      </c>
      <c r="T237" s="22" t="n"/>
      <c r="U237" s="24" t="n"/>
      <c r="V237" s="23" t="n"/>
      <c r="W237" s="14">
        <f>IF(OR(D237="",V237="辞退",V237="保留",P237="✅正式"),"",TRIM(IF(AND(U237&lt;&gt;"",U237&lt;TODAY()),"期日超過 ","")&amp;IF(AND(S237&lt;&gt;"",S237&gt;='設定'!$B$9),"放置"&amp;S237&amp;"日 ","")&amp;IF(AND(J237="CCS済",M237&lt;&gt;"✓"),"CCS後の申込待ち ","")&amp;IF(AND(M237="✓",N237&lt;&gt;"✓"),"振込待ち ","")&amp;IF(AND(N237="✓",O237&lt;&gt;"✓"),"同意書待ち ","")&amp;IF(T237="","次アクション未設定","")))</f>
        <v/>
      </c>
      <c r="X237" s="10" t="n"/>
      <c r="Y237" s="22" t="n"/>
    </row>
    <row r="238">
      <c r="A238" s="10">
        <f>IF(D238="","",ROW()-4)</f>
        <v/>
      </c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3" t="n"/>
      <c r="K238" s="24" t="n"/>
      <c r="L238" s="22" t="n"/>
      <c r="M238" s="23" t="n"/>
      <c r="N238" s="23" t="n"/>
      <c r="O238" s="23" t="n"/>
      <c r="P238" s="10">
        <f>IF(D238="","",IF(AND(M238="✓",N238="✓",O238="✓"),"✅正式",IF(M238&amp;N238&amp;O238="","入会前","手続き中")))</f>
        <v/>
      </c>
      <c r="Q238" s="24" t="n"/>
      <c r="R238" s="24" t="n"/>
      <c r="S238" s="10">
        <f>IF(OR(D238="",R238=""),"",TODAY()-R238)</f>
        <v/>
      </c>
      <c r="T238" s="22" t="n"/>
      <c r="U238" s="24" t="n"/>
      <c r="V238" s="23" t="n"/>
      <c r="W238" s="14">
        <f>IF(OR(D238="",V238="辞退",V238="保留",P238="✅正式"),"",TRIM(IF(AND(U238&lt;&gt;"",U238&lt;TODAY()),"期日超過 ","")&amp;IF(AND(S238&lt;&gt;"",S238&gt;='設定'!$B$9),"放置"&amp;S238&amp;"日 ","")&amp;IF(AND(J238="CCS済",M238&lt;&gt;"✓"),"CCS後の申込待ち ","")&amp;IF(AND(M238="✓",N238&lt;&gt;"✓"),"振込待ち ","")&amp;IF(AND(N238="✓",O238&lt;&gt;"✓"),"同意書待ち ","")&amp;IF(T238="","次アクション未設定","")))</f>
        <v/>
      </c>
      <c r="X238" s="10" t="n"/>
      <c r="Y238" s="22" t="n"/>
    </row>
    <row r="239">
      <c r="A239" s="10">
        <f>IF(D239="","",ROW()-4)</f>
        <v/>
      </c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4" t="n"/>
      <c r="L239" s="22" t="n"/>
      <c r="M239" s="23" t="n"/>
      <c r="N239" s="23" t="n"/>
      <c r="O239" s="23" t="n"/>
      <c r="P239" s="10">
        <f>IF(D239="","",IF(AND(M239="✓",N239="✓",O239="✓"),"✅正式",IF(M239&amp;N239&amp;O239="","入会前","手続き中")))</f>
        <v/>
      </c>
      <c r="Q239" s="24" t="n"/>
      <c r="R239" s="24" t="n"/>
      <c r="S239" s="10">
        <f>IF(OR(D239="",R239=""),"",TODAY()-R239)</f>
        <v/>
      </c>
      <c r="T239" s="22" t="n"/>
      <c r="U239" s="24" t="n"/>
      <c r="V239" s="23" t="n"/>
      <c r="W239" s="14">
        <f>IF(OR(D239="",V239="辞退",V239="保留",P239="✅正式"),"",TRIM(IF(AND(U239&lt;&gt;"",U239&lt;TODAY()),"期日超過 ","")&amp;IF(AND(S239&lt;&gt;"",S239&gt;='設定'!$B$9),"放置"&amp;S239&amp;"日 ","")&amp;IF(AND(J239="CCS済",M239&lt;&gt;"✓"),"CCS後の申込待ち ","")&amp;IF(AND(M239="✓",N239&lt;&gt;"✓"),"振込待ち ","")&amp;IF(AND(N239="✓",O239&lt;&gt;"✓"),"同意書待ち ","")&amp;IF(T239="","次アクション未設定","")))</f>
        <v/>
      </c>
      <c r="X239" s="10" t="n"/>
      <c r="Y239" s="22" t="n"/>
    </row>
    <row r="240">
      <c r="A240" s="10">
        <f>IF(D240="","",ROW()-4)</f>
        <v/>
      </c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3" t="n"/>
      <c r="K240" s="24" t="n"/>
      <c r="L240" s="22" t="n"/>
      <c r="M240" s="23" t="n"/>
      <c r="N240" s="23" t="n"/>
      <c r="O240" s="23" t="n"/>
      <c r="P240" s="10">
        <f>IF(D240="","",IF(AND(M240="✓",N240="✓",O240="✓"),"✅正式",IF(M240&amp;N240&amp;O240="","入会前","手続き中")))</f>
        <v/>
      </c>
      <c r="Q240" s="24" t="n"/>
      <c r="R240" s="24" t="n"/>
      <c r="S240" s="10">
        <f>IF(OR(D240="",R240=""),"",TODAY()-R240)</f>
        <v/>
      </c>
      <c r="T240" s="22" t="n"/>
      <c r="U240" s="24" t="n"/>
      <c r="V240" s="23" t="n"/>
      <c r="W240" s="14">
        <f>IF(OR(D240="",V240="辞退",V240="保留",P240="✅正式"),"",TRIM(IF(AND(U240&lt;&gt;"",U240&lt;TODAY()),"期日超過 ","")&amp;IF(AND(S240&lt;&gt;"",S240&gt;='設定'!$B$9),"放置"&amp;S240&amp;"日 ","")&amp;IF(AND(J240="CCS済",M240&lt;&gt;"✓"),"CCS後の申込待ち ","")&amp;IF(AND(M240="✓",N240&lt;&gt;"✓"),"振込待ち ","")&amp;IF(AND(N240="✓",O240&lt;&gt;"✓"),"同意書待ち ","")&amp;IF(T240="","次アクション未設定","")))</f>
        <v/>
      </c>
      <c r="X240" s="10" t="n"/>
      <c r="Y240" s="22" t="n"/>
    </row>
    <row r="241">
      <c r="A241" s="10">
        <f>IF(D241="","",ROW()-4)</f>
        <v/>
      </c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4" t="n"/>
      <c r="L241" s="22" t="n"/>
      <c r="M241" s="23" t="n"/>
      <c r="N241" s="23" t="n"/>
      <c r="O241" s="23" t="n"/>
      <c r="P241" s="10">
        <f>IF(D241="","",IF(AND(M241="✓",N241="✓",O241="✓"),"✅正式",IF(M241&amp;N241&amp;O241="","入会前","手続き中")))</f>
        <v/>
      </c>
      <c r="Q241" s="24" t="n"/>
      <c r="R241" s="24" t="n"/>
      <c r="S241" s="10">
        <f>IF(OR(D241="",R241=""),"",TODAY()-R241)</f>
        <v/>
      </c>
      <c r="T241" s="22" t="n"/>
      <c r="U241" s="24" t="n"/>
      <c r="V241" s="23" t="n"/>
      <c r="W241" s="14">
        <f>IF(OR(D241="",V241="辞退",V241="保留",P241="✅正式"),"",TRIM(IF(AND(U241&lt;&gt;"",U241&lt;TODAY()),"期日超過 ","")&amp;IF(AND(S241&lt;&gt;"",S241&gt;='設定'!$B$9),"放置"&amp;S241&amp;"日 ","")&amp;IF(AND(J241="CCS済",M241&lt;&gt;"✓"),"CCS後の申込待ち ","")&amp;IF(AND(M241="✓",N241&lt;&gt;"✓"),"振込待ち ","")&amp;IF(AND(N241="✓",O241&lt;&gt;"✓"),"同意書待ち ","")&amp;IF(T241="","次アクション未設定","")))</f>
        <v/>
      </c>
      <c r="X241" s="10" t="n"/>
      <c r="Y241" s="22" t="n"/>
    </row>
    <row r="242">
      <c r="A242" s="10">
        <f>IF(D242="","",ROW()-4)</f>
        <v/>
      </c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3" t="n"/>
      <c r="K242" s="24" t="n"/>
      <c r="L242" s="22" t="n"/>
      <c r="M242" s="23" t="n"/>
      <c r="N242" s="23" t="n"/>
      <c r="O242" s="23" t="n"/>
      <c r="P242" s="10">
        <f>IF(D242="","",IF(AND(M242="✓",N242="✓",O242="✓"),"✅正式",IF(M242&amp;N242&amp;O242="","入会前","手続き中")))</f>
        <v/>
      </c>
      <c r="Q242" s="24" t="n"/>
      <c r="R242" s="24" t="n"/>
      <c r="S242" s="10">
        <f>IF(OR(D242="",R242=""),"",TODAY()-R242)</f>
        <v/>
      </c>
      <c r="T242" s="22" t="n"/>
      <c r="U242" s="24" t="n"/>
      <c r="V242" s="23" t="n"/>
      <c r="W242" s="14">
        <f>IF(OR(D242="",V242="辞退",V242="保留",P242="✅正式"),"",TRIM(IF(AND(U242&lt;&gt;"",U242&lt;TODAY()),"期日超過 ","")&amp;IF(AND(S242&lt;&gt;"",S242&gt;='設定'!$B$9),"放置"&amp;S242&amp;"日 ","")&amp;IF(AND(J242="CCS済",M242&lt;&gt;"✓"),"CCS後の申込待ち ","")&amp;IF(AND(M242="✓",N242&lt;&gt;"✓"),"振込待ち ","")&amp;IF(AND(N242="✓",O242&lt;&gt;"✓"),"同意書待ち ","")&amp;IF(T242="","次アクション未設定","")))</f>
        <v/>
      </c>
      <c r="X242" s="10" t="n"/>
      <c r="Y242" s="22" t="n"/>
    </row>
    <row r="243">
      <c r="A243" s="10">
        <f>IF(D243="","",ROW()-4)</f>
        <v/>
      </c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4" t="n"/>
      <c r="L243" s="22" t="n"/>
      <c r="M243" s="23" t="n"/>
      <c r="N243" s="23" t="n"/>
      <c r="O243" s="23" t="n"/>
      <c r="P243" s="10">
        <f>IF(D243="","",IF(AND(M243="✓",N243="✓",O243="✓"),"✅正式",IF(M243&amp;N243&amp;O243="","入会前","手続き中")))</f>
        <v/>
      </c>
      <c r="Q243" s="24" t="n"/>
      <c r="R243" s="24" t="n"/>
      <c r="S243" s="10">
        <f>IF(OR(D243="",R243=""),"",TODAY()-R243)</f>
        <v/>
      </c>
      <c r="T243" s="22" t="n"/>
      <c r="U243" s="24" t="n"/>
      <c r="V243" s="23" t="n"/>
      <c r="W243" s="14">
        <f>IF(OR(D243="",V243="辞退",V243="保留",P243="✅正式"),"",TRIM(IF(AND(U243&lt;&gt;"",U243&lt;TODAY()),"期日超過 ","")&amp;IF(AND(S243&lt;&gt;"",S243&gt;='設定'!$B$9),"放置"&amp;S243&amp;"日 ","")&amp;IF(AND(J243="CCS済",M243&lt;&gt;"✓"),"CCS後の申込待ち ","")&amp;IF(AND(M243="✓",N243&lt;&gt;"✓"),"振込待ち ","")&amp;IF(AND(N243="✓",O243&lt;&gt;"✓"),"同意書待ち ","")&amp;IF(T243="","次アクション未設定","")))</f>
        <v/>
      </c>
      <c r="X243" s="10" t="n"/>
      <c r="Y243" s="22" t="n"/>
    </row>
    <row r="244">
      <c r="A244" s="10">
        <f>IF(D244="","",ROW()-4)</f>
        <v/>
      </c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3" t="n"/>
      <c r="K244" s="24" t="n"/>
      <c r="L244" s="22" t="n"/>
      <c r="M244" s="23" t="n"/>
      <c r="N244" s="23" t="n"/>
      <c r="O244" s="23" t="n"/>
      <c r="P244" s="10">
        <f>IF(D244="","",IF(AND(M244="✓",N244="✓",O244="✓"),"✅正式",IF(M244&amp;N244&amp;O244="","入会前","手続き中")))</f>
        <v/>
      </c>
      <c r="Q244" s="24" t="n"/>
      <c r="R244" s="24" t="n"/>
      <c r="S244" s="10">
        <f>IF(OR(D244="",R244=""),"",TODAY()-R244)</f>
        <v/>
      </c>
      <c r="T244" s="22" t="n"/>
      <c r="U244" s="24" t="n"/>
      <c r="V244" s="23" t="n"/>
      <c r="W244" s="14">
        <f>IF(OR(D244="",V244="辞退",V244="保留",P244="✅正式"),"",TRIM(IF(AND(U244&lt;&gt;"",U244&lt;TODAY()),"期日超過 ","")&amp;IF(AND(S244&lt;&gt;"",S244&gt;='設定'!$B$9),"放置"&amp;S244&amp;"日 ","")&amp;IF(AND(J244="CCS済",M244&lt;&gt;"✓"),"CCS後の申込待ち ","")&amp;IF(AND(M244="✓",N244&lt;&gt;"✓"),"振込待ち ","")&amp;IF(AND(N244="✓",O244&lt;&gt;"✓"),"同意書待ち ","")&amp;IF(T244="","次アクション未設定","")))</f>
        <v/>
      </c>
      <c r="X244" s="10" t="n"/>
      <c r="Y244" s="22" t="n"/>
    </row>
    <row r="245">
      <c r="A245" s="10">
        <f>IF(D245="","",ROW()-4)</f>
        <v/>
      </c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4" t="n"/>
      <c r="L245" s="22" t="n"/>
      <c r="M245" s="23" t="n"/>
      <c r="N245" s="23" t="n"/>
      <c r="O245" s="23" t="n"/>
      <c r="P245" s="10">
        <f>IF(D245="","",IF(AND(M245="✓",N245="✓",O245="✓"),"✅正式",IF(M245&amp;N245&amp;O245="","入会前","手続き中")))</f>
        <v/>
      </c>
      <c r="Q245" s="24" t="n"/>
      <c r="R245" s="24" t="n"/>
      <c r="S245" s="10">
        <f>IF(OR(D245="",R245=""),"",TODAY()-R245)</f>
        <v/>
      </c>
      <c r="T245" s="22" t="n"/>
      <c r="U245" s="24" t="n"/>
      <c r="V245" s="23" t="n"/>
      <c r="W245" s="14">
        <f>IF(OR(D245="",V245="辞退",V245="保留",P245="✅正式"),"",TRIM(IF(AND(U245&lt;&gt;"",U245&lt;TODAY()),"期日超過 ","")&amp;IF(AND(S245&lt;&gt;"",S245&gt;='設定'!$B$9),"放置"&amp;S245&amp;"日 ","")&amp;IF(AND(J245="CCS済",M245&lt;&gt;"✓"),"CCS後の申込待ち ","")&amp;IF(AND(M245="✓",N245&lt;&gt;"✓"),"振込待ち ","")&amp;IF(AND(N245="✓",O245&lt;&gt;"✓"),"同意書待ち ","")&amp;IF(T245="","次アクション未設定","")))</f>
        <v/>
      </c>
      <c r="X245" s="10" t="n"/>
      <c r="Y245" s="22" t="n"/>
    </row>
    <row r="246">
      <c r="A246" s="10">
        <f>IF(D246="","",ROW()-4)</f>
        <v/>
      </c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3" t="n"/>
      <c r="K246" s="24" t="n"/>
      <c r="L246" s="22" t="n"/>
      <c r="M246" s="23" t="n"/>
      <c r="N246" s="23" t="n"/>
      <c r="O246" s="23" t="n"/>
      <c r="P246" s="10">
        <f>IF(D246="","",IF(AND(M246="✓",N246="✓",O246="✓"),"✅正式",IF(M246&amp;N246&amp;O246="","入会前","手続き中")))</f>
        <v/>
      </c>
      <c r="Q246" s="24" t="n"/>
      <c r="R246" s="24" t="n"/>
      <c r="S246" s="10">
        <f>IF(OR(D246="",R246=""),"",TODAY()-R246)</f>
        <v/>
      </c>
      <c r="T246" s="22" t="n"/>
      <c r="U246" s="24" t="n"/>
      <c r="V246" s="23" t="n"/>
      <c r="W246" s="14">
        <f>IF(OR(D246="",V246="辞退",V246="保留",P246="✅正式"),"",TRIM(IF(AND(U246&lt;&gt;"",U246&lt;TODAY()),"期日超過 ","")&amp;IF(AND(S246&lt;&gt;"",S246&gt;='設定'!$B$9),"放置"&amp;S246&amp;"日 ","")&amp;IF(AND(J246="CCS済",M246&lt;&gt;"✓"),"CCS後の申込待ち ","")&amp;IF(AND(M246="✓",N246&lt;&gt;"✓"),"振込待ち ","")&amp;IF(AND(N246="✓",O246&lt;&gt;"✓"),"同意書待ち ","")&amp;IF(T246="","次アクション未設定","")))</f>
        <v/>
      </c>
      <c r="X246" s="10" t="n"/>
      <c r="Y246" s="22" t="n"/>
    </row>
    <row r="247">
      <c r="A247" s="10">
        <f>IF(D247="","",ROW()-4)</f>
        <v/>
      </c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4" t="n"/>
      <c r="L247" s="22" t="n"/>
      <c r="M247" s="23" t="n"/>
      <c r="N247" s="23" t="n"/>
      <c r="O247" s="23" t="n"/>
      <c r="P247" s="10">
        <f>IF(D247="","",IF(AND(M247="✓",N247="✓",O247="✓"),"✅正式",IF(M247&amp;N247&amp;O247="","入会前","手続き中")))</f>
        <v/>
      </c>
      <c r="Q247" s="24" t="n"/>
      <c r="R247" s="24" t="n"/>
      <c r="S247" s="10">
        <f>IF(OR(D247="",R247=""),"",TODAY()-R247)</f>
        <v/>
      </c>
      <c r="T247" s="22" t="n"/>
      <c r="U247" s="24" t="n"/>
      <c r="V247" s="23" t="n"/>
      <c r="W247" s="14">
        <f>IF(OR(D247="",V247="辞退",V247="保留",P247="✅正式"),"",TRIM(IF(AND(U247&lt;&gt;"",U247&lt;TODAY()),"期日超過 ","")&amp;IF(AND(S247&lt;&gt;"",S247&gt;='設定'!$B$9),"放置"&amp;S247&amp;"日 ","")&amp;IF(AND(J247="CCS済",M247&lt;&gt;"✓"),"CCS後の申込待ち ","")&amp;IF(AND(M247="✓",N247&lt;&gt;"✓"),"振込待ち ","")&amp;IF(AND(N247="✓",O247&lt;&gt;"✓"),"同意書待ち ","")&amp;IF(T247="","次アクション未設定","")))</f>
        <v/>
      </c>
      <c r="X247" s="10" t="n"/>
      <c r="Y247" s="22" t="n"/>
    </row>
    <row r="248">
      <c r="A248" s="10">
        <f>IF(D248="","",ROW()-4)</f>
        <v/>
      </c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3" t="n"/>
      <c r="K248" s="24" t="n"/>
      <c r="L248" s="22" t="n"/>
      <c r="M248" s="23" t="n"/>
      <c r="N248" s="23" t="n"/>
      <c r="O248" s="23" t="n"/>
      <c r="P248" s="10">
        <f>IF(D248="","",IF(AND(M248="✓",N248="✓",O248="✓"),"✅正式",IF(M248&amp;N248&amp;O248="","入会前","手続き中")))</f>
        <v/>
      </c>
      <c r="Q248" s="24" t="n"/>
      <c r="R248" s="24" t="n"/>
      <c r="S248" s="10">
        <f>IF(OR(D248="",R248=""),"",TODAY()-R248)</f>
        <v/>
      </c>
      <c r="T248" s="22" t="n"/>
      <c r="U248" s="24" t="n"/>
      <c r="V248" s="23" t="n"/>
      <c r="W248" s="14">
        <f>IF(OR(D248="",V248="辞退",V248="保留",P248="✅正式"),"",TRIM(IF(AND(U248&lt;&gt;"",U248&lt;TODAY()),"期日超過 ","")&amp;IF(AND(S248&lt;&gt;"",S248&gt;='設定'!$B$9),"放置"&amp;S248&amp;"日 ","")&amp;IF(AND(J248="CCS済",M248&lt;&gt;"✓"),"CCS後の申込待ち ","")&amp;IF(AND(M248="✓",N248&lt;&gt;"✓"),"振込待ち ","")&amp;IF(AND(N248="✓",O248&lt;&gt;"✓"),"同意書待ち ","")&amp;IF(T248="","次アクション未設定","")))</f>
        <v/>
      </c>
      <c r="X248" s="10" t="n"/>
      <c r="Y248" s="22" t="n"/>
    </row>
    <row r="249">
      <c r="A249" s="10">
        <f>IF(D249="","",ROW()-4)</f>
        <v/>
      </c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4" t="n"/>
      <c r="L249" s="22" t="n"/>
      <c r="M249" s="23" t="n"/>
      <c r="N249" s="23" t="n"/>
      <c r="O249" s="23" t="n"/>
      <c r="P249" s="10">
        <f>IF(D249="","",IF(AND(M249="✓",N249="✓",O249="✓"),"✅正式",IF(M249&amp;N249&amp;O249="","入会前","手続き中")))</f>
        <v/>
      </c>
      <c r="Q249" s="24" t="n"/>
      <c r="R249" s="24" t="n"/>
      <c r="S249" s="10">
        <f>IF(OR(D249="",R249=""),"",TODAY()-R249)</f>
        <v/>
      </c>
      <c r="T249" s="22" t="n"/>
      <c r="U249" s="24" t="n"/>
      <c r="V249" s="23" t="n"/>
      <c r="W249" s="14">
        <f>IF(OR(D249="",V249="辞退",V249="保留",P249="✅正式"),"",TRIM(IF(AND(U249&lt;&gt;"",U249&lt;TODAY()),"期日超過 ","")&amp;IF(AND(S249&lt;&gt;"",S249&gt;='設定'!$B$9),"放置"&amp;S249&amp;"日 ","")&amp;IF(AND(J249="CCS済",M249&lt;&gt;"✓"),"CCS後の申込待ち ","")&amp;IF(AND(M249="✓",N249&lt;&gt;"✓"),"振込待ち ","")&amp;IF(AND(N249="✓",O249&lt;&gt;"✓"),"同意書待ち ","")&amp;IF(T249="","次アクション未設定","")))</f>
        <v/>
      </c>
      <c r="X249" s="10" t="n"/>
      <c r="Y249" s="22" t="n"/>
    </row>
    <row r="250">
      <c r="A250" s="10">
        <f>IF(D250="","",ROW()-4)</f>
        <v/>
      </c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3" t="n"/>
      <c r="K250" s="24" t="n"/>
      <c r="L250" s="22" t="n"/>
      <c r="M250" s="23" t="n"/>
      <c r="N250" s="23" t="n"/>
      <c r="O250" s="23" t="n"/>
      <c r="P250" s="10">
        <f>IF(D250="","",IF(AND(M250="✓",N250="✓",O250="✓"),"✅正式",IF(M250&amp;N250&amp;O250="","入会前","手続き中")))</f>
        <v/>
      </c>
      <c r="Q250" s="24" t="n"/>
      <c r="R250" s="24" t="n"/>
      <c r="S250" s="10">
        <f>IF(OR(D250="",R250=""),"",TODAY()-R250)</f>
        <v/>
      </c>
      <c r="T250" s="22" t="n"/>
      <c r="U250" s="24" t="n"/>
      <c r="V250" s="23" t="n"/>
      <c r="W250" s="14">
        <f>IF(OR(D250="",V250="辞退",V250="保留",P250="✅正式"),"",TRIM(IF(AND(U250&lt;&gt;"",U250&lt;TODAY()),"期日超過 ","")&amp;IF(AND(S250&lt;&gt;"",S250&gt;='設定'!$B$9),"放置"&amp;S250&amp;"日 ","")&amp;IF(AND(J250="CCS済",M250&lt;&gt;"✓"),"CCS後の申込待ち ","")&amp;IF(AND(M250="✓",N250&lt;&gt;"✓"),"振込待ち ","")&amp;IF(AND(N250="✓",O250&lt;&gt;"✓"),"同意書待ち ","")&amp;IF(T250="","次アクション未設定","")))</f>
        <v/>
      </c>
      <c r="X250" s="10" t="n"/>
      <c r="Y250" s="22" t="n"/>
    </row>
    <row r="251">
      <c r="A251" s="10">
        <f>IF(D251="","",ROW()-4)</f>
        <v/>
      </c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4" t="n"/>
      <c r="L251" s="22" t="n"/>
      <c r="M251" s="23" t="n"/>
      <c r="N251" s="23" t="n"/>
      <c r="O251" s="23" t="n"/>
      <c r="P251" s="10">
        <f>IF(D251="","",IF(AND(M251="✓",N251="✓",O251="✓"),"✅正式",IF(M251&amp;N251&amp;O251="","入会前","手続き中")))</f>
        <v/>
      </c>
      <c r="Q251" s="24" t="n"/>
      <c r="R251" s="24" t="n"/>
      <c r="S251" s="10">
        <f>IF(OR(D251="",R251=""),"",TODAY()-R251)</f>
        <v/>
      </c>
      <c r="T251" s="22" t="n"/>
      <c r="U251" s="24" t="n"/>
      <c r="V251" s="23" t="n"/>
      <c r="W251" s="14">
        <f>IF(OR(D251="",V251="辞退",V251="保留",P251="✅正式"),"",TRIM(IF(AND(U251&lt;&gt;"",U251&lt;TODAY()),"期日超過 ","")&amp;IF(AND(S251&lt;&gt;"",S251&gt;='設定'!$B$9),"放置"&amp;S251&amp;"日 ","")&amp;IF(AND(J251="CCS済",M251&lt;&gt;"✓"),"CCS後の申込待ち ","")&amp;IF(AND(M251="✓",N251&lt;&gt;"✓"),"振込待ち ","")&amp;IF(AND(N251="✓",O251&lt;&gt;"✓"),"同意書待ち ","")&amp;IF(T251="","次アクション未設定","")))</f>
        <v/>
      </c>
      <c r="X251" s="10" t="n"/>
      <c r="Y251" s="22" t="n"/>
    </row>
    <row r="252">
      <c r="A252" s="10">
        <f>IF(D252="","",ROW()-4)</f>
        <v/>
      </c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3" t="n"/>
      <c r="K252" s="24" t="n"/>
      <c r="L252" s="22" t="n"/>
      <c r="M252" s="23" t="n"/>
      <c r="N252" s="23" t="n"/>
      <c r="O252" s="23" t="n"/>
      <c r="P252" s="10">
        <f>IF(D252="","",IF(AND(M252="✓",N252="✓",O252="✓"),"✅正式",IF(M252&amp;N252&amp;O252="","入会前","手続き中")))</f>
        <v/>
      </c>
      <c r="Q252" s="24" t="n"/>
      <c r="R252" s="24" t="n"/>
      <c r="S252" s="10">
        <f>IF(OR(D252="",R252=""),"",TODAY()-R252)</f>
        <v/>
      </c>
      <c r="T252" s="22" t="n"/>
      <c r="U252" s="24" t="n"/>
      <c r="V252" s="23" t="n"/>
      <c r="W252" s="14">
        <f>IF(OR(D252="",V252="辞退",V252="保留",P252="✅正式"),"",TRIM(IF(AND(U252&lt;&gt;"",U252&lt;TODAY()),"期日超過 ","")&amp;IF(AND(S252&lt;&gt;"",S252&gt;='設定'!$B$9),"放置"&amp;S252&amp;"日 ","")&amp;IF(AND(J252="CCS済",M252&lt;&gt;"✓"),"CCS後の申込待ち ","")&amp;IF(AND(M252="✓",N252&lt;&gt;"✓"),"振込待ち ","")&amp;IF(AND(N252="✓",O252&lt;&gt;"✓"),"同意書待ち ","")&amp;IF(T252="","次アクション未設定","")))</f>
        <v/>
      </c>
      <c r="X252" s="10" t="n"/>
      <c r="Y252" s="22" t="n"/>
    </row>
    <row r="253">
      <c r="A253" s="10">
        <f>IF(D253="","",ROW()-4)</f>
        <v/>
      </c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4" t="n"/>
      <c r="L253" s="22" t="n"/>
      <c r="M253" s="23" t="n"/>
      <c r="N253" s="23" t="n"/>
      <c r="O253" s="23" t="n"/>
      <c r="P253" s="10">
        <f>IF(D253="","",IF(AND(M253="✓",N253="✓",O253="✓"),"✅正式",IF(M253&amp;N253&amp;O253="","入会前","手続き中")))</f>
        <v/>
      </c>
      <c r="Q253" s="24" t="n"/>
      <c r="R253" s="24" t="n"/>
      <c r="S253" s="10">
        <f>IF(OR(D253="",R253=""),"",TODAY()-R253)</f>
        <v/>
      </c>
      <c r="T253" s="22" t="n"/>
      <c r="U253" s="24" t="n"/>
      <c r="V253" s="23" t="n"/>
      <c r="W253" s="14">
        <f>IF(OR(D253="",V253="辞退",V253="保留",P253="✅正式"),"",TRIM(IF(AND(U253&lt;&gt;"",U253&lt;TODAY()),"期日超過 ","")&amp;IF(AND(S253&lt;&gt;"",S253&gt;='設定'!$B$9),"放置"&amp;S253&amp;"日 ","")&amp;IF(AND(J253="CCS済",M253&lt;&gt;"✓"),"CCS後の申込待ち ","")&amp;IF(AND(M253="✓",N253&lt;&gt;"✓"),"振込待ち ","")&amp;IF(AND(N253="✓",O253&lt;&gt;"✓"),"同意書待ち ","")&amp;IF(T253="","次アクション未設定","")))</f>
        <v/>
      </c>
      <c r="X253" s="10" t="n"/>
      <c r="Y253" s="22" t="n"/>
    </row>
    <row r="254">
      <c r="A254" s="10">
        <f>IF(D254="","",ROW()-4)</f>
        <v/>
      </c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3" t="n"/>
      <c r="K254" s="24" t="n"/>
      <c r="L254" s="22" t="n"/>
      <c r="M254" s="23" t="n"/>
      <c r="N254" s="23" t="n"/>
      <c r="O254" s="23" t="n"/>
      <c r="P254" s="10">
        <f>IF(D254="","",IF(AND(M254="✓",N254="✓",O254="✓"),"✅正式",IF(M254&amp;N254&amp;O254="","入会前","手続き中")))</f>
        <v/>
      </c>
      <c r="Q254" s="24" t="n"/>
      <c r="R254" s="24" t="n"/>
      <c r="S254" s="10">
        <f>IF(OR(D254="",R254=""),"",TODAY()-R254)</f>
        <v/>
      </c>
      <c r="T254" s="22" t="n"/>
      <c r="U254" s="24" t="n"/>
      <c r="V254" s="23" t="n"/>
      <c r="W254" s="14">
        <f>IF(OR(D254="",V254="辞退",V254="保留",P254="✅正式"),"",TRIM(IF(AND(U254&lt;&gt;"",U254&lt;TODAY()),"期日超過 ","")&amp;IF(AND(S254&lt;&gt;"",S254&gt;='設定'!$B$9),"放置"&amp;S254&amp;"日 ","")&amp;IF(AND(J254="CCS済",M254&lt;&gt;"✓"),"CCS後の申込待ち ","")&amp;IF(AND(M254="✓",N254&lt;&gt;"✓"),"振込待ち ","")&amp;IF(AND(N254="✓",O254&lt;&gt;"✓"),"同意書待ち ","")&amp;IF(T254="","次アクション未設定","")))</f>
        <v/>
      </c>
      <c r="X254" s="10" t="n"/>
      <c r="Y254" s="22" t="n"/>
    </row>
    <row r="255">
      <c r="A255" s="10">
        <f>IF(D255="","",ROW()-4)</f>
        <v/>
      </c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4" t="n"/>
      <c r="L255" s="22" t="n"/>
      <c r="M255" s="23" t="n"/>
      <c r="N255" s="23" t="n"/>
      <c r="O255" s="23" t="n"/>
      <c r="P255" s="10">
        <f>IF(D255="","",IF(AND(M255="✓",N255="✓",O255="✓"),"✅正式",IF(M255&amp;N255&amp;O255="","入会前","手続き中")))</f>
        <v/>
      </c>
      <c r="Q255" s="24" t="n"/>
      <c r="R255" s="24" t="n"/>
      <c r="S255" s="10">
        <f>IF(OR(D255="",R255=""),"",TODAY()-R255)</f>
        <v/>
      </c>
      <c r="T255" s="22" t="n"/>
      <c r="U255" s="24" t="n"/>
      <c r="V255" s="23" t="n"/>
      <c r="W255" s="14">
        <f>IF(OR(D255="",V255="辞退",V255="保留",P255="✅正式"),"",TRIM(IF(AND(U255&lt;&gt;"",U255&lt;TODAY()),"期日超過 ","")&amp;IF(AND(S255&lt;&gt;"",S255&gt;='設定'!$B$9),"放置"&amp;S255&amp;"日 ","")&amp;IF(AND(J255="CCS済",M255&lt;&gt;"✓"),"CCS後の申込待ち ","")&amp;IF(AND(M255="✓",N255&lt;&gt;"✓"),"振込待ち ","")&amp;IF(AND(N255="✓",O255&lt;&gt;"✓"),"同意書待ち ","")&amp;IF(T255="","次アクション未設定","")))</f>
        <v/>
      </c>
      <c r="X255" s="10" t="n"/>
      <c r="Y255" s="22" t="n"/>
    </row>
    <row r="256">
      <c r="A256" s="10">
        <f>IF(D256="","",ROW()-4)</f>
        <v/>
      </c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3" t="n"/>
      <c r="K256" s="24" t="n"/>
      <c r="L256" s="22" t="n"/>
      <c r="M256" s="23" t="n"/>
      <c r="N256" s="23" t="n"/>
      <c r="O256" s="23" t="n"/>
      <c r="P256" s="10">
        <f>IF(D256="","",IF(AND(M256="✓",N256="✓",O256="✓"),"✅正式",IF(M256&amp;N256&amp;O256="","入会前","手続き中")))</f>
        <v/>
      </c>
      <c r="Q256" s="24" t="n"/>
      <c r="R256" s="24" t="n"/>
      <c r="S256" s="10">
        <f>IF(OR(D256="",R256=""),"",TODAY()-R256)</f>
        <v/>
      </c>
      <c r="T256" s="22" t="n"/>
      <c r="U256" s="24" t="n"/>
      <c r="V256" s="23" t="n"/>
      <c r="W256" s="14">
        <f>IF(OR(D256="",V256="辞退",V256="保留",P256="✅正式"),"",TRIM(IF(AND(U256&lt;&gt;"",U256&lt;TODAY()),"期日超過 ","")&amp;IF(AND(S256&lt;&gt;"",S256&gt;='設定'!$B$9),"放置"&amp;S256&amp;"日 ","")&amp;IF(AND(J256="CCS済",M256&lt;&gt;"✓"),"CCS後の申込待ち ","")&amp;IF(AND(M256="✓",N256&lt;&gt;"✓"),"振込待ち ","")&amp;IF(AND(N256="✓",O256&lt;&gt;"✓"),"同意書待ち ","")&amp;IF(T256="","次アクション未設定","")))</f>
        <v/>
      </c>
      <c r="X256" s="10" t="n"/>
      <c r="Y256" s="22" t="n"/>
    </row>
    <row r="257">
      <c r="A257" s="10">
        <f>IF(D257="","",ROW()-4)</f>
        <v/>
      </c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4" t="n"/>
      <c r="L257" s="22" t="n"/>
      <c r="M257" s="23" t="n"/>
      <c r="N257" s="23" t="n"/>
      <c r="O257" s="23" t="n"/>
      <c r="P257" s="10">
        <f>IF(D257="","",IF(AND(M257="✓",N257="✓",O257="✓"),"✅正式",IF(M257&amp;N257&amp;O257="","入会前","手続き中")))</f>
        <v/>
      </c>
      <c r="Q257" s="24" t="n"/>
      <c r="R257" s="24" t="n"/>
      <c r="S257" s="10">
        <f>IF(OR(D257="",R257=""),"",TODAY()-R257)</f>
        <v/>
      </c>
      <c r="T257" s="22" t="n"/>
      <c r="U257" s="24" t="n"/>
      <c r="V257" s="23" t="n"/>
      <c r="W257" s="14">
        <f>IF(OR(D257="",V257="辞退",V257="保留",P257="✅正式"),"",TRIM(IF(AND(U257&lt;&gt;"",U257&lt;TODAY()),"期日超過 ","")&amp;IF(AND(S257&lt;&gt;"",S257&gt;='設定'!$B$9),"放置"&amp;S257&amp;"日 ","")&amp;IF(AND(J257="CCS済",M257&lt;&gt;"✓"),"CCS後の申込待ち ","")&amp;IF(AND(M257="✓",N257&lt;&gt;"✓"),"振込待ち ","")&amp;IF(AND(N257="✓",O257&lt;&gt;"✓"),"同意書待ち ","")&amp;IF(T257="","次アクション未設定","")))</f>
        <v/>
      </c>
      <c r="X257" s="10" t="n"/>
      <c r="Y257" s="22" t="n"/>
    </row>
    <row r="258">
      <c r="A258" s="10">
        <f>IF(D258="","",ROW()-4)</f>
        <v/>
      </c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3" t="n"/>
      <c r="K258" s="24" t="n"/>
      <c r="L258" s="22" t="n"/>
      <c r="M258" s="23" t="n"/>
      <c r="N258" s="23" t="n"/>
      <c r="O258" s="23" t="n"/>
      <c r="P258" s="10">
        <f>IF(D258="","",IF(AND(M258="✓",N258="✓",O258="✓"),"✅正式",IF(M258&amp;N258&amp;O258="","入会前","手続き中")))</f>
        <v/>
      </c>
      <c r="Q258" s="24" t="n"/>
      <c r="R258" s="24" t="n"/>
      <c r="S258" s="10">
        <f>IF(OR(D258="",R258=""),"",TODAY()-R258)</f>
        <v/>
      </c>
      <c r="T258" s="22" t="n"/>
      <c r="U258" s="24" t="n"/>
      <c r="V258" s="23" t="n"/>
      <c r="W258" s="14">
        <f>IF(OR(D258="",V258="辞退",V258="保留",P258="✅正式"),"",TRIM(IF(AND(U258&lt;&gt;"",U258&lt;TODAY()),"期日超過 ","")&amp;IF(AND(S258&lt;&gt;"",S258&gt;='設定'!$B$9),"放置"&amp;S258&amp;"日 ","")&amp;IF(AND(J258="CCS済",M258&lt;&gt;"✓"),"CCS後の申込待ち ","")&amp;IF(AND(M258="✓",N258&lt;&gt;"✓"),"振込待ち ","")&amp;IF(AND(N258="✓",O258&lt;&gt;"✓"),"同意書待ち ","")&amp;IF(T258="","次アクション未設定","")))</f>
        <v/>
      </c>
      <c r="X258" s="10" t="n"/>
      <c r="Y258" s="22" t="n"/>
    </row>
    <row r="259">
      <c r="A259" s="10">
        <f>IF(D259="","",ROW()-4)</f>
        <v/>
      </c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4" t="n"/>
      <c r="L259" s="22" t="n"/>
      <c r="M259" s="23" t="n"/>
      <c r="N259" s="23" t="n"/>
      <c r="O259" s="23" t="n"/>
      <c r="P259" s="10">
        <f>IF(D259="","",IF(AND(M259="✓",N259="✓",O259="✓"),"✅正式",IF(M259&amp;N259&amp;O259="","入会前","手続き中")))</f>
        <v/>
      </c>
      <c r="Q259" s="24" t="n"/>
      <c r="R259" s="24" t="n"/>
      <c r="S259" s="10">
        <f>IF(OR(D259="",R259=""),"",TODAY()-R259)</f>
        <v/>
      </c>
      <c r="T259" s="22" t="n"/>
      <c r="U259" s="24" t="n"/>
      <c r="V259" s="23" t="n"/>
      <c r="W259" s="14">
        <f>IF(OR(D259="",V259="辞退",V259="保留",P259="✅正式"),"",TRIM(IF(AND(U259&lt;&gt;"",U259&lt;TODAY()),"期日超過 ","")&amp;IF(AND(S259&lt;&gt;"",S259&gt;='設定'!$B$9),"放置"&amp;S259&amp;"日 ","")&amp;IF(AND(J259="CCS済",M259&lt;&gt;"✓"),"CCS後の申込待ち ","")&amp;IF(AND(M259="✓",N259&lt;&gt;"✓"),"振込待ち ","")&amp;IF(AND(N259="✓",O259&lt;&gt;"✓"),"同意書待ち ","")&amp;IF(T259="","次アクション未設定","")))</f>
        <v/>
      </c>
      <c r="X259" s="10" t="n"/>
      <c r="Y259" s="22" t="n"/>
    </row>
    <row r="260">
      <c r="A260" s="10">
        <f>IF(D260="","",ROW()-4)</f>
        <v/>
      </c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3" t="n"/>
      <c r="K260" s="24" t="n"/>
      <c r="L260" s="22" t="n"/>
      <c r="M260" s="23" t="n"/>
      <c r="N260" s="23" t="n"/>
      <c r="O260" s="23" t="n"/>
      <c r="P260" s="10">
        <f>IF(D260="","",IF(AND(M260="✓",N260="✓",O260="✓"),"✅正式",IF(M260&amp;N260&amp;O260="","入会前","手続き中")))</f>
        <v/>
      </c>
      <c r="Q260" s="24" t="n"/>
      <c r="R260" s="24" t="n"/>
      <c r="S260" s="10">
        <f>IF(OR(D260="",R260=""),"",TODAY()-R260)</f>
        <v/>
      </c>
      <c r="T260" s="22" t="n"/>
      <c r="U260" s="24" t="n"/>
      <c r="V260" s="23" t="n"/>
      <c r="W260" s="14">
        <f>IF(OR(D260="",V260="辞退",V260="保留",P260="✅正式"),"",TRIM(IF(AND(U260&lt;&gt;"",U260&lt;TODAY()),"期日超過 ","")&amp;IF(AND(S260&lt;&gt;"",S260&gt;='設定'!$B$9),"放置"&amp;S260&amp;"日 ","")&amp;IF(AND(J260="CCS済",M260&lt;&gt;"✓"),"CCS後の申込待ち ","")&amp;IF(AND(M260="✓",N260&lt;&gt;"✓"),"振込待ち ","")&amp;IF(AND(N260="✓",O260&lt;&gt;"✓"),"同意書待ち ","")&amp;IF(T260="","次アクション未設定","")))</f>
        <v/>
      </c>
      <c r="X260" s="10" t="n"/>
      <c r="Y260" s="22" t="n"/>
    </row>
    <row r="261">
      <c r="A261" s="10">
        <f>IF(D261="","",ROW()-4)</f>
        <v/>
      </c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4" t="n"/>
      <c r="L261" s="22" t="n"/>
      <c r="M261" s="23" t="n"/>
      <c r="N261" s="23" t="n"/>
      <c r="O261" s="23" t="n"/>
      <c r="P261" s="10">
        <f>IF(D261="","",IF(AND(M261="✓",N261="✓",O261="✓"),"✅正式",IF(M261&amp;N261&amp;O261="","入会前","手続き中")))</f>
        <v/>
      </c>
      <c r="Q261" s="24" t="n"/>
      <c r="R261" s="24" t="n"/>
      <c r="S261" s="10">
        <f>IF(OR(D261="",R261=""),"",TODAY()-R261)</f>
        <v/>
      </c>
      <c r="T261" s="22" t="n"/>
      <c r="U261" s="24" t="n"/>
      <c r="V261" s="23" t="n"/>
      <c r="W261" s="14">
        <f>IF(OR(D261="",V261="辞退",V261="保留",P261="✅正式"),"",TRIM(IF(AND(U261&lt;&gt;"",U261&lt;TODAY()),"期日超過 ","")&amp;IF(AND(S261&lt;&gt;"",S261&gt;='設定'!$B$9),"放置"&amp;S261&amp;"日 ","")&amp;IF(AND(J261="CCS済",M261&lt;&gt;"✓"),"CCS後の申込待ち ","")&amp;IF(AND(M261="✓",N261&lt;&gt;"✓"),"振込待ち ","")&amp;IF(AND(N261="✓",O261&lt;&gt;"✓"),"同意書待ち ","")&amp;IF(T261="","次アクション未設定","")))</f>
        <v/>
      </c>
      <c r="X261" s="10" t="n"/>
      <c r="Y261" s="22" t="n"/>
    </row>
    <row r="262">
      <c r="A262" s="10">
        <f>IF(D262="","",ROW()-4)</f>
        <v/>
      </c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3" t="n"/>
      <c r="K262" s="24" t="n"/>
      <c r="L262" s="22" t="n"/>
      <c r="M262" s="23" t="n"/>
      <c r="N262" s="23" t="n"/>
      <c r="O262" s="23" t="n"/>
      <c r="P262" s="10">
        <f>IF(D262="","",IF(AND(M262="✓",N262="✓",O262="✓"),"✅正式",IF(M262&amp;N262&amp;O262="","入会前","手続き中")))</f>
        <v/>
      </c>
      <c r="Q262" s="24" t="n"/>
      <c r="R262" s="24" t="n"/>
      <c r="S262" s="10">
        <f>IF(OR(D262="",R262=""),"",TODAY()-R262)</f>
        <v/>
      </c>
      <c r="T262" s="22" t="n"/>
      <c r="U262" s="24" t="n"/>
      <c r="V262" s="23" t="n"/>
      <c r="W262" s="14">
        <f>IF(OR(D262="",V262="辞退",V262="保留",P262="✅正式"),"",TRIM(IF(AND(U262&lt;&gt;"",U262&lt;TODAY()),"期日超過 ","")&amp;IF(AND(S262&lt;&gt;"",S262&gt;='設定'!$B$9),"放置"&amp;S262&amp;"日 ","")&amp;IF(AND(J262="CCS済",M262&lt;&gt;"✓"),"CCS後の申込待ち ","")&amp;IF(AND(M262="✓",N262&lt;&gt;"✓"),"振込待ち ","")&amp;IF(AND(N262="✓",O262&lt;&gt;"✓"),"同意書待ち ","")&amp;IF(T262="","次アクション未設定","")))</f>
        <v/>
      </c>
      <c r="X262" s="10" t="n"/>
      <c r="Y262" s="22" t="n"/>
    </row>
    <row r="263">
      <c r="A263" s="10">
        <f>IF(D263="","",ROW()-4)</f>
        <v/>
      </c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4" t="n"/>
      <c r="L263" s="22" t="n"/>
      <c r="M263" s="23" t="n"/>
      <c r="N263" s="23" t="n"/>
      <c r="O263" s="23" t="n"/>
      <c r="P263" s="10">
        <f>IF(D263="","",IF(AND(M263="✓",N263="✓",O263="✓"),"✅正式",IF(M263&amp;N263&amp;O263="","入会前","手続き中")))</f>
        <v/>
      </c>
      <c r="Q263" s="24" t="n"/>
      <c r="R263" s="24" t="n"/>
      <c r="S263" s="10">
        <f>IF(OR(D263="",R263=""),"",TODAY()-R263)</f>
        <v/>
      </c>
      <c r="T263" s="22" t="n"/>
      <c r="U263" s="24" t="n"/>
      <c r="V263" s="23" t="n"/>
      <c r="W263" s="14">
        <f>IF(OR(D263="",V263="辞退",V263="保留",P263="✅正式"),"",TRIM(IF(AND(U263&lt;&gt;"",U263&lt;TODAY()),"期日超過 ","")&amp;IF(AND(S263&lt;&gt;"",S263&gt;='設定'!$B$9),"放置"&amp;S263&amp;"日 ","")&amp;IF(AND(J263="CCS済",M263&lt;&gt;"✓"),"CCS後の申込待ち ","")&amp;IF(AND(M263="✓",N263&lt;&gt;"✓"),"振込待ち ","")&amp;IF(AND(N263="✓",O263&lt;&gt;"✓"),"同意書待ち ","")&amp;IF(T263="","次アクション未設定","")))</f>
        <v/>
      </c>
      <c r="X263" s="10" t="n"/>
      <c r="Y263" s="22" t="n"/>
    </row>
    <row r="264">
      <c r="A264" s="10">
        <f>IF(D264="","",ROW()-4)</f>
        <v/>
      </c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3" t="n"/>
      <c r="K264" s="24" t="n"/>
      <c r="L264" s="22" t="n"/>
      <c r="M264" s="23" t="n"/>
      <c r="N264" s="23" t="n"/>
      <c r="O264" s="23" t="n"/>
      <c r="P264" s="10">
        <f>IF(D264="","",IF(AND(M264="✓",N264="✓",O264="✓"),"✅正式",IF(M264&amp;N264&amp;O264="","入会前","手続き中")))</f>
        <v/>
      </c>
      <c r="Q264" s="24" t="n"/>
      <c r="R264" s="24" t="n"/>
      <c r="S264" s="10">
        <f>IF(OR(D264="",R264=""),"",TODAY()-R264)</f>
        <v/>
      </c>
      <c r="T264" s="22" t="n"/>
      <c r="U264" s="24" t="n"/>
      <c r="V264" s="23" t="n"/>
      <c r="W264" s="14">
        <f>IF(OR(D264="",V264="辞退",V264="保留",P264="✅正式"),"",TRIM(IF(AND(U264&lt;&gt;"",U264&lt;TODAY()),"期日超過 ","")&amp;IF(AND(S264&lt;&gt;"",S264&gt;='設定'!$B$9),"放置"&amp;S264&amp;"日 ","")&amp;IF(AND(J264="CCS済",M264&lt;&gt;"✓"),"CCS後の申込待ち ","")&amp;IF(AND(M264="✓",N264&lt;&gt;"✓"),"振込待ち ","")&amp;IF(AND(N264="✓",O264&lt;&gt;"✓"),"同意書待ち ","")&amp;IF(T264="","次アクション未設定","")))</f>
        <v/>
      </c>
      <c r="X264" s="10" t="n"/>
      <c r="Y264" s="22" t="n"/>
    </row>
    <row r="265">
      <c r="A265" s="10">
        <f>IF(D265="","",ROW()-4)</f>
        <v/>
      </c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4" t="n"/>
      <c r="L265" s="22" t="n"/>
      <c r="M265" s="23" t="n"/>
      <c r="N265" s="23" t="n"/>
      <c r="O265" s="23" t="n"/>
      <c r="P265" s="10">
        <f>IF(D265="","",IF(AND(M265="✓",N265="✓",O265="✓"),"✅正式",IF(M265&amp;N265&amp;O265="","入会前","手続き中")))</f>
        <v/>
      </c>
      <c r="Q265" s="24" t="n"/>
      <c r="R265" s="24" t="n"/>
      <c r="S265" s="10">
        <f>IF(OR(D265="",R265=""),"",TODAY()-R265)</f>
        <v/>
      </c>
      <c r="T265" s="22" t="n"/>
      <c r="U265" s="24" t="n"/>
      <c r="V265" s="23" t="n"/>
      <c r="W265" s="14">
        <f>IF(OR(D265="",V265="辞退",V265="保留",P265="✅正式"),"",TRIM(IF(AND(U265&lt;&gt;"",U265&lt;TODAY()),"期日超過 ","")&amp;IF(AND(S265&lt;&gt;"",S265&gt;='設定'!$B$9),"放置"&amp;S265&amp;"日 ","")&amp;IF(AND(J265="CCS済",M265&lt;&gt;"✓"),"CCS後の申込待ち ","")&amp;IF(AND(M265="✓",N265&lt;&gt;"✓"),"振込待ち ","")&amp;IF(AND(N265="✓",O265&lt;&gt;"✓"),"同意書待ち ","")&amp;IF(T265="","次アクション未設定","")))</f>
        <v/>
      </c>
      <c r="X265" s="10" t="n"/>
      <c r="Y265" s="22" t="n"/>
    </row>
    <row r="266">
      <c r="A266" s="10">
        <f>IF(D266="","",ROW()-4)</f>
        <v/>
      </c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3" t="n"/>
      <c r="K266" s="24" t="n"/>
      <c r="L266" s="22" t="n"/>
      <c r="M266" s="23" t="n"/>
      <c r="N266" s="23" t="n"/>
      <c r="O266" s="23" t="n"/>
      <c r="P266" s="10">
        <f>IF(D266="","",IF(AND(M266="✓",N266="✓",O266="✓"),"✅正式",IF(M266&amp;N266&amp;O266="","入会前","手続き中")))</f>
        <v/>
      </c>
      <c r="Q266" s="24" t="n"/>
      <c r="R266" s="24" t="n"/>
      <c r="S266" s="10">
        <f>IF(OR(D266="",R266=""),"",TODAY()-R266)</f>
        <v/>
      </c>
      <c r="T266" s="22" t="n"/>
      <c r="U266" s="24" t="n"/>
      <c r="V266" s="23" t="n"/>
      <c r="W266" s="14">
        <f>IF(OR(D266="",V266="辞退",V266="保留",P266="✅正式"),"",TRIM(IF(AND(U266&lt;&gt;"",U266&lt;TODAY()),"期日超過 ","")&amp;IF(AND(S266&lt;&gt;"",S266&gt;='設定'!$B$9),"放置"&amp;S266&amp;"日 ","")&amp;IF(AND(J266="CCS済",M266&lt;&gt;"✓"),"CCS後の申込待ち ","")&amp;IF(AND(M266="✓",N266&lt;&gt;"✓"),"振込待ち ","")&amp;IF(AND(N266="✓",O266&lt;&gt;"✓"),"同意書待ち ","")&amp;IF(T266="","次アクション未設定","")))</f>
        <v/>
      </c>
      <c r="X266" s="10" t="n"/>
      <c r="Y266" s="22" t="n"/>
    </row>
    <row r="267">
      <c r="A267" s="10">
        <f>IF(D267="","",ROW()-4)</f>
        <v/>
      </c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4" t="n"/>
      <c r="L267" s="22" t="n"/>
      <c r="M267" s="23" t="n"/>
      <c r="N267" s="23" t="n"/>
      <c r="O267" s="23" t="n"/>
      <c r="P267" s="10">
        <f>IF(D267="","",IF(AND(M267="✓",N267="✓",O267="✓"),"✅正式",IF(M267&amp;N267&amp;O267="","入会前","手続き中")))</f>
        <v/>
      </c>
      <c r="Q267" s="24" t="n"/>
      <c r="R267" s="24" t="n"/>
      <c r="S267" s="10">
        <f>IF(OR(D267="",R267=""),"",TODAY()-R267)</f>
        <v/>
      </c>
      <c r="T267" s="22" t="n"/>
      <c r="U267" s="24" t="n"/>
      <c r="V267" s="23" t="n"/>
      <c r="W267" s="14">
        <f>IF(OR(D267="",V267="辞退",V267="保留",P267="✅正式"),"",TRIM(IF(AND(U267&lt;&gt;"",U267&lt;TODAY()),"期日超過 ","")&amp;IF(AND(S267&lt;&gt;"",S267&gt;='設定'!$B$9),"放置"&amp;S267&amp;"日 ","")&amp;IF(AND(J267="CCS済",M267&lt;&gt;"✓"),"CCS後の申込待ち ","")&amp;IF(AND(M267="✓",N267&lt;&gt;"✓"),"振込待ち ","")&amp;IF(AND(N267="✓",O267&lt;&gt;"✓"),"同意書待ち ","")&amp;IF(T267="","次アクション未設定","")))</f>
        <v/>
      </c>
      <c r="X267" s="10" t="n"/>
      <c r="Y267" s="22" t="n"/>
    </row>
    <row r="268">
      <c r="A268" s="10">
        <f>IF(D268="","",ROW()-4)</f>
        <v/>
      </c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3" t="n"/>
      <c r="K268" s="24" t="n"/>
      <c r="L268" s="22" t="n"/>
      <c r="M268" s="23" t="n"/>
      <c r="N268" s="23" t="n"/>
      <c r="O268" s="23" t="n"/>
      <c r="P268" s="10">
        <f>IF(D268="","",IF(AND(M268="✓",N268="✓",O268="✓"),"✅正式",IF(M268&amp;N268&amp;O268="","入会前","手続き中")))</f>
        <v/>
      </c>
      <c r="Q268" s="24" t="n"/>
      <c r="R268" s="24" t="n"/>
      <c r="S268" s="10">
        <f>IF(OR(D268="",R268=""),"",TODAY()-R268)</f>
        <v/>
      </c>
      <c r="T268" s="22" t="n"/>
      <c r="U268" s="24" t="n"/>
      <c r="V268" s="23" t="n"/>
      <c r="W268" s="14">
        <f>IF(OR(D268="",V268="辞退",V268="保留",P268="✅正式"),"",TRIM(IF(AND(U268&lt;&gt;"",U268&lt;TODAY()),"期日超過 ","")&amp;IF(AND(S268&lt;&gt;"",S268&gt;='設定'!$B$9),"放置"&amp;S268&amp;"日 ","")&amp;IF(AND(J268="CCS済",M268&lt;&gt;"✓"),"CCS後の申込待ち ","")&amp;IF(AND(M268="✓",N268&lt;&gt;"✓"),"振込待ち ","")&amp;IF(AND(N268="✓",O268&lt;&gt;"✓"),"同意書待ち ","")&amp;IF(T268="","次アクション未設定","")))</f>
        <v/>
      </c>
      <c r="X268" s="10" t="n"/>
      <c r="Y268" s="22" t="n"/>
    </row>
    <row r="269">
      <c r="A269" s="10">
        <f>IF(D269="","",ROW()-4)</f>
        <v/>
      </c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4" t="n"/>
      <c r="L269" s="22" t="n"/>
      <c r="M269" s="23" t="n"/>
      <c r="N269" s="23" t="n"/>
      <c r="O269" s="23" t="n"/>
      <c r="P269" s="10">
        <f>IF(D269="","",IF(AND(M269="✓",N269="✓",O269="✓"),"✅正式",IF(M269&amp;N269&amp;O269="","入会前","手続き中")))</f>
        <v/>
      </c>
      <c r="Q269" s="24" t="n"/>
      <c r="R269" s="24" t="n"/>
      <c r="S269" s="10">
        <f>IF(OR(D269="",R269=""),"",TODAY()-R269)</f>
        <v/>
      </c>
      <c r="T269" s="22" t="n"/>
      <c r="U269" s="24" t="n"/>
      <c r="V269" s="23" t="n"/>
      <c r="W269" s="14">
        <f>IF(OR(D269="",V269="辞退",V269="保留",P269="✅正式"),"",TRIM(IF(AND(U269&lt;&gt;"",U269&lt;TODAY()),"期日超過 ","")&amp;IF(AND(S269&lt;&gt;"",S269&gt;='設定'!$B$9),"放置"&amp;S269&amp;"日 ","")&amp;IF(AND(J269="CCS済",M269&lt;&gt;"✓"),"CCS後の申込待ち ","")&amp;IF(AND(M269="✓",N269&lt;&gt;"✓"),"振込待ち ","")&amp;IF(AND(N269="✓",O269&lt;&gt;"✓"),"同意書待ち ","")&amp;IF(T269="","次アクション未設定","")))</f>
        <v/>
      </c>
      <c r="X269" s="10" t="n"/>
      <c r="Y269" s="22" t="n"/>
    </row>
    <row r="270">
      <c r="A270" s="10">
        <f>IF(D270="","",ROW()-4)</f>
        <v/>
      </c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3" t="n"/>
      <c r="K270" s="24" t="n"/>
      <c r="L270" s="22" t="n"/>
      <c r="M270" s="23" t="n"/>
      <c r="N270" s="23" t="n"/>
      <c r="O270" s="23" t="n"/>
      <c r="P270" s="10">
        <f>IF(D270="","",IF(AND(M270="✓",N270="✓",O270="✓"),"✅正式",IF(M270&amp;N270&amp;O270="","入会前","手続き中")))</f>
        <v/>
      </c>
      <c r="Q270" s="24" t="n"/>
      <c r="R270" s="24" t="n"/>
      <c r="S270" s="10">
        <f>IF(OR(D270="",R270=""),"",TODAY()-R270)</f>
        <v/>
      </c>
      <c r="T270" s="22" t="n"/>
      <c r="U270" s="24" t="n"/>
      <c r="V270" s="23" t="n"/>
      <c r="W270" s="14">
        <f>IF(OR(D270="",V270="辞退",V270="保留",P270="✅正式"),"",TRIM(IF(AND(U270&lt;&gt;"",U270&lt;TODAY()),"期日超過 ","")&amp;IF(AND(S270&lt;&gt;"",S270&gt;='設定'!$B$9),"放置"&amp;S270&amp;"日 ","")&amp;IF(AND(J270="CCS済",M270&lt;&gt;"✓"),"CCS後の申込待ち ","")&amp;IF(AND(M270="✓",N270&lt;&gt;"✓"),"振込待ち ","")&amp;IF(AND(N270="✓",O270&lt;&gt;"✓"),"同意書待ち ","")&amp;IF(T270="","次アクション未設定","")))</f>
        <v/>
      </c>
      <c r="X270" s="10" t="n"/>
      <c r="Y270" s="22" t="n"/>
    </row>
    <row r="271">
      <c r="A271" s="10">
        <f>IF(D271="","",ROW()-4)</f>
        <v/>
      </c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4" t="n"/>
      <c r="L271" s="22" t="n"/>
      <c r="M271" s="23" t="n"/>
      <c r="N271" s="23" t="n"/>
      <c r="O271" s="23" t="n"/>
      <c r="P271" s="10">
        <f>IF(D271="","",IF(AND(M271="✓",N271="✓",O271="✓"),"✅正式",IF(M271&amp;N271&amp;O271="","入会前","手続き中")))</f>
        <v/>
      </c>
      <c r="Q271" s="24" t="n"/>
      <c r="R271" s="24" t="n"/>
      <c r="S271" s="10">
        <f>IF(OR(D271="",R271=""),"",TODAY()-R271)</f>
        <v/>
      </c>
      <c r="T271" s="22" t="n"/>
      <c r="U271" s="24" t="n"/>
      <c r="V271" s="23" t="n"/>
      <c r="W271" s="14">
        <f>IF(OR(D271="",V271="辞退",V271="保留",P271="✅正式"),"",TRIM(IF(AND(U271&lt;&gt;"",U271&lt;TODAY()),"期日超過 ","")&amp;IF(AND(S271&lt;&gt;"",S271&gt;='設定'!$B$9),"放置"&amp;S271&amp;"日 ","")&amp;IF(AND(J271="CCS済",M271&lt;&gt;"✓"),"CCS後の申込待ち ","")&amp;IF(AND(M271="✓",N271&lt;&gt;"✓"),"振込待ち ","")&amp;IF(AND(N271="✓",O271&lt;&gt;"✓"),"同意書待ち ","")&amp;IF(T271="","次アクション未設定","")))</f>
        <v/>
      </c>
      <c r="X271" s="10" t="n"/>
      <c r="Y271" s="22" t="n"/>
    </row>
    <row r="272">
      <c r="A272" s="10">
        <f>IF(D272="","",ROW()-4)</f>
        <v/>
      </c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3" t="n"/>
      <c r="K272" s="24" t="n"/>
      <c r="L272" s="22" t="n"/>
      <c r="M272" s="23" t="n"/>
      <c r="N272" s="23" t="n"/>
      <c r="O272" s="23" t="n"/>
      <c r="P272" s="10">
        <f>IF(D272="","",IF(AND(M272="✓",N272="✓",O272="✓"),"✅正式",IF(M272&amp;N272&amp;O272="","入会前","手続き中")))</f>
        <v/>
      </c>
      <c r="Q272" s="24" t="n"/>
      <c r="R272" s="24" t="n"/>
      <c r="S272" s="10">
        <f>IF(OR(D272="",R272=""),"",TODAY()-R272)</f>
        <v/>
      </c>
      <c r="T272" s="22" t="n"/>
      <c r="U272" s="24" t="n"/>
      <c r="V272" s="23" t="n"/>
      <c r="W272" s="14">
        <f>IF(OR(D272="",V272="辞退",V272="保留",P272="✅正式"),"",TRIM(IF(AND(U272&lt;&gt;"",U272&lt;TODAY()),"期日超過 ","")&amp;IF(AND(S272&lt;&gt;"",S272&gt;='設定'!$B$9),"放置"&amp;S272&amp;"日 ","")&amp;IF(AND(J272="CCS済",M272&lt;&gt;"✓"),"CCS後の申込待ち ","")&amp;IF(AND(M272="✓",N272&lt;&gt;"✓"),"振込待ち ","")&amp;IF(AND(N272="✓",O272&lt;&gt;"✓"),"同意書待ち ","")&amp;IF(T272="","次アクション未設定","")))</f>
        <v/>
      </c>
      <c r="X272" s="10" t="n"/>
      <c r="Y272" s="22" t="n"/>
    </row>
    <row r="273">
      <c r="A273" s="10">
        <f>IF(D273="","",ROW()-4)</f>
        <v/>
      </c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4" t="n"/>
      <c r="L273" s="22" t="n"/>
      <c r="M273" s="23" t="n"/>
      <c r="N273" s="23" t="n"/>
      <c r="O273" s="23" t="n"/>
      <c r="P273" s="10">
        <f>IF(D273="","",IF(AND(M273="✓",N273="✓",O273="✓"),"✅正式",IF(M273&amp;N273&amp;O273="","入会前","手続き中")))</f>
        <v/>
      </c>
      <c r="Q273" s="24" t="n"/>
      <c r="R273" s="24" t="n"/>
      <c r="S273" s="10">
        <f>IF(OR(D273="",R273=""),"",TODAY()-R273)</f>
        <v/>
      </c>
      <c r="T273" s="22" t="n"/>
      <c r="U273" s="24" t="n"/>
      <c r="V273" s="23" t="n"/>
      <c r="W273" s="14">
        <f>IF(OR(D273="",V273="辞退",V273="保留",P273="✅正式"),"",TRIM(IF(AND(U273&lt;&gt;"",U273&lt;TODAY()),"期日超過 ","")&amp;IF(AND(S273&lt;&gt;"",S273&gt;='設定'!$B$9),"放置"&amp;S273&amp;"日 ","")&amp;IF(AND(J273="CCS済",M273&lt;&gt;"✓"),"CCS後の申込待ち ","")&amp;IF(AND(M273="✓",N273&lt;&gt;"✓"),"振込待ち ","")&amp;IF(AND(N273="✓",O273&lt;&gt;"✓"),"同意書待ち ","")&amp;IF(T273="","次アクション未設定","")))</f>
        <v/>
      </c>
      <c r="X273" s="10" t="n"/>
      <c r="Y273" s="22" t="n"/>
    </row>
    <row r="274">
      <c r="A274" s="10">
        <f>IF(D274="","",ROW()-4)</f>
        <v/>
      </c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3" t="n"/>
      <c r="K274" s="24" t="n"/>
      <c r="L274" s="22" t="n"/>
      <c r="M274" s="23" t="n"/>
      <c r="N274" s="23" t="n"/>
      <c r="O274" s="23" t="n"/>
      <c r="P274" s="10">
        <f>IF(D274="","",IF(AND(M274="✓",N274="✓",O274="✓"),"✅正式",IF(M274&amp;N274&amp;O274="","入会前","手続き中")))</f>
        <v/>
      </c>
      <c r="Q274" s="24" t="n"/>
      <c r="R274" s="24" t="n"/>
      <c r="S274" s="10">
        <f>IF(OR(D274="",R274=""),"",TODAY()-R274)</f>
        <v/>
      </c>
      <c r="T274" s="22" t="n"/>
      <c r="U274" s="24" t="n"/>
      <c r="V274" s="23" t="n"/>
      <c r="W274" s="14">
        <f>IF(OR(D274="",V274="辞退",V274="保留",P274="✅正式"),"",TRIM(IF(AND(U274&lt;&gt;"",U274&lt;TODAY()),"期日超過 ","")&amp;IF(AND(S274&lt;&gt;"",S274&gt;='設定'!$B$9),"放置"&amp;S274&amp;"日 ","")&amp;IF(AND(J274="CCS済",M274&lt;&gt;"✓"),"CCS後の申込待ち ","")&amp;IF(AND(M274="✓",N274&lt;&gt;"✓"),"振込待ち ","")&amp;IF(AND(N274="✓",O274&lt;&gt;"✓"),"同意書待ち ","")&amp;IF(T274="","次アクション未設定","")))</f>
        <v/>
      </c>
      <c r="X274" s="10" t="n"/>
      <c r="Y274" s="22" t="n"/>
    </row>
    <row r="275">
      <c r="A275" s="10">
        <f>IF(D275="","",ROW()-4)</f>
        <v/>
      </c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4" t="n"/>
      <c r="L275" s="22" t="n"/>
      <c r="M275" s="23" t="n"/>
      <c r="N275" s="23" t="n"/>
      <c r="O275" s="23" t="n"/>
      <c r="P275" s="10">
        <f>IF(D275="","",IF(AND(M275="✓",N275="✓",O275="✓"),"✅正式",IF(M275&amp;N275&amp;O275="","入会前","手続き中")))</f>
        <v/>
      </c>
      <c r="Q275" s="24" t="n"/>
      <c r="R275" s="24" t="n"/>
      <c r="S275" s="10">
        <f>IF(OR(D275="",R275=""),"",TODAY()-R275)</f>
        <v/>
      </c>
      <c r="T275" s="22" t="n"/>
      <c r="U275" s="24" t="n"/>
      <c r="V275" s="23" t="n"/>
      <c r="W275" s="14">
        <f>IF(OR(D275="",V275="辞退",V275="保留",P275="✅正式"),"",TRIM(IF(AND(U275&lt;&gt;"",U275&lt;TODAY()),"期日超過 ","")&amp;IF(AND(S275&lt;&gt;"",S275&gt;='設定'!$B$9),"放置"&amp;S275&amp;"日 ","")&amp;IF(AND(J275="CCS済",M275&lt;&gt;"✓"),"CCS後の申込待ち ","")&amp;IF(AND(M275="✓",N275&lt;&gt;"✓"),"振込待ち ","")&amp;IF(AND(N275="✓",O275&lt;&gt;"✓"),"同意書待ち ","")&amp;IF(T275="","次アクション未設定","")))</f>
        <v/>
      </c>
      <c r="X275" s="10" t="n"/>
      <c r="Y275" s="22" t="n"/>
    </row>
    <row r="276">
      <c r="A276" s="10">
        <f>IF(D276="","",ROW()-4)</f>
        <v/>
      </c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3" t="n"/>
      <c r="K276" s="24" t="n"/>
      <c r="L276" s="22" t="n"/>
      <c r="M276" s="23" t="n"/>
      <c r="N276" s="23" t="n"/>
      <c r="O276" s="23" t="n"/>
      <c r="P276" s="10">
        <f>IF(D276="","",IF(AND(M276="✓",N276="✓",O276="✓"),"✅正式",IF(M276&amp;N276&amp;O276="","入会前","手続き中")))</f>
        <v/>
      </c>
      <c r="Q276" s="24" t="n"/>
      <c r="R276" s="24" t="n"/>
      <c r="S276" s="10">
        <f>IF(OR(D276="",R276=""),"",TODAY()-R276)</f>
        <v/>
      </c>
      <c r="T276" s="22" t="n"/>
      <c r="U276" s="24" t="n"/>
      <c r="V276" s="23" t="n"/>
      <c r="W276" s="14">
        <f>IF(OR(D276="",V276="辞退",V276="保留",P276="✅正式"),"",TRIM(IF(AND(U276&lt;&gt;"",U276&lt;TODAY()),"期日超過 ","")&amp;IF(AND(S276&lt;&gt;"",S276&gt;='設定'!$B$9),"放置"&amp;S276&amp;"日 ","")&amp;IF(AND(J276="CCS済",M276&lt;&gt;"✓"),"CCS後の申込待ち ","")&amp;IF(AND(M276="✓",N276&lt;&gt;"✓"),"振込待ち ","")&amp;IF(AND(N276="✓",O276&lt;&gt;"✓"),"同意書待ち ","")&amp;IF(T276="","次アクション未設定","")))</f>
        <v/>
      </c>
      <c r="X276" s="10" t="n"/>
      <c r="Y276" s="22" t="n"/>
    </row>
    <row r="277">
      <c r="A277" s="10">
        <f>IF(D277="","",ROW()-4)</f>
        <v/>
      </c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4" t="n"/>
      <c r="L277" s="22" t="n"/>
      <c r="M277" s="23" t="n"/>
      <c r="N277" s="23" t="n"/>
      <c r="O277" s="23" t="n"/>
      <c r="P277" s="10">
        <f>IF(D277="","",IF(AND(M277="✓",N277="✓",O277="✓"),"✅正式",IF(M277&amp;N277&amp;O277="","入会前","手続き中")))</f>
        <v/>
      </c>
      <c r="Q277" s="24" t="n"/>
      <c r="R277" s="24" t="n"/>
      <c r="S277" s="10">
        <f>IF(OR(D277="",R277=""),"",TODAY()-R277)</f>
        <v/>
      </c>
      <c r="T277" s="22" t="n"/>
      <c r="U277" s="24" t="n"/>
      <c r="V277" s="23" t="n"/>
      <c r="W277" s="14">
        <f>IF(OR(D277="",V277="辞退",V277="保留",P277="✅正式"),"",TRIM(IF(AND(U277&lt;&gt;"",U277&lt;TODAY()),"期日超過 ","")&amp;IF(AND(S277&lt;&gt;"",S277&gt;='設定'!$B$9),"放置"&amp;S277&amp;"日 ","")&amp;IF(AND(J277="CCS済",M277&lt;&gt;"✓"),"CCS後の申込待ち ","")&amp;IF(AND(M277="✓",N277&lt;&gt;"✓"),"振込待ち ","")&amp;IF(AND(N277="✓",O277&lt;&gt;"✓"),"同意書待ち ","")&amp;IF(T277="","次アクション未設定","")))</f>
        <v/>
      </c>
      <c r="X277" s="10" t="n"/>
      <c r="Y277" s="22" t="n"/>
    </row>
    <row r="278">
      <c r="A278" s="10">
        <f>IF(D278="","",ROW()-4)</f>
        <v/>
      </c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3" t="n"/>
      <c r="K278" s="24" t="n"/>
      <c r="L278" s="22" t="n"/>
      <c r="M278" s="23" t="n"/>
      <c r="N278" s="23" t="n"/>
      <c r="O278" s="23" t="n"/>
      <c r="P278" s="10">
        <f>IF(D278="","",IF(AND(M278="✓",N278="✓",O278="✓"),"✅正式",IF(M278&amp;N278&amp;O278="","入会前","手続き中")))</f>
        <v/>
      </c>
      <c r="Q278" s="24" t="n"/>
      <c r="R278" s="24" t="n"/>
      <c r="S278" s="10">
        <f>IF(OR(D278="",R278=""),"",TODAY()-R278)</f>
        <v/>
      </c>
      <c r="T278" s="22" t="n"/>
      <c r="U278" s="24" t="n"/>
      <c r="V278" s="23" t="n"/>
      <c r="W278" s="14">
        <f>IF(OR(D278="",V278="辞退",V278="保留",P278="✅正式"),"",TRIM(IF(AND(U278&lt;&gt;"",U278&lt;TODAY()),"期日超過 ","")&amp;IF(AND(S278&lt;&gt;"",S278&gt;='設定'!$B$9),"放置"&amp;S278&amp;"日 ","")&amp;IF(AND(J278="CCS済",M278&lt;&gt;"✓"),"CCS後の申込待ち ","")&amp;IF(AND(M278="✓",N278&lt;&gt;"✓"),"振込待ち ","")&amp;IF(AND(N278="✓",O278&lt;&gt;"✓"),"同意書待ち ","")&amp;IF(T278="","次アクション未設定","")))</f>
        <v/>
      </c>
      <c r="X278" s="10" t="n"/>
      <c r="Y278" s="22" t="n"/>
    </row>
    <row r="279">
      <c r="A279" s="10">
        <f>IF(D279="","",ROW()-4)</f>
        <v/>
      </c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4" t="n"/>
      <c r="L279" s="22" t="n"/>
      <c r="M279" s="23" t="n"/>
      <c r="N279" s="23" t="n"/>
      <c r="O279" s="23" t="n"/>
      <c r="P279" s="10">
        <f>IF(D279="","",IF(AND(M279="✓",N279="✓",O279="✓"),"✅正式",IF(M279&amp;N279&amp;O279="","入会前","手続き中")))</f>
        <v/>
      </c>
      <c r="Q279" s="24" t="n"/>
      <c r="R279" s="24" t="n"/>
      <c r="S279" s="10">
        <f>IF(OR(D279="",R279=""),"",TODAY()-R279)</f>
        <v/>
      </c>
      <c r="T279" s="22" t="n"/>
      <c r="U279" s="24" t="n"/>
      <c r="V279" s="23" t="n"/>
      <c r="W279" s="14">
        <f>IF(OR(D279="",V279="辞退",V279="保留",P279="✅正式"),"",TRIM(IF(AND(U279&lt;&gt;"",U279&lt;TODAY()),"期日超過 ","")&amp;IF(AND(S279&lt;&gt;"",S279&gt;='設定'!$B$9),"放置"&amp;S279&amp;"日 ","")&amp;IF(AND(J279="CCS済",M279&lt;&gt;"✓"),"CCS後の申込待ち ","")&amp;IF(AND(M279="✓",N279&lt;&gt;"✓"),"振込待ち ","")&amp;IF(AND(N279="✓",O279&lt;&gt;"✓"),"同意書待ち ","")&amp;IF(T279="","次アクション未設定","")))</f>
        <v/>
      </c>
      <c r="X279" s="10" t="n"/>
      <c r="Y279" s="22" t="n"/>
    </row>
    <row r="280">
      <c r="A280" s="10">
        <f>IF(D280="","",ROW()-4)</f>
        <v/>
      </c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3" t="n"/>
      <c r="K280" s="24" t="n"/>
      <c r="L280" s="22" t="n"/>
      <c r="M280" s="23" t="n"/>
      <c r="N280" s="23" t="n"/>
      <c r="O280" s="23" t="n"/>
      <c r="P280" s="10">
        <f>IF(D280="","",IF(AND(M280="✓",N280="✓",O280="✓"),"✅正式",IF(M280&amp;N280&amp;O280="","入会前","手続き中")))</f>
        <v/>
      </c>
      <c r="Q280" s="24" t="n"/>
      <c r="R280" s="24" t="n"/>
      <c r="S280" s="10">
        <f>IF(OR(D280="",R280=""),"",TODAY()-R280)</f>
        <v/>
      </c>
      <c r="T280" s="22" t="n"/>
      <c r="U280" s="24" t="n"/>
      <c r="V280" s="23" t="n"/>
      <c r="W280" s="14">
        <f>IF(OR(D280="",V280="辞退",V280="保留",P280="✅正式"),"",TRIM(IF(AND(U280&lt;&gt;"",U280&lt;TODAY()),"期日超過 ","")&amp;IF(AND(S280&lt;&gt;"",S280&gt;='設定'!$B$9),"放置"&amp;S280&amp;"日 ","")&amp;IF(AND(J280="CCS済",M280&lt;&gt;"✓"),"CCS後の申込待ち ","")&amp;IF(AND(M280="✓",N280&lt;&gt;"✓"),"振込待ち ","")&amp;IF(AND(N280="✓",O280&lt;&gt;"✓"),"同意書待ち ","")&amp;IF(T280="","次アクション未設定","")))</f>
        <v/>
      </c>
      <c r="X280" s="10" t="n"/>
      <c r="Y280" s="22" t="n"/>
    </row>
    <row r="281">
      <c r="A281" s="10">
        <f>IF(D281="","",ROW()-4)</f>
        <v/>
      </c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4" t="n"/>
      <c r="L281" s="22" t="n"/>
      <c r="M281" s="23" t="n"/>
      <c r="N281" s="23" t="n"/>
      <c r="O281" s="23" t="n"/>
      <c r="P281" s="10">
        <f>IF(D281="","",IF(AND(M281="✓",N281="✓",O281="✓"),"✅正式",IF(M281&amp;N281&amp;O281="","入会前","手続き中")))</f>
        <v/>
      </c>
      <c r="Q281" s="24" t="n"/>
      <c r="R281" s="24" t="n"/>
      <c r="S281" s="10">
        <f>IF(OR(D281="",R281=""),"",TODAY()-R281)</f>
        <v/>
      </c>
      <c r="T281" s="22" t="n"/>
      <c r="U281" s="24" t="n"/>
      <c r="V281" s="23" t="n"/>
      <c r="W281" s="14">
        <f>IF(OR(D281="",V281="辞退",V281="保留",P281="✅正式"),"",TRIM(IF(AND(U281&lt;&gt;"",U281&lt;TODAY()),"期日超過 ","")&amp;IF(AND(S281&lt;&gt;"",S281&gt;='設定'!$B$9),"放置"&amp;S281&amp;"日 ","")&amp;IF(AND(J281="CCS済",M281&lt;&gt;"✓"),"CCS後の申込待ち ","")&amp;IF(AND(M281="✓",N281&lt;&gt;"✓"),"振込待ち ","")&amp;IF(AND(N281="✓",O281&lt;&gt;"✓"),"同意書待ち ","")&amp;IF(T281="","次アクション未設定","")))</f>
        <v/>
      </c>
      <c r="X281" s="10" t="n"/>
      <c r="Y281" s="22" t="n"/>
    </row>
    <row r="282">
      <c r="A282" s="10">
        <f>IF(D282="","",ROW()-4)</f>
        <v/>
      </c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3" t="n"/>
      <c r="K282" s="24" t="n"/>
      <c r="L282" s="22" t="n"/>
      <c r="M282" s="23" t="n"/>
      <c r="N282" s="23" t="n"/>
      <c r="O282" s="23" t="n"/>
      <c r="P282" s="10">
        <f>IF(D282="","",IF(AND(M282="✓",N282="✓",O282="✓"),"✅正式",IF(M282&amp;N282&amp;O282="","入会前","手続き中")))</f>
        <v/>
      </c>
      <c r="Q282" s="24" t="n"/>
      <c r="R282" s="24" t="n"/>
      <c r="S282" s="10">
        <f>IF(OR(D282="",R282=""),"",TODAY()-R282)</f>
        <v/>
      </c>
      <c r="T282" s="22" t="n"/>
      <c r="U282" s="24" t="n"/>
      <c r="V282" s="23" t="n"/>
      <c r="W282" s="14">
        <f>IF(OR(D282="",V282="辞退",V282="保留",P282="✅正式"),"",TRIM(IF(AND(U282&lt;&gt;"",U282&lt;TODAY()),"期日超過 ","")&amp;IF(AND(S282&lt;&gt;"",S282&gt;='設定'!$B$9),"放置"&amp;S282&amp;"日 ","")&amp;IF(AND(J282="CCS済",M282&lt;&gt;"✓"),"CCS後の申込待ち ","")&amp;IF(AND(M282="✓",N282&lt;&gt;"✓"),"振込待ち ","")&amp;IF(AND(N282="✓",O282&lt;&gt;"✓"),"同意書待ち ","")&amp;IF(T282="","次アクション未設定","")))</f>
        <v/>
      </c>
      <c r="X282" s="10" t="n"/>
      <c r="Y282" s="22" t="n"/>
    </row>
    <row r="283">
      <c r="A283" s="10">
        <f>IF(D283="","",ROW()-4)</f>
        <v/>
      </c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4" t="n"/>
      <c r="L283" s="22" t="n"/>
      <c r="M283" s="23" t="n"/>
      <c r="N283" s="23" t="n"/>
      <c r="O283" s="23" t="n"/>
      <c r="P283" s="10">
        <f>IF(D283="","",IF(AND(M283="✓",N283="✓",O283="✓"),"✅正式",IF(M283&amp;N283&amp;O283="","入会前","手続き中")))</f>
        <v/>
      </c>
      <c r="Q283" s="24" t="n"/>
      <c r="R283" s="24" t="n"/>
      <c r="S283" s="10">
        <f>IF(OR(D283="",R283=""),"",TODAY()-R283)</f>
        <v/>
      </c>
      <c r="T283" s="22" t="n"/>
      <c r="U283" s="24" t="n"/>
      <c r="V283" s="23" t="n"/>
      <c r="W283" s="14">
        <f>IF(OR(D283="",V283="辞退",V283="保留",P283="✅正式"),"",TRIM(IF(AND(U283&lt;&gt;"",U283&lt;TODAY()),"期日超過 ","")&amp;IF(AND(S283&lt;&gt;"",S283&gt;='設定'!$B$9),"放置"&amp;S283&amp;"日 ","")&amp;IF(AND(J283="CCS済",M283&lt;&gt;"✓"),"CCS後の申込待ち ","")&amp;IF(AND(M283="✓",N283&lt;&gt;"✓"),"振込待ち ","")&amp;IF(AND(N283="✓",O283&lt;&gt;"✓"),"同意書待ち ","")&amp;IF(T283="","次アクション未設定","")))</f>
        <v/>
      </c>
      <c r="X283" s="10" t="n"/>
      <c r="Y283" s="22" t="n"/>
    </row>
    <row r="284">
      <c r="A284" s="10">
        <f>IF(D284="","",ROW()-4)</f>
        <v/>
      </c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3" t="n"/>
      <c r="K284" s="24" t="n"/>
      <c r="L284" s="22" t="n"/>
      <c r="M284" s="23" t="n"/>
      <c r="N284" s="23" t="n"/>
      <c r="O284" s="23" t="n"/>
      <c r="P284" s="10">
        <f>IF(D284="","",IF(AND(M284="✓",N284="✓",O284="✓"),"✅正式",IF(M284&amp;N284&amp;O284="","入会前","手続き中")))</f>
        <v/>
      </c>
      <c r="Q284" s="24" t="n"/>
      <c r="R284" s="24" t="n"/>
      <c r="S284" s="10">
        <f>IF(OR(D284="",R284=""),"",TODAY()-R284)</f>
        <v/>
      </c>
      <c r="T284" s="22" t="n"/>
      <c r="U284" s="24" t="n"/>
      <c r="V284" s="23" t="n"/>
      <c r="W284" s="14">
        <f>IF(OR(D284="",V284="辞退",V284="保留",P284="✅正式"),"",TRIM(IF(AND(U284&lt;&gt;"",U284&lt;TODAY()),"期日超過 ","")&amp;IF(AND(S284&lt;&gt;"",S284&gt;='設定'!$B$9),"放置"&amp;S284&amp;"日 ","")&amp;IF(AND(J284="CCS済",M284&lt;&gt;"✓"),"CCS後の申込待ち ","")&amp;IF(AND(M284="✓",N284&lt;&gt;"✓"),"振込待ち ","")&amp;IF(AND(N284="✓",O284&lt;&gt;"✓"),"同意書待ち ","")&amp;IF(T284="","次アクション未設定","")))</f>
        <v/>
      </c>
      <c r="X284" s="10" t="n"/>
      <c r="Y284" s="22" t="n"/>
    </row>
    <row r="285">
      <c r="A285" s="10">
        <f>IF(D285="","",ROW()-4)</f>
        <v/>
      </c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4" t="n"/>
      <c r="L285" s="22" t="n"/>
      <c r="M285" s="23" t="n"/>
      <c r="N285" s="23" t="n"/>
      <c r="O285" s="23" t="n"/>
      <c r="P285" s="10">
        <f>IF(D285="","",IF(AND(M285="✓",N285="✓",O285="✓"),"✅正式",IF(M285&amp;N285&amp;O285="","入会前","手続き中")))</f>
        <v/>
      </c>
      <c r="Q285" s="24" t="n"/>
      <c r="R285" s="24" t="n"/>
      <c r="S285" s="10">
        <f>IF(OR(D285="",R285=""),"",TODAY()-R285)</f>
        <v/>
      </c>
      <c r="T285" s="22" t="n"/>
      <c r="U285" s="24" t="n"/>
      <c r="V285" s="23" t="n"/>
      <c r="W285" s="14">
        <f>IF(OR(D285="",V285="辞退",V285="保留",P285="✅正式"),"",TRIM(IF(AND(U285&lt;&gt;"",U285&lt;TODAY()),"期日超過 ","")&amp;IF(AND(S285&lt;&gt;"",S285&gt;='設定'!$B$9),"放置"&amp;S285&amp;"日 ","")&amp;IF(AND(J285="CCS済",M285&lt;&gt;"✓"),"CCS後の申込待ち ","")&amp;IF(AND(M285="✓",N285&lt;&gt;"✓"),"振込待ち ","")&amp;IF(AND(N285="✓",O285&lt;&gt;"✓"),"同意書待ち ","")&amp;IF(T285="","次アクション未設定","")))</f>
        <v/>
      </c>
      <c r="X285" s="10" t="n"/>
      <c r="Y285" s="22" t="n"/>
    </row>
    <row r="286">
      <c r="A286" s="10">
        <f>IF(D286="","",ROW()-4)</f>
        <v/>
      </c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3" t="n"/>
      <c r="K286" s="24" t="n"/>
      <c r="L286" s="22" t="n"/>
      <c r="M286" s="23" t="n"/>
      <c r="N286" s="23" t="n"/>
      <c r="O286" s="23" t="n"/>
      <c r="P286" s="10">
        <f>IF(D286="","",IF(AND(M286="✓",N286="✓",O286="✓"),"✅正式",IF(M286&amp;N286&amp;O286="","入会前","手続き中")))</f>
        <v/>
      </c>
      <c r="Q286" s="24" t="n"/>
      <c r="R286" s="24" t="n"/>
      <c r="S286" s="10">
        <f>IF(OR(D286="",R286=""),"",TODAY()-R286)</f>
        <v/>
      </c>
      <c r="T286" s="22" t="n"/>
      <c r="U286" s="24" t="n"/>
      <c r="V286" s="23" t="n"/>
      <c r="W286" s="14">
        <f>IF(OR(D286="",V286="辞退",V286="保留",P286="✅正式"),"",TRIM(IF(AND(U286&lt;&gt;"",U286&lt;TODAY()),"期日超過 ","")&amp;IF(AND(S286&lt;&gt;"",S286&gt;='設定'!$B$9),"放置"&amp;S286&amp;"日 ","")&amp;IF(AND(J286="CCS済",M286&lt;&gt;"✓"),"CCS後の申込待ち ","")&amp;IF(AND(M286="✓",N286&lt;&gt;"✓"),"振込待ち ","")&amp;IF(AND(N286="✓",O286&lt;&gt;"✓"),"同意書待ち ","")&amp;IF(T286="","次アクション未設定","")))</f>
        <v/>
      </c>
      <c r="X286" s="10" t="n"/>
      <c r="Y286" s="22" t="n"/>
    </row>
    <row r="287">
      <c r="A287" s="10">
        <f>IF(D287="","",ROW()-4)</f>
        <v/>
      </c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4" t="n"/>
      <c r="L287" s="22" t="n"/>
      <c r="M287" s="23" t="n"/>
      <c r="N287" s="23" t="n"/>
      <c r="O287" s="23" t="n"/>
      <c r="P287" s="10">
        <f>IF(D287="","",IF(AND(M287="✓",N287="✓",O287="✓"),"✅正式",IF(M287&amp;N287&amp;O287="","入会前","手続き中")))</f>
        <v/>
      </c>
      <c r="Q287" s="24" t="n"/>
      <c r="R287" s="24" t="n"/>
      <c r="S287" s="10">
        <f>IF(OR(D287="",R287=""),"",TODAY()-R287)</f>
        <v/>
      </c>
      <c r="T287" s="22" t="n"/>
      <c r="U287" s="24" t="n"/>
      <c r="V287" s="23" t="n"/>
      <c r="W287" s="14">
        <f>IF(OR(D287="",V287="辞退",V287="保留",P287="✅正式"),"",TRIM(IF(AND(U287&lt;&gt;"",U287&lt;TODAY()),"期日超過 ","")&amp;IF(AND(S287&lt;&gt;"",S287&gt;='設定'!$B$9),"放置"&amp;S287&amp;"日 ","")&amp;IF(AND(J287="CCS済",M287&lt;&gt;"✓"),"CCS後の申込待ち ","")&amp;IF(AND(M287="✓",N287&lt;&gt;"✓"),"振込待ち ","")&amp;IF(AND(N287="✓",O287&lt;&gt;"✓"),"同意書待ち ","")&amp;IF(T287="","次アクション未設定","")))</f>
        <v/>
      </c>
      <c r="X287" s="10" t="n"/>
      <c r="Y287" s="22" t="n"/>
    </row>
    <row r="288">
      <c r="A288" s="10">
        <f>IF(D288="","",ROW()-4)</f>
        <v/>
      </c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3" t="n"/>
      <c r="K288" s="24" t="n"/>
      <c r="L288" s="22" t="n"/>
      <c r="M288" s="23" t="n"/>
      <c r="N288" s="23" t="n"/>
      <c r="O288" s="23" t="n"/>
      <c r="P288" s="10">
        <f>IF(D288="","",IF(AND(M288="✓",N288="✓",O288="✓"),"✅正式",IF(M288&amp;N288&amp;O288="","入会前","手続き中")))</f>
        <v/>
      </c>
      <c r="Q288" s="24" t="n"/>
      <c r="R288" s="24" t="n"/>
      <c r="S288" s="10">
        <f>IF(OR(D288="",R288=""),"",TODAY()-R288)</f>
        <v/>
      </c>
      <c r="T288" s="22" t="n"/>
      <c r="U288" s="24" t="n"/>
      <c r="V288" s="23" t="n"/>
      <c r="W288" s="14">
        <f>IF(OR(D288="",V288="辞退",V288="保留",P288="✅正式"),"",TRIM(IF(AND(U288&lt;&gt;"",U288&lt;TODAY()),"期日超過 ","")&amp;IF(AND(S288&lt;&gt;"",S288&gt;='設定'!$B$9),"放置"&amp;S288&amp;"日 ","")&amp;IF(AND(J288="CCS済",M288&lt;&gt;"✓"),"CCS後の申込待ち ","")&amp;IF(AND(M288="✓",N288&lt;&gt;"✓"),"振込待ち ","")&amp;IF(AND(N288="✓",O288&lt;&gt;"✓"),"同意書待ち ","")&amp;IF(T288="","次アクション未設定","")))</f>
        <v/>
      </c>
      <c r="X288" s="10" t="n"/>
      <c r="Y288" s="22" t="n"/>
    </row>
    <row r="289">
      <c r="A289" s="10">
        <f>IF(D289="","",ROW()-4)</f>
        <v/>
      </c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4" t="n"/>
      <c r="L289" s="22" t="n"/>
      <c r="M289" s="23" t="n"/>
      <c r="N289" s="23" t="n"/>
      <c r="O289" s="23" t="n"/>
      <c r="P289" s="10">
        <f>IF(D289="","",IF(AND(M289="✓",N289="✓",O289="✓"),"✅正式",IF(M289&amp;N289&amp;O289="","入会前","手続き中")))</f>
        <v/>
      </c>
      <c r="Q289" s="24" t="n"/>
      <c r="R289" s="24" t="n"/>
      <c r="S289" s="10">
        <f>IF(OR(D289="",R289=""),"",TODAY()-R289)</f>
        <v/>
      </c>
      <c r="T289" s="22" t="n"/>
      <c r="U289" s="24" t="n"/>
      <c r="V289" s="23" t="n"/>
      <c r="W289" s="14">
        <f>IF(OR(D289="",V289="辞退",V289="保留",P289="✅正式"),"",TRIM(IF(AND(U289&lt;&gt;"",U289&lt;TODAY()),"期日超過 ","")&amp;IF(AND(S289&lt;&gt;"",S289&gt;='設定'!$B$9),"放置"&amp;S289&amp;"日 ","")&amp;IF(AND(J289="CCS済",M289&lt;&gt;"✓"),"CCS後の申込待ち ","")&amp;IF(AND(M289="✓",N289&lt;&gt;"✓"),"振込待ち ","")&amp;IF(AND(N289="✓",O289&lt;&gt;"✓"),"同意書待ち ","")&amp;IF(T289="","次アクション未設定","")))</f>
        <v/>
      </c>
      <c r="X289" s="10" t="n"/>
      <c r="Y289" s="22" t="n"/>
    </row>
    <row r="290">
      <c r="A290" s="10">
        <f>IF(D290="","",ROW()-4)</f>
        <v/>
      </c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3" t="n"/>
      <c r="K290" s="24" t="n"/>
      <c r="L290" s="22" t="n"/>
      <c r="M290" s="23" t="n"/>
      <c r="N290" s="23" t="n"/>
      <c r="O290" s="23" t="n"/>
      <c r="P290" s="10">
        <f>IF(D290="","",IF(AND(M290="✓",N290="✓",O290="✓"),"✅正式",IF(M290&amp;N290&amp;O290="","入会前","手続き中")))</f>
        <v/>
      </c>
      <c r="Q290" s="24" t="n"/>
      <c r="R290" s="24" t="n"/>
      <c r="S290" s="10">
        <f>IF(OR(D290="",R290=""),"",TODAY()-R290)</f>
        <v/>
      </c>
      <c r="T290" s="22" t="n"/>
      <c r="U290" s="24" t="n"/>
      <c r="V290" s="23" t="n"/>
      <c r="W290" s="14">
        <f>IF(OR(D290="",V290="辞退",V290="保留",P290="✅正式"),"",TRIM(IF(AND(U290&lt;&gt;"",U290&lt;TODAY()),"期日超過 ","")&amp;IF(AND(S290&lt;&gt;"",S290&gt;='設定'!$B$9),"放置"&amp;S290&amp;"日 ","")&amp;IF(AND(J290="CCS済",M290&lt;&gt;"✓"),"CCS後の申込待ち ","")&amp;IF(AND(M290="✓",N290&lt;&gt;"✓"),"振込待ち ","")&amp;IF(AND(N290="✓",O290&lt;&gt;"✓"),"同意書待ち ","")&amp;IF(T290="","次アクション未設定","")))</f>
        <v/>
      </c>
      <c r="X290" s="10" t="n"/>
      <c r="Y290" s="22" t="n"/>
    </row>
    <row r="291">
      <c r="A291" s="10">
        <f>IF(D291="","",ROW()-4)</f>
        <v/>
      </c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4" t="n"/>
      <c r="L291" s="22" t="n"/>
      <c r="M291" s="23" t="n"/>
      <c r="N291" s="23" t="n"/>
      <c r="O291" s="23" t="n"/>
      <c r="P291" s="10">
        <f>IF(D291="","",IF(AND(M291="✓",N291="✓",O291="✓"),"✅正式",IF(M291&amp;N291&amp;O291="","入会前","手続き中")))</f>
        <v/>
      </c>
      <c r="Q291" s="24" t="n"/>
      <c r="R291" s="24" t="n"/>
      <c r="S291" s="10">
        <f>IF(OR(D291="",R291=""),"",TODAY()-R291)</f>
        <v/>
      </c>
      <c r="T291" s="22" t="n"/>
      <c r="U291" s="24" t="n"/>
      <c r="V291" s="23" t="n"/>
      <c r="W291" s="14">
        <f>IF(OR(D291="",V291="辞退",V291="保留",P291="✅正式"),"",TRIM(IF(AND(U291&lt;&gt;"",U291&lt;TODAY()),"期日超過 ","")&amp;IF(AND(S291&lt;&gt;"",S291&gt;='設定'!$B$9),"放置"&amp;S291&amp;"日 ","")&amp;IF(AND(J291="CCS済",M291&lt;&gt;"✓"),"CCS後の申込待ち ","")&amp;IF(AND(M291="✓",N291&lt;&gt;"✓"),"振込待ち ","")&amp;IF(AND(N291="✓",O291&lt;&gt;"✓"),"同意書待ち ","")&amp;IF(T291="","次アクション未設定","")))</f>
        <v/>
      </c>
      <c r="X291" s="10" t="n"/>
      <c r="Y291" s="22" t="n"/>
    </row>
    <row r="292">
      <c r="A292" s="10">
        <f>IF(D292="","",ROW()-4)</f>
        <v/>
      </c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3" t="n"/>
      <c r="K292" s="24" t="n"/>
      <c r="L292" s="22" t="n"/>
      <c r="M292" s="23" t="n"/>
      <c r="N292" s="23" t="n"/>
      <c r="O292" s="23" t="n"/>
      <c r="P292" s="10">
        <f>IF(D292="","",IF(AND(M292="✓",N292="✓",O292="✓"),"✅正式",IF(M292&amp;N292&amp;O292="","入会前","手続き中")))</f>
        <v/>
      </c>
      <c r="Q292" s="24" t="n"/>
      <c r="R292" s="24" t="n"/>
      <c r="S292" s="10">
        <f>IF(OR(D292="",R292=""),"",TODAY()-R292)</f>
        <v/>
      </c>
      <c r="T292" s="22" t="n"/>
      <c r="U292" s="24" t="n"/>
      <c r="V292" s="23" t="n"/>
      <c r="W292" s="14">
        <f>IF(OR(D292="",V292="辞退",V292="保留",P292="✅正式"),"",TRIM(IF(AND(U292&lt;&gt;"",U292&lt;TODAY()),"期日超過 ","")&amp;IF(AND(S292&lt;&gt;"",S292&gt;='設定'!$B$9),"放置"&amp;S292&amp;"日 ","")&amp;IF(AND(J292="CCS済",M292&lt;&gt;"✓"),"CCS後の申込待ち ","")&amp;IF(AND(M292="✓",N292&lt;&gt;"✓"),"振込待ち ","")&amp;IF(AND(N292="✓",O292&lt;&gt;"✓"),"同意書待ち ","")&amp;IF(T292="","次アクション未設定","")))</f>
        <v/>
      </c>
      <c r="X292" s="10" t="n"/>
      <c r="Y292" s="22" t="n"/>
    </row>
    <row r="293">
      <c r="A293" s="10">
        <f>IF(D293="","",ROW()-4)</f>
        <v/>
      </c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4" t="n"/>
      <c r="L293" s="22" t="n"/>
      <c r="M293" s="23" t="n"/>
      <c r="N293" s="23" t="n"/>
      <c r="O293" s="23" t="n"/>
      <c r="P293" s="10">
        <f>IF(D293="","",IF(AND(M293="✓",N293="✓",O293="✓"),"✅正式",IF(M293&amp;N293&amp;O293="","入会前","手続き中")))</f>
        <v/>
      </c>
      <c r="Q293" s="24" t="n"/>
      <c r="R293" s="24" t="n"/>
      <c r="S293" s="10">
        <f>IF(OR(D293="",R293=""),"",TODAY()-R293)</f>
        <v/>
      </c>
      <c r="T293" s="22" t="n"/>
      <c r="U293" s="24" t="n"/>
      <c r="V293" s="23" t="n"/>
      <c r="W293" s="14">
        <f>IF(OR(D293="",V293="辞退",V293="保留",P293="✅正式"),"",TRIM(IF(AND(U293&lt;&gt;"",U293&lt;TODAY()),"期日超過 ","")&amp;IF(AND(S293&lt;&gt;"",S293&gt;='設定'!$B$9),"放置"&amp;S293&amp;"日 ","")&amp;IF(AND(J293="CCS済",M293&lt;&gt;"✓"),"CCS後の申込待ち ","")&amp;IF(AND(M293="✓",N293&lt;&gt;"✓"),"振込待ち ","")&amp;IF(AND(N293="✓",O293&lt;&gt;"✓"),"同意書待ち ","")&amp;IF(T293="","次アクション未設定","")))</f>
        <v/>
      </c>
      <c r="X293" s="10" t="n"/>
      <c r="Y293" s="22" t="n"/>
    </row>
    <row r="294">
      <c r="A294" s="10">
        <f>IF(D294="","",ROW()-4)</f>
        <v/>
      </c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3" t="n"/>
      <c r="K294" s="24" t="n"/>
      <c r="L294" s="22" t="n"/>
      <c r="M294" s="23" t="n"/>
      <c r="N294" s="23" t="n"/>
      <c r="O294" s="23" t="n"/>
      <c r="P294" s="10">
        <f>IF(D294="","",IF(AND(M294="✓",N294="✓",O294="✓"),"✅正式",IF(M294&amp;N294&amp;O294="","入会前","手続き中")))</f>
        <v/>
      </c>
      <c r="Q294" s="24" t="n"/>
      <c r="R294" s="24" t="n"/>
      <c r="S294" s="10">
        <f>IF(OR(D294="",R294=""),"",TODAY()-R294)</f>
        <v/>
      </c>
      <c r="T294" s="22" t="n"/>
      <c r="U294" s="24" t="n"/>
      <c r="V294" s="23" t="n"/>
      <c r="W294" s="14">
        <f>IF(OR(D294="",V294="辞退",V294="保留",P294="✅正式"),"",TRIM(IF(AND(U294&lt;&gt;"",U294&lt;TODAY()),"期日超過 ","")&amp;IF(AND(S294&lt;&gt;"",S294&gt;='設定'!$B$9),"放置"&amp;S294&amp;"日 ","")&amp;IF(AND(J294="CCS済",M294&lt;&gt;"✓"),"CCS後の申込待ち ","")&amp;IF(AND(M294="✓",N294&lt;&gt;"✓"),"振込待ち ","")&amp;IF(AND(N294="✓",O294&lt;&gt;"✓"),"同意書待ち ","")&amp;IF(T294="","次アクション未設定","")))</f>
        <v/>
      </c>
      <c r="X294" s="10" t="n"/>
      <c r="Y294" s="22" t="n"/>
    </row>
    <row r="295">
      <c r="A295" s="10">
        <f>IF(D295="","",ROW()-4)</f>
        <v/>
      </c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4" t="n"/>
      <c r="L295" s="22" t="n"/>
      <c r="M295" s="23" t="n"/>
      <c r="N295" s="23" t="n"/>
      <c r="O295" s="23" t="n"/>
      <c r="P295" s="10">
        <f>IF(D295="","",IF(AND(M295="✓",N295="✓",O295="✓"),"✅正式",IF(M295&amp;N295&amp;O295="","入会前","手続き中")))</f>
        <v/>
      </c>
      <c r="Q295" s="24" t="n"/>
      <c r="R295" s="24" t="n"/>
      <c r="S295" s="10">
        <f>IF(OR(D295="",R295=""),"",TODAY()-R295)</f>
        <v/>
      </c>
      <c r="T295" s="22" t="n"/>
      <c r="U295" s="24" t="n"/>
      <c r="V295" s="23" t="n"/>
      <c r="W295" s="14">
        <f>IF(OR(D295="",V295="辞退",V295="保留",P295="✅正式"),"",TRIM(IF(AND(U295&lt;&gt;"",U295&lt;TODAY()),"期日超過 ","")&amp;IF(AND(S295&lt;&gt;"",S295&gt;='設定'!$B$9),"放置"&amp;S295&amp;"日 ","")&amp;IF(AND(J295="CCS済",M295&lt;&gt;"✓"),"CCS後の申込待ち ","")&amp;IF(AND(M295="✓",N295&lt;&gt;"✓"),"振込待ち ","")&amp;IF(AND(N295="✓",O295&lt;&gt;"✓"),"同意書待ち ","")&amp;IF(T295="","次アクション未設定","")))</f>
        <v/>
      </c>
      <c r="X295" s="10" t="n"/>
      <c r="Y295" s="22" t="n"/>
    </row>
    <row r="296">
      <c r="A296" s="10">
        <f>IF(D296="","",ROW()-4)</f>
        <v/>
      </c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3" t="n"/>
      <c r="K296" s="24" t="n"/>
      <c r="L296" s="22" t="n"/>
      <c r="M296" s="23" t="n"/>
      <c r="N296" s="23" t="n"/>
      <c r="O296" s="23" t="n"/>
      <c r="P296" s="10">
        <f>IF(D296="","",IF(AND(M296="✓",N296="✓",O296="✓"),"✅正式",IF(M296&amp;N296&amp;O296="","入会前","手続き中")))</f>
        <v/>
      </c>
      <c r="Q296" s="24" t="n"/>
      <c r="R296" s="24" t="n"/>
      <c r="S296" s="10">
        <f>IF(OR(D296="",R296=""),"",TODAY()-R296)</f>
        <v/>
      </c>
      <c r="T296" s="22" t="n"/>
      <c r="U296" s="24" t="n"/>
      <c r="V296" s="23" t="n"/>
      <c r="W296" s="14">
        <f>IF(OR(D296="",V296="辞退",V296="保留",P296="✅正式"),"",TRIM(IF(AND(U296&lt;&gt;"",U296&lt;TODAY()),"期日超過 ","")&amp;IF(AND(S296&lt;&gt;"",S296&gt;='設定'!$B$9),"放置"&amp;S296&amp;"日 ","")&amp;IF(AND(J296="CCS済",M296&lt;&gt;"✓"),"CCS後の申込待ち ","")&amp;IF(AND(M296="✓",N296&lt;&gt;"✓"),"振込待ち ","")&amp;IF(AND(N296="✓",O296&lt;&gt;"✓"),"同意書待ち ","")&amp;IF(T296="","次アクション未設定","")))</f>
        <v/>
      </c>
      <c r="X296" s="10" t="n"/>
      <c r="Y296" s="22" t="n"/>
    </row>
    <row r="297">
      <c r="A297" s="10">
        <f>IF(D297="","",ROW()-4)</f>
        <v/>
      </c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4" t="n"/>
      <c r="L297" s="22" t="n"/>
      <c r="M297" s="23" t="n"/>
      <c r="N297" s="23" t="n"/>
      <c r="O297" s="23" t="n"/>
      <c r="P297" s="10">
        <f>IF(D297="","",IF(AND(M297="✓",N297="✓",O297="✓"),"✅正式",IF(M297&amp;N297&amp;O297="","入会前","手続き中")))</f>
        <v/>
      </c>
      <c r="Q297" s="24" t="n"/>
      <c r="R297" s="24" t="n"/>
      <c r="S297" s="10">
        <f>IF(OR(D297="",R297=""),"",TODAY()-R297)</f>
        <v/>
      </c>
      <c r="T297" s="22" t="n"/>
      <c r="U297" s="24" t="n"/>
      <c r="V297" s="23" t="n"/>
      <c r="W297" s="14">
        <f>IF(OR(D297="",V297="辞退",V297="保留",P297="✅正式"),"",TRIM(IF(AND(U297&lt;&gt;"",U297&lt;TODAY()),"期日超過 ","")&amp;IF(AND(S297&lt;&gt;"",S297&gt;='設定'!$B$9),"放置"&amp;S297&amp;"日 ","")&amp;IF(AND(J297="CCS済",M297&lt;&gt;"✓"),"CCS後の申込待ち ","")&amp;IF(AND(M297="✓",N297&lt;&gt;"✓"),"振込待ち ","")&amp;IF(AND(N297="✓",O297&lt;&gt;"✓"),"同意書待ち ","")&amp;IF(T297="","次アクション未設定","")))</f>
        <v/>
      </c>
      <c r="X297" s="10" t="n"/>
      <c r="Y297" s="22" t="n"/>
    </row>
    <row r="298">
      <c r="A298" s="10">
        <f>IF(D298="","",ROW()-4)</f>
        <v/>
      </c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3" t="n"/>
      <c r="K298" s="24" t="n"/>
      <c r="L298" s="22" t="n"/>
      <c r="M298" s="23" t="n"/>
      <c r="N298" s="23" t="n"/>
      <c r="O298" s="23" t="n"/>
      <c r="P298" s="10">
        <f>IF(D298="","",IF(AND(M298="✓",N298="✓",O298="✓"),"✅正式",IF(M298&amp;N298&amp;O298="","入会前","手続き中")))</f>
        <v/>
      </c>
      <c r="Q298" s="24" t="n"/>
      <c r="R298" s="24" t="n"/>
      <c r="S298" s="10">
        <f>IF(OR(D298="",R298=""),"",TODAY()-R298)</f>
        <v/>
      </c>
      <c r="T298" s="22" t="n"/>
      <c r="U298" s="24" t="n"/>
      <c r="V298" s="23" t="n"/>
      <c r="W298" s="14">
        <f>IF(OR(D298="",V298="辞退",V298="保留",P298="✅正式"),"",TRIM(IF(AND(U298&lt;&gt;"",U298&lt;TODAY()),"期日超過 ","")&amp;IF(AND(S298&lt;&gt;"",S298&gt;='設定'!$B$9),"放置"&amp;S298&amp;"日 ","")&amp;IF(AND(J298="CCS済",M298&lt;&gt;"✓"),"CCS後の申込待ち ","")&amp;IF(AND(M298="✓",N298&lt;&gt;"✓"),"振込待ち ","")&amp;IF(AND(N298="✓",O298&lt;&gt;"✓"),"同意書待ち ","")&amp;IF(T298="","次アクション未設定","")))</f>
        <v/>
      </c>
      <c r="X298" s="10" t="n"/>
      <c r="Y298" s="22" t="n"/>
    </row>
    <row r="299">
      <c r="A299" s="10">
        <f>IF(D299="","",ROW()-4)</f>
        <v/>
      </c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4" t="n"/>
      <c r="L299" s="22" t="n"/>
      <c r="M299" s="23" t="n"/>
      <c r="N299" s="23" t="n"/>
      <c r="O299" s="23" t="n"/>
      <c r="P299" s="10">
        <f>IF(D299="","",IF(AND(M299="✓",N299="✓",O299="✓"),"✅正式",IF(M299&amp;N299&amp;O299="","入会前","手続き中")))</f>
        <v/>
      </c>
      <c r="Q299" s="24" t="n"/>
      <c r="R299" s="24" t="n"/>
      <c r="S299" s="10">
        <f>IF(OR(D299="",R299=""),"",TODAY()-R299)</f>
        <v/>
      </c>
      <c r="T299" s="22" t="n"/>
      <c r="U299" s="24" t="n"/>
      <c r="V299" s="23" t="n"/>
      <c r="W299" s="14">
        <f>IF(OR(D299="",V299="辞退",V299="保留",P299="✅正式"),"",TRIM(IF(AND(U299&lt;&gt;"",U299&lt;TODAY()),"期日超過 ","")&amp;IF(AND(S299&lt;&gt;"",S299&gt;='設定'!$B$9),"放置"&amp;S299&amp;"日 ","")&amp;IF(AND(J299="CCS済",M299&lt;&gt;"✓"),"CCS後の申込待ち ","")&amp;IF(AND(M299="✓",N299&lt;&gt;"✓"),"振込待ち ","")&amp;IF(AND(N299="✓",O299&lt;&gt;"✓"),"同意書待ち ","")&amp;IF(T299="","次アクション未設定","")))</f>
        <v/>
      </c>
      <c r="X299" s="10" t="n"/>
      <c r="Y299" s="22" t="n"/>
    </row>
    <row r="300">
      <c r="A300" s="10">
        <f>IF(D300="","",ROW()-4)</f>
        <v/>
      </c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3" t="n"/>
      <c r="K300" s="24" t="n"/>
      <c r="L300" s="22" t="n"/>
      <c r="M300" s="23" t="n"/>
      <c r="N300" s="23" t="n"/>
      <c r="O300" s="23" t="n"/>
      <c r="P300" s="10">
        <f>IF(D300="","",IF(AND(M300="✓",N300="✓",O300="✓"),"✅正式",IF(M300&amp;N300&amp;O300="","入会前","手続き中")))</f>
        <v/>
      </c>
      <c r="Q300" s="24" t="n"/>
      <c r="R300" s="24" t="n"/>
      <c r="S300" s="10">
        <f>IF(OR(D300="",R300=""),"",TODAY()-R300)</f>
        <v/>
      </c>
      <c r="T300" s="22" t="n"/>
      <c r="U300" s="24" t="n"/>
      <c r="V300" s="23" t="n"/>
      <c r="W300" s="14">
        <f>IF(OR(D300="",V300="辞退",V300="保留",P300="✅正式"),"",TRIM(IF(AND(U300&lt;&gt;"",U300&lt;TODAY()),"期日超過 ","")&amp;IF(AND(S300&lt;&gt;"",S300&gt;='設定'!$B$9),"放置"&amp;S300&amp;"日 ","")&amp;IF(AND(J300="CCS済",M300&lt;&gt;"✓"),"CCS後の申込待ち ","")&amp;IF(AND(M300="✓",N300&lt;&gt;"✓"),"振込待ち ","")&amp;IF(AND(N300="✓",O300&lt;&gt;"✓"),"同意書待ち ","")&amp;IF(T300="","次アクション未設定","")))</f>
        <v/>
      </c>
      <c r="X300" s="10" t="n"/>
      <c r="Y300" s="22" t="n"/>
    </row>
    <row r="301">
      <c r="A301" s="10">
        <f>IF(D301="","",ROW()-4)</f>
        <v/>
      </c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4" t="n"/>
      <c r="L301" s="22" t="n"/>
      <c r="M301" s="23" t="n"/>
      <c r="N301" s="23" t="n"/>
      <c r="O301" s="23" t="n"/>
      <c r="P301" s="10">
        <f>IF(D301="","",IF(AND(M301="✓",N301="✓",O301="✓"),"✅正式",IF(M301&amp;N301&amp;O301="","入会前","手続き中")))</f>
        <v/>
      </c>
      <c r="Q301" s="24" t="n"/>
      <c r="R301" s="24" t="n"/>
      <c r="S301" s="10">
        <f>IF(OR(D301="",R301=""),"",TODAY()-R301)</f>
        <v/>
      </c>
      <c r="T301" s="22" t="n"/>
      <c r="U301" s="24" t="n"/>
      <c r="V301" s="23" t="n"/>
      <c r="W301" s="14">
        <f>IF(OR(D301="",V301="辞退",V301="保留",P301="✅正式"),"",TRIM(IF(AND(U301&lt;&gt;"",U301&lt;TODAY()),"期日超過 ","")&amp;IF(AND(S301&lt;&gt;"",S301&gt;='設定'!$B$9),"放置"&amp;S301&amp;"日 ","")&amp;IF(AND(J301="CCS済",M301&lt;&gt;"✓"),"CCS後の申込待ち ","")&amp;IF(AND(M301="✓",N301&lt;&gt;"✓"),"振込待ち ","")&amp;IF(AND(N301="✓",O301&lt;&gt;"✓"),"同意書待ち ","")&amp;IF(T301="","次アクション未設定","")))</f>
        <v/>
      </c>
      <c r="X301" s="10" t="n"/>
      <c r="Y301" s="22" t="n"/>
    </row>
    <row r="302">
      <c r="A302" s="10">
        <f>IF(D302="","",ROW()-4)</f>
        <v/>
      </c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3" t="n"/>
      <c r="K302" s="24" t="n"/>
      <c r="L302" s="22" t="n"/>
      <c r="M302" s="23" t="n"/>
      <c r="N302" s="23" t="n"/>
      <c r="O302" s="23" t="n"/>
      <c r="P302" s="10">
        <f>IF(D302="","",IF(AND(M302="✓",N302="✓",O302="✓"),"✅正式",IF(M302&amp;N302&amp;O302="","入会前","手続き中")))</f>
        <v/>
      </c>
      <c r="Q302" s="24" t="n"/>
      <c r="R302" s="24" t="n"/>
      <c r="S302" s="10">
        <f>IF(OR(D302="",R302=""),"",TODAY()-R302)</f>
        <v/>
      </c>
      <c r="T302" s="22" t="n"/>
      <c r="U302" s="24" t="n"/>
      <c r="V302" s="23" t="n"/>
      <c r="W302" s="14">
        <f>IF(OR(D302="",V302="辞退",V302="保留",P302="✅正式"),"",TRIM(IF(AND(U302&lt;&gt;"",U302&lt;TODAY()),"期日超過 ","")&amp;IF(AND(S302&lt;&gt;"",S302&gt;='設定'!$B$9),"放置"&amp;S302&amp;"日 ","")&amp;IF(AND(J302="CCS済",M302&lt;&gt;"✓"),"CCS後の申込待ち ","")&amp;IF(AND(M302="✓",N302&lt;&gt;"✓"),"振込待ち ","")&amp;IF(AND(N302="✓",O302&lt;&gt;"✓"),"同意書待ち ","")&amp;IF(T302="","次アクション未設定","")))</f>
        <v/>
      </c>
      <c r="X302" s="10" t="n"/>
      <c r="Y302" s="22" t="n"/>
    </row>
    <row r="303">
      <c r="A303" s="10">
        <f>IF(D303="","",ROW()-4)</f>
        <v/>
      </c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4" t="n"/>
      <c r="L303" s="22" t="n"/>
      <c r="M303" s="23" t="n"/>
      <c r="N303" s="23" t="n"/>
      <c r="O303" s="23" t="n"/>
      <c r="P303" s="10">
        <f>IF(D303="","",IF(AND(M303="✓",N303="✓",O303="✓"),"✅正式",IF(M303&amp;N303&amp;O303="","入会前","手続き中")))</f>
        <v/>
      </c>
      <c r="Q303" s="24" t="n"/>
      <c r="R303" s="24" t="n"/>
      <c r="S303" s="10">
        <f>IF(OR(D303="",R303=""),"",TODAY()-R303)</f>
        <v/>
      </c>
      <c r="T303" s="22" t="n"/>
      <c r="U303" s="24" t="n"/>
      <c r="V303" s="23" t="n"/>
      <c r="W303" s="14">
        <f>IF(OR(D303="",V303="辞退",V303="保留",P303="✅正式"),"",TRIM(IF(AND(U303&lt;&gt;"",U303&lt;TODAY()),"期日超過 ","")&amp;IF(AND(S303&lt;&gt;"",S303&gt;='設定'!$B$9),"放置"&amp;S303&amp;"日 ","")&amp;IF(AND(J303="CCS済",M303&lt;&gt;"✓"),"CCS後の申込待ち ","")&amp;IF(AND(M303="✓",N303&lt;&gt;"✓"),"振込待ち ","")&amp;IF(AND(N303="✓",O303&lt;&gt;"✓"),"同意書待ち ","")&amp;IF(T303="","次アクション未設定","")))</f>
        <v/>
      </c>
      <c r="X303" s="10" t="n"/>
      <c r="Y303" s="22" t="n"/>
    </row>
    <row r="304">
      <c r="A304" s="10">
        <f>IF(D304="","",ROW()-4)</f>
        <v/>
      </c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3" t="n"/>
      <c r="K304" s="24" t="n"/>
      <c r="L304" s="22" t="n"/>
      <c r="M304" s="23" t="n"/>
      <c r="N304" s="23" t="n"/>
      <c r="O304" s="23" t="n"/>
      <c r="P304" s="10">
        <f>IF(D304="","",IF(AND(M304="✓",N304="✓",O304="✓"),"✅正式",IF(M304&amp;N304&amp;O304="","入会前","手続き中")))</f>
        <v/>
      </c>
      <c r="Q304" s="24" t="n"/>
      <c r="R304" s="24" t="n"/>
      <c r="S304" s="10">
        <f>IF(OR(D304="",R304=""),"",TODAY()-R304)</f>
        <v/>
      </c>
      <c r="T304" s="22" t="n"/>
      <c r="U304" s="24" t="n"/>
      <c r="V304" s="23" t="n"/>
      <c r="W304" s="14">
        <f>IF(OR(D304="",V304="辞退",V304="保留",P304="✅正式"),"",TRIM(IF(AND(U304&lt;&gt;"",U304&lt;TODAY()),"期日超過 ","")&amp;IF(AND(S304&lt;&gt;"",S304&gt;='設定'!$B$9),"放置"&amp;S304&amp;"日 ","")&amp;IF(AND(J304="CCS済",M304&lt;&gt;"✓"),"CCS後の申込待ち ","")&amp;IF(AND(M304="✓",N304&lt;&gt;"✓"),"振込待ち ","")&amp;IF(AND(N304="✓",O304&lt;&gt;"✓"),"同意書待ち ","")&amp;IF(T304="","次アクション未設定","")))</f>
        <v/>
      </c>
      <c r="X304" s="10" t="n"/>
      <c r="Y304" s="22" t="n"/>
    </row>
    <row r="305">
      <c r="A305" s="10">
        <f>IF(D305="","",ROW()-4)</f>
        <v/>
      </c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4" t="n"/>
      <c r="L305" s="22" t="n"/>
      <c r="M305" s="23" t="n"/>
      <c r="N305" s="23" t="n"/>
      <c r="O305" s="23" t="n"/>
      <c r="P305" s="10">
        <f>IF(D305="","",IF(AND(M305="✓",N305="✓",O305="✓"),"✅正式",IF(M305&amp;N305&amp;O305="","入会前","手続き中")))</f>
        <v/>
      </c>
      <c r="Q305" s="24" t="n"/>
      <c r="R305" s="24" t="n"/>
      <c r="S305" s="10">
        <f>IF(OR(D305="",R305=""),"",TODAY()-R305)</f>
        <v/>
      </c>
      <c r="T305" s="22" t="n"/>
      <c r="U305" s="24" t="n"/>
      <c r="V305" s="23" t="n"/>
      <c r="W305" s="14">
        <f>IF(OR(D305="",V305="辞退",V305="保留",P305="✅正式"),"",TRIM(IF(AND(U305&lt;&gt;"",U305&lt;TODAY()),"期日超過 ","")&amp;IF(AND(S305&lt;&gt;"",S305&gt;='設定'!$B$9),"放置"&amp;S305&amp;"日 ","")&amp;IF(AND(J305="CCS済",M305&lt;&gt;"✓"),"CCS後の申込待ち ","")&amp;IF(AND(M305="✓",N305&lt;&gt;"✓"),"振込待ち ","")&amp;IF(AND(N305="✓",O305&lt;&gt;"✓"),"同意書待ち ","")&amp;IF(T305="","次アクション未設定","")))</f>
        <v/>
      </c>
      <c r="X305" s="10" t="n"/>
      <c r="Y305" s="22" t="n"/>
    </row>
    <row r="306">
      <c r="A306" s="10">
        <f>IF(D306="","",ROW()-4)</f>
        <v/>
      </c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3" t="n"/>
      <c r="K306" s="24" t="n"/>
      <c r="L306" s="22" t="n"/>
      <c r="M306" s="23" t="n"/>
      <c r="N306" s="23" t="n"/>
      <c r="O306" s="23" t="n"/>
      <c r="P306" s="10">
        <f>IF(D306="","",IF(AND(M306="✓",N306="✓",O306="✓"),"✅正式",IF(M306&amp;N306&amp;O306="","入会前","手続き中")))</f>
        <v/>
      </c>
      <c r="Q306" s="24" t="n"/>
      <c r="R306" s="24" t="n"/>
      <c r="S306" s="10">
        <f>IF(OR(D306="",R306=""),"",TODAY()-R306)</f>
        <v/>
      </c>
      <c r="T306" s="22" t="n"/>
      <c r="U306" s="24" t="n"/>
      <c r="V306" s="23" t="n"/>
      <c r="W306" s="14">
        <f>IF(OR(D306="",V306="辞退",V306="保留",P306="✅正式"),"",TRIM(IF(AND(U306&lt;&gt;"",U306&lt;TODAY()),"期日超過 ","")&amp;IF(AND(S306&lt;&gt;"",S306&gt;='設定'!$B$9),"放置"&amp;S306&amp;"日 ","")&amp;IF(AND(J306="CCS済",M306&lt;&gt;"✓"),"CCS後の申込待ち ","")&amp;IF(AND(M306="✓",N306&lt;&gt;"✓"),"振込待ち ","")&amp;IF(AND(N306="✓",O306&lt;&gt;"✓"),"同意書待ち ","")&amp;IF(T306="","次アクション未設定","")))</f>
        <v/>
      </c>
      <c r="X306" s="10" t="n"/>
      <c r="Y306" s="22" t="n"/>
    </row>
    <row r="307">
      <c r="A307" s="10">
        <f>IF(D307="","",ROW()-4)</f>
        <v/>
      </c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3" t="n"/>
      <c r="K307" s="24" t="n"/>
      <c r="L307" s="22" t="n"/>
      <c r="M307" s="23" t="n"/>
      <c r="N307" s="23" t="n"/>
      <c r="O307" s="23" t="n"/>
      <c r="P307" s="10">
        <f>IF(D307="","",IF(AND(M307="✓",N307="✓",O307="✓"),"✅正式",IF(M307&amp;N307&amp;O307="","入会前","手続き中")))</f>
        <v/>
      </c>
      <c r="Q307" s="24" t="n"/>
      <c r="R307" s="24" t="n"/>
      <c r="S307" s="10">
        <f>IF(OR(D307="",R307=""),"",TODAY()-R307)</f>
        <v/>
      </c>
      <c r="T307" s="22" t="n"/>
      <c r="U307" s="24" t="n"/>
      <c r="V307" s="23" t="n"/>
      <c r="W307" s="14">
        <f>IF(OR(D307="",V307="辞退",V307="保留",P307="✅正式"),"",TRIM(IF(AND(U307&lt;&gt;"",U307&lt;TODAY()),"期日超過 ","")&amp;IF(AND(S307&lt;&gt;"",S307&gt;='設定'!$B$9),"放置"&amp;S307&amp;"日 ","")&amp;IF(AND(J307="CCS済",M307&lt;&gt;"✓"),"CCS後の申込待ち ","")&amp;IF(AND(M307="✓",N307&lt;&gt;"✓"),"振込待ち ","")&amp;IF(AND(N307="✓",O307&lt;&gt;"✓"),"同意書待ち ","")&amp;IF(T307="","次アクション未設定","")))</f>
        <v/>
      </c>
      <c r="X307" s="10" t="n"/>
      <c r="Y307" s="22" t="n"/>
    </row>
    <row r="308">
      <c r="A308" s="10">
        <f>IF(D308="","",ROW()-4)</f>
        <v/>
      </c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3" t="n"/>
      <c r="K308" s="24" t="n"/>
      <c r="L308" s="22" t="n"/>
      <c r="M308" s="23" t="n"/>
      <c r="N308" s="23" t="n"/>
      <c r="O308" s="23" t="n"/>
      <c r="P308" s="10">
        <f>IF(D308="","",IF(AND(M308="✓",N308="✓",O308="✓"),"✅正式",IF(M308&amp;N308&amp;O308="","入会前","手続き中")))</f>
        <v/>
      </c>
      <c r="Q308" s="24" t="n"/>
      <c r="R308" s="24" t="n"/>
      <c r="S308" s="10">
        <f>IF(OR(D308="",R308=""),"",TODAY()-R308)</f>
        <v/>
      </c>
      <c r="T308" s="22" t="n"/>
      <c r="U308" s="24" t="n"/>
      <c r="V308" s="23" t="n"/>
      <c r="W308" s="14">
        <f>IF(OR(D308="",V308="辞退",V308="保留",P308="✅正式"),"",TRIM(IF(AND(U308&lt;&gt;"",U308&lt;TODAY()),"期日超過 ","")&amp;IF(AND(S308&lt;&gt;"",S308&gt;='設定'!$B$9),"放置"&amp;S308&amp;"日 ","")&amp;IF(AND(J308="CCS済",M308&lt;&gt;"✓"),"CCS後の申込待ち ","")&amp;IF(AND(M308="✓",N308&lt;&gt;"✓"),"振込待ち ","")&amp;IF(AND(N308="✓",O308&lt;&gt;"✓"),"同意書待ち ","")&amp;IF(T308="","次アクション未設定","")))</f>
        <v/>
      </c>
      <c r="X308" s="10" t="n"/>
      <c r="Y308" s="22" t="n"/>
    </row>
    <row r="309">
      <c r="A309" s="10">
        <f>IF(D309="","",ROW()-4)</f>
        <v/>
      </c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3" t="n"/>
      <c r="K309" s="24" t="n"/>
      <c r="L309" s="22" t="n"/>
      <c r="M309" s="23" t="n"/>
      <c r="N309" s="23" t="n"/>
      <c r="O309" s="23" t="n"/>
      <c r="P309" s="10">
        <f>IF(D309="","",IF(AND(M309="✓",N309="✓",O309="✓"),"✅正式",IF(M309&amp;N309&amp;O309="","入会前","手続き中")))</f>
        <v/>
      </c>
      <c r="Q309" s="24" t="n"/>
      <c r="R309" s="24" t="n"/>
      <c r="S309" s="10">
        <f>IF(OR(D309="",R309=""),"",TODAY()-R309)</f>
        <v/>
      </c>
      <c r="T309" s="22" t="n"/>
      <c r="U309" s="24" t="n"/>
      <c r="V309" s="23" t="n"/>
      <c r="W309" s="14">
        <f>IF(OR(D309="",V309="辞退",V309="保留",P309="✅正式"),"",TRIM(IF(AND(U309&lt;&gt;"",U309&lt;TODAY()),"期日超過 ","")&amp;IF(AND(S309&lt;&gt;"",S309&gt;='設定'!$B$9),"放置"&amp;S309&amp;"日 ","")&amp;IF(AND(J309="CCS済",M309&lt;&gt;"✓"),"CCS後の申込待ち ","")&amp;IF(AND(M309="✓",N309&lt;&gt;"✓"),"振込待ち ","")&amp;IF(AND(N309="✓",O309&lt;&gt;"✓"),"同意書待ち ","")&amp;IF(T309="","次アクション未設定","")))</f>
        <v/>
      </c>
      <c r="X309" s="10" t="n"/>
      <c r="Y309" s="22" t="n"/>
    </row>
    <row r="310">
      <c r="A310" s="10">
        <f>IF(D310="","",ROW()-4)</f>
        <v/>
      </c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3" t="n"/>
      <c r="K310" s="24" t="n"/>
      <c r="L310" s="22" t="n"/>
      <c r="M310" s="23" t="n"/>
      <c r="N310" s="23" t="n"/>
      <c r="O310" s="23" t="n"/>
      <c r="P310" s="10">
        <f>IF(D310="","",IF(AND(M310="✓",N310="✓",O310="✓"),"✅正式",IF(M310&amp;N310&amp;O310="","入会前","手続き中")))</f>
        <v/>
      </c>
      <c r="Q310" s="24" t="n"/>
      <c r="R310" s="24" t="n"/>
      <c r="S310" s="10">
        <f>IF(OR(D310="",R310=""),"",TODAY()-R310)</f>
        <v/>
      </c>
      <c r="T310" s="22" t="n"/>
      <c r="U310" s="24" t="n"/>
      <c r="V310" s="23" t="n"/>
      <c r="W310" s="14">
        <f>IF(OR(D310="",V310="辞退",V310="保留",P310="✅正式"),"",TRIM(IF(AND(U310&lt;&gt;"",U310&lt;TODAY()),"期日超過 ","")&amp;IF(AND(S310&lt;&gt;"",S310&gt;='設定'!$B$9),"放置"&amp;S310&amp;"日 ","")&amp;IF(AND(J310="CCS済",M310&lt;&gt;"✓"),"CCS後の申込待ち ","")&amp;IF(AND(M310="✓",N310&lt;&gt;"✓"),"振込待ち ","")&amp;IF(AND(N310="✓",O310&lt;&gt;"✓"),"同意書待ち ","")&amp;IF(T310="","次アクション未設定","")))</f>
        <v/>
      </c>
      <c r="X310" s="10" t="n"/>
      <c r="Y310" s="22" t="n"/>
    </row>
    <row r="311">
      <c r="A311" s="10">
        <f>IF(D311="","",ROW()-4)</f>
        <v/>
      </c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3" t="n"/>
      <c r="K311" s="24" t="n"/>
      <c r="L311" s="22" t="n"/>
      <c r="M311" s="23" t="n"/>
      <c r="N311" s="23" t="n"/>
      <c r="O311" s="23" t="n"/>
      <c r="P311" s="10">
        <f>IF(D311="","",IF(AND(M311="✓",N311="✓",O311="✓"),"✅正式",IF(M311&amp;N311&amp;O311="","入会前","手続き中")))</f>
        <v/>
      </c>
      <c r="Q311" s="24" t="n"/>
      <c r="R311" s="24" t="n"/>
      <c r="S311" s="10">
        <f>IF(OR(D311="",R311=""),"",TODAY()-R311)</f>
        <v/>
      </c>
      <c r="T311" s="22" t="n"/>
      <c r="U311" s="24" t="n"/>
      <c r="V311" s="23" t="n"/>
      <c r="W311" s="14">
        <f>IF(OR(D311="",V311="辞退",V311="保留",P311="✅正式"),"",TRIM(IF(AND(U311&lt;&gt;"",U311&lt;TODAY()),"期日超過 ","")&amp;IF(AND(S311&lt;&gt;"",S311&gt;='設定'!$B$9),"放置"&amp;S311&amp;"日 ","")&amp;IF(AND(J311="CCS済",M311&lt;&gt;"✓"),"CCS後の申込待ち ","")&amp;IF(AND(M311="✓",N311&lt;&gt;"✓"),"振込待ち ","")&amp;IF(AND(N311="✓",O311&lt;&gt;"✓"),"同意書待ち ","")&amp;IF(T311="","次アクション未設定","")))</f>
        <v/>
      </c>
      <c r="X311" s="10" t="n"/>
      <c r="Y311" s="22" t="n"/>
    </row>
    <row r="312">
      <c r="A312" s="10">
        <f>IF(D312="","",ROW()-4)</f>
        <v/>
      </c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3" t="n"/>
      <c r="K312" s="24" t="n"/>
      <c r="L312" s="22" t="n"/>
      <c r="M312" s="23" t="n"/>
      <c r="N312" s="23" t="n"/>
      <c r="O312" s="23" t="n"/>
      <c r="P312" s="10">
        <f>IF(D312="","",IF(AND(M312="✓",N312="✓",O312="✓"),"✅正式",IF(M312&amp;N312&amp;O312="","入会前","手続き中")))</f>
        <v/>
      </c>
      <c r="Q312" s="24" t="n"/>
      <c r="R312" s="24" t="n"/>
      <c r="S312" s="10">
        <f>IF(OR(D312="",R312=""),"",TODAY()-R312)</f>
        <v/>
      </c>
      <c r="T312" s="22" t="n"/>
      <c r="U312" s="24" t="n"/>
      <c r="V312" s="23" t="n"/>
      <c r="W312" s="14">
        <f>IF(OR(D312="",V312="辞退",V312="保留",P312="✅正式"),"",TRIM(IF(AND(U312&lt;&gt;"",U312&lt;TODAY()),"期日超過 ","")&amp;IF(AND(S312&lt;&gt;"",S312&gt;='設定'!$B$9),"放置"&amp;S312&amp;"日 ","")&amp;IF(AND(J312="CCS済",M312&lt;&gt;"✓"),"CCS後の申込待ち ","")&amp;IF(AND(M312="✓",N312&lt;&gt;"✓"),"振込待ち ","")&amp;IF(AND(N312="✓",O312&lt;&gt;"✓"),"同意書待ち ","")&amp;IF(T312="","次アクション未設定","")))</f>
        <v/>
      </c>
      <c r="X312" s="10" t="n"/>
      <c r="Y312" s="22" t="n"/>
    </row>
    <row r="313">
      <c r="A313" s="10">
        <f>IF(D313="","",ROW()-4)</f>
        <v/>
      </c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3" t="n"/>
      <c r="K313" s="24" t="n"/>
      <c r="L313" s="22" t="n"/>
      <c r="M313" s="23" t="n"/>
      <c r="N313" s="23" t="n"/>
      <c r="O313" s="23" t="n"/>
      <c r="P313" s="10">
        <f>IF(D313="","",IF(AND(M313="✓",N313="✓",O313="✓"),"✅正式",IF(M313&amp;N313&amp;O313="","入会前","手続き中")))</f>
        <v/>
      </c>
      <c r="Q313" s="24" t="n"/>
      <c r="R313" s="24" t="n"/>
      <c r="S313" s="10">
        <f>IF(OR(D313="",R313=""),"",TODAY()-R313)</f>
        <v/>
      </c>
      <c r="T313" s="22" t="n"/>
      <c r="U313" s="24" t="n"/>
      <c r="V313" s="23" t="n"/>
      <c r="W313" s="14">
        <f>IF(OR(D313="",V313="辞退",V313="保留",P313="✅正式"),"",TRIM(IF(AND(U313&lt;&gt;"",U313&lt;TODAY()),"期日超過 ","")&amp;IF(AND(S313&lt;&gt;"",S313&gt;='設定'!$B$9),"放置"&amp;S313&amp;"日 ","")&amp;IF(AND(J313="CCS済",M313&lt;&gt;"✓"),"CCS後の申込待ち ","")&amp;IF(AND(M313="✓",N313&lt;&gt;"✓"),"振込待ち ","")&amp;IF(AND(N313="✓",O313&lt;&gt;"✓"),"同意書待ち ","")&amp;IF(T313="","次アクション未設定","")))</f>
        <v/>
      </c>
      <c r="X313" s="10" t="n"/>
      <c r="Y313" s="22" t="n"/>
    </row>
    <row r="314">
      <c r="A314" s="10">
        <f>IF(D314="","",ROW()-4)</f>
        <v/>
      </c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3" t="n"/>
      <c r="K314" s="24" t="n"/>
      <c r="L314" s="22" t="n"/>
      <c r="M314" s="23" t="n"/>
      <c r="N314" s="23" t="n"/>
      <c r="O314" s="23" t="n"/>
      <c r="P314" s="10">
        <f>IF(D314="","",IF(AND(M314="✓",N314="✓",O314="✓"),"✅正式",IF(M314&amp;N314&amp;O314="","入会前","手続き中")))</f>
        <v/>
      </c>
      <c r="Q314" s="24" t="n"/>
      <c r="R314" s="24" t="n"/>
      <c r="S314" s="10">
        <f>IF(OR(D314="",R314=""),"",TODAY()-R314)</f>
        <v/>
      </c>
      <c r="T314" s="22" t="n"/>
      <c r="U314" s="24" t="n"/>
      <c r="V314" s="23" t="n"/>
      <c r="W314" s="14">
        <f>IF(OR(D314="",V314="辞退",V314="保留",P314="✅正式"),"",TRIM(IF(AND(U314&lt;&gt;"",U314&lt;TODAY()),"期日超過 ","")&amp;IF(AND(S314&lt;&gt;"",S314&gt;='設定'!$B$9),"放置"&amp;S314&amp;"日 ","")&amp;IF(AND(J314="CCS済",M314&lt;&gt;"✓"),"CCS後の申込待ち ","")&amp;IF(AND(M314="✓",N314&lt;&gt;"✓"),"振込待ち ","")&amp;IF(AND(N314="✓",O314&lt;&gt;"✓"),"同意書待ち ","")&amp;IF(T314="","次アクション未設定","")))</f>
        <v/>
      </c>
      <c r="X314" s="10" t="n"/>
      <c r="Y314" s="22" t="n"/>
    </row>
    <row r="315">
      <c r="A315" s="10">
        <f>IF(D315="","",ROW()-4)</f>
        <v/>
      </c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3" t="n"/>
      <c r="K315" s="24" t="n"/>
      <c r="L315" s="22" t="n"/>
      <c r="M315" s="23" t="n"/>
      <c r="N315" s="23" t="n"/>
      <c r="O315" s="23" t="n"/>
      <c r="P315" s="10">
        <f>IF(D315="","",IF(AND(M315="✓",N315="✓",O315="✓"),"✅正式",IF(M315&amp;N315&amp;O315="","入会前","手続き中")))</f>
        <v/>
      </c>
      <c r="Q315" s="24" t="n"/>
      <c r="R315" s="24" t="n"/>
      <c r="S315" s="10">
        <f>IF(OR(D315="",R315=""),"",TODAY()-R315)</f>
        <v/>
      </c>
      <c r="T315" s="22" t="n"/>
      <c r="U315" s="24" t="n"/>
      <c r="V315" s="23" t="n"/>
      <c r="W315" s="14">
        <f>IF(OR(D315="",V315="辞退",V315="保留",P315="✅正式"),"",TRIM(IF(AND(U315&lt;&gt;"",U315&lt;TODAY()),"期日超過 ","")&amp;IF(AND(S315&lt;&gt;"",S315&gt;='設定'!$B$9),"放置"&amp;S315&amp;"日 ","")&amp;IF(AND(J315="CCS済",M315&lt;&gt;"✓"),"CCS後の申込待ち ","")&amp;IF(AND(M315="✓",N315&lt;&gt;"✓"),"振込待ち ","")&amp;IF(AND(N315="✓",O315&lt;&gt;"✓"),"同意書待ち ","")&amp;IF(T315="","次アクション未設定","")))</f>
        <v/>
      </c>
      <c r="X315" s="10" t="n"/>
      <c r="Y315" s="22" t="n"/>
    </row>
    <row r="316">
      <c r="A316" s="10">
        <f>IF(D316="","",ROW()-4)</f>
        <v/>
      </c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3" t="n"/>
      <c r="K316" s="24" t="n"/>
      <c r="L316" s="22" t="n"/>
      <c r="M316" s="23" t="n"/>
      <c r="N316" s="23" t="n"/>
      <c r="O316" s="23" t="n"/>
      <c r="P316" s="10">
        <f>IF(D316="","",IF(AND(M316="✓",N316="✓",O316="✓"),"✅正式",IF(M316&amp;N316&amp;O316="","入会前","手続き中")))</f>
        <v/>
      </c>
      <c r="Q316" s="24" t="n"/>
      <c r="R316" s="24" t="n"/>
      <c r="S316" s="10">
        <f>IF(OR(D316="",R316=""),"",TODAY()-R316)</f>
        <v/>
      </c>
      <c r="T316" s="22" t="n"/>
      <c r="U316" s="24" t="n"/>
      <c r="V316" s="23" t="n"/>
      <c r="W316" s="14">
        <f>IF(OR(D316="",V316="辞退",V316="保留",P316="✅正式"),"",TRIM(IF(AND(U316&lt;&gt;"",U316&lt;TODAY()),"期日超過 ","")&amp;IF(AND(S316&lt;&gt;"",S316&gt;='設定'!$B$9),"放置"&amp;S316&amp;"日 ","")&amp;IF(AND(J316="CCS済",M316&lt;&gt;"✓"),"CCS後の申込待ち ","")&amp;IF(AND(M316="✓",N316&lt;&gt;"✓"),"振込待ち ","")&amp;IF(AND(N316="✓",O316&lt;&gt;"✓"),"同意書待ち ","")&amp;IF(T316="","次アクション未設定","")))</f>
        <v/>
      </c>
      <c r="X316" s="10" t="n"/>
      <c r="Y316" s="22" t="n"/>
    </row>
    <row r="317">
      <c r="A317" s="10">
        <f>IF(D317="","",ROW()-4)</f>
        <v/>
      </c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3" t="n"/>
      <c r="K317" s="24" t="n"/>
      <c r="L317" s="22" t="n"/>
      <c r="M317" s="23" t="n"/>
      <c r="N317" s="23" t="n"/>
      <c r="O317" s="23" t="n"/>
      <c r="P317" s="10">
        <f>IF(D317="","",IF(AND(M317="✓",N317="✓",O317="✓"),"✅正式",IF(M317&amp;N317&amp;O317="","入会前","手続き中")))</f>
        <v/>
      </c>
      <c r="Q317" s="24" t="n"/>
      <c r="R317" s="24" t="n"/>
      <c r="S317" s="10">
        <f>IF(OR(D317="",R317=""),"",TODAY()-R317)</f>
        <v/>
      </c>
      <c r="T317" s="22" t="n"/>
      <c r="U317" s="24" t="n"/>
      <c r="V317" s="23" t="n"/>
      <c r="W317" s="14">
        <f>IF(OR(D317="",V317="辞退",V317="保留",P317="✅正式"),"",TRIM(IF(AND(U317&lt;&gt;"",U317&lt;TODAY()),"期日超過 ","")&amp;IF(AND(S317&lt;&gt;"",S317&gt;='設定'!$B$9),"放置"&amp;S317&amp;"日 ","")&amp;IF(AND(J317="CCS済",M317&lt;&gt;"✓"),"CCS後の申込待ち ","")&amp;IF(AND(M317="✓",N317&lt;&gt;"✓"),"振込待ち ","")&amp;IF(AND(N317="✓",O317&lt;&gt;"✓"),"同意書待ち ","")&amp;IF(T317="","次アクション未設定","")))</f>
        <v/>
      </c>
      <c r="X317" s="10" t="n"/>
      <c r="Y317" s="22" t="n"/>
    </row>
    <row r="318">
      <c r="A318" s="10">
        <f>IF(D318="","",ROW()-4)</f>
        <v/>
      </c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3" t="n"/>
      <c r="K318" s="24" t="n"/>
      <c r="L318" s="22" t="n"/>
      <c r="M318" s="23" t="n"/>
      <c r="N318" s="23" t="n"/>
      <c r="O318" s="23" t="n"/>
      <c r="P318" s="10">
        <f>IF(D318="","",IF(AND(M318="✓",N318="✓",O318="✓"),"✅正式",IF(M318&amp;N318&amp;O318="","入会前","手続き中")))</f>
        <v/>
      </c>
      <c r="Q318" s="24" t="n"/>
      <c r="R318" s="24" t="n"/>
      <c r="S318" s="10">
        <f>IF(OR(D318="",R318=""),"",TODAY()-R318)</f>
        <v/>
      </c>
      <c r="T318" s="22" t="n"/>
      <c r="U318" s="24" t="n"/>
      <c r="V318" s="23" t="n"/>
      <c r="W318" s="14">
        <f>IF(OR(D318="",V318="辞退",V318="保留",P318="✅正式"),"",TRIM(IF(AND(U318&lt;&gt;"",U318&lt;TODAY()),"期日超過 ","")&amp;IF(AND(S318&lt;&gt;"",S318&gt;='設定'!$B$9),"放置"&amp;S318&amp;"日 ","")&amp;IF(AND(J318="CCS済",M318&lt;&gt;"✓"),"CCS後の申込待ち ","")&amp;IF(AND(M318="✓",N318&lt;&gt;"✓"),"振込待ち ","")&amp;IF(AND(N318="✓",O318&lt;&gt;"✓"),"同意書待ち ","")&amp;IF(T318="","次アクション未設定","")))</f>
        <v/>
      </c>
      <c r="X318" s="10" t="n"/>
      <c r="Y318" s="22" t="n"/>
    </row>
    <row r="319">
      <c r="A319" s="10">
        <f>IF(D319="","",ROW()-4)</f>
        <v/>
      </c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3" t="n"/>
      <c r="K319" s="24" t="n"/>
      <c r="L319" s="22" t="n"/>
      <c r="M319" s="23" t="n"/>
      <c r="N319" s="23" t="n"/>
      <c r="O319" s="23" t="n"/>
      <c r="P319" s="10">
        <f>IF(D319="","",IF(AND(M319="✓",N319="✓",O319="✓"),"✅正式",IF(M319&amp;N319&amp;O319="","入会前","手続き中")))</f>
        <v/>
      </c>
      <c r="Q319" s="24" t="n"/>
      <c r="R319" s="24" t="n"/>
      <c r="S319" s="10">
        <f>IF(OR(D319="",R319=""),"",TODAY()-R319)</f>
        <v/>
      </c>
      <c r="T319" s="22" t="n"/>
      <c r="U319" s="24" t="n"/>
      <c r="V319" s="23" t="n"/>
      <c r="W319" s="14">
        <f>IF(OR(D319="",V319="辞退",V319="保留",P319="✅正式"),"",TRIM(IF(AND(U319&lt;&gt;"",U319&lt;TODAY()),"期日超過 ","")&amp;IF(AND(S319&lt;&gt;"",S319&gt;='設定'!$B$9),"放置"&amp;S319&amp;"日 ","")&amp;IF(AND(J319="CCS済",M319&lt;&gt;"✓"),"CCS後の申込待ち ","")&amp;IF(AND(M319="✓",N319&lt;&gt;"✓"),"振込待ち ","")&amp;IF(AND(N319="✓",O319&lt;&gt;"✓"),"同意書待ち ","")&amp;IF(T319="","次アクション未設定","")))</f>
        <v/>
      </c>
      <c r="X319" s="10" t="n"/>
      <c r="Y319" s="22" t="n"/>
    </row>
    <row r="320">
      <c r="A320" s="10">
        <f>IF(D320="","",ROW()-4)</f>
        <v/>
      </c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3" t="n"/>
      <c r="K320" s="24" t="n"/>
      <c r="L320" s="22" t="n"/>
      <c r="M320" s="23" t="n"/>
      <c r="N320" s="23" t="n"/>
      <c r="O320" s="23" t="n"/>
      <c r="P320" s="10">
        <f>IF(D320="","",IF(AND(M320="✓",N320="✓",O320="✓"),"✅正式",IF(M320&amp;N320&amp;O320="","入会前","手続き中")))</f>
        <v/>
      </c>
      <c r="Q320" s="24" t="n"/>
      <c r="R320" s="24" t="n"/>
      <c r="S320" s="10">
        <f>IF(OR(D320="",R320=""),"",TODAY()-R320)</f>
        <v/>
      </c>
      <c r="T320" s="22" t="n"/>
      <c r="U320" s="24" t="n"/>
      <c r="V320" s="23" t="n"/>
      <c r="W320" s="14">
        <f>IF(OR(D320="",V320="辞退",V320="保留",P320="✅正式"),"",TRIM(IF(AND(U320&lt;&gt;"",U320&lt;TODAY()),"期日超過 ","")&amp;IF(AND(S320&lt;&gt;"",S320&gt;='設定'!$B$9),"放置"&amp;S320&amp;"日 ","")&amp;IF(AND(J320="CCS済",M320&lt;&gt;"✓"),"CCS後の申込待ち ","")&amp;IF(AND(M320="✓",N320&lt;&gt;"✓"),"振込待ち ","")&amp;IF(AND(N320="✓",O320&lt;&gt;"✓"),"同意書待ち ","")&amp;IF(T320="","次アクション未設定","")))</f>
        <v/>
      </c>
      <c r="X320" s="10" t="n"/>
      <c r="Y320" s="22" t="n"/>
    </row>
    <row r="321">
      <c r="A321" s="10">
        <f>IF(D321="","",ROW()-4)</f>
        <v/>
      </c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3" t="n"/>
      <c r="K321" s="24" t="n"/>
      <c r="L321" s="22" t="n"/>
      <c r="M321" s="23" t="n"/>
      <c r="N321" s="23" t="n"/>
      <c r="O321" s="23" t="n"/>
      <c r="P321" s="10">
        <f>IF(D321="","",IF(AND(M321="✓",N321="✓",O321="✓"),"✅正式",IF(M321&amp;N321&amp;O321="","入会前","手続き中")))</f>
        <v/>
      </c>
      <c r="Q321" s="24" t="n"/>
      <c r="R321" s="24" t="n"/>
      <c r="S321" s="10">
        <f>IF(OR(D321="",R321=""),"",TODAY()-R321)</f>
        <v/>
      </c>
      <c r="T321" s="22" t="n"/>
      <c r="U321" s="24" t="n"/>
      <c r="V321" s="23" t="n"/>
      <c r="W321" s="14">
        <f>IF(OR(D321="",V321="辞退",V321="保留",P321="✅正式"),"",TRIM(IF(AND(U321&lt;&gt;"",U321&lt;TODAY()),"期日超過 ","")&amp;IF(AND(S321&lt;&gt;"",S321&gt;='設定'!$B$9),"放置"&amp;S321&amp;"日 ","")&amp;IF(AND(J321="CCS済",M321&lt;&gt;"✓"),"CCS後の申込待ち ","")&amp;IF(AND(M321="✓",N321&lt;&gt;"✓"),"振込待ち ","")&amp;IF(AND(N321="✓",O321&lt;&gt;"✓"),"同意書待ち ","")&amp;IF(T321="","次アクション未設定","")))</f>
        <v/>
      </c>
      <c r="X321" s="10" t="n"/>
      <c r="Y321" s="22" t="n"/>
    </row>
    <row r="322">
      <c r="A322" s="10">
        <f>IF(D322="","",ROW()-4)</f>
        <v/>
      </c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3" t="n"/>
      <c r="K322" s="24" t="n"/>
      <c r="L322" s="22" t="n"/>
      <c r="M322" s="23" t="n"/>
      <c r="N322" s="23" t="n"/>
      <c r="O322" s="23" t="n"/>
      <c r="P322" s="10">
        <f>IF(D322="","",IF(AND(M322="✓",N322="✓",O322="✓"),"✅正式",IF(M322&amp;N322&amp;O322="","入会前","手続き中")))</f>
        <v/>
      </c>
      <c r="Q322" s="24" t="n"/>
      <c r="R322" s="24" t="n"/>
      <c r="S322" s="10">
        <f>IF(OR(D322="",R322=""),"",TODAY()-R322)</f>
        <v/>
      </c>
      <c r="T322" s="22" t="n"/>
      <c r="U322" s="24" t="n"/>
      <c r="V322" s="23" t="n"/>
      <c r="W322" s="14">
        <f>IF(OR(D322="",V322="辞退",V322="保留",P322="✅正式"),"",TRIM(IF(AND(U322&lt;&gt;"",U322&lt;TODAY()),"期日超過 ","")&amp;IF(AND(S322&lt;&gt;"",S322&gt;='設定'!$B$9),"放置"&amp;S322&amp;"日 ","")&amp;IF(AND(J322="CCS済",M322&lt;&gt;"✓"),"CCS後の申込待ち ","")&amp;IF(AND(M322="✓",N322&lt;&gt;"✓"),"振込待ち ","")&amp;IF(AND(N322="✓",O322&lt;&gt;"✓"),"同意書待ち ","")&amp;IF(T322="","次アクション未設定","")))</f>
        <v/>
      </c>
      <c r="X322" s="10" t="n"/>
      <c r="Y322" s="22" t="n"/>
    </row>
    <row r="323">
      <c r="A323" s="10">
        <f>IF(D323="","",ROW()-4)</f>
        <v/>
      </c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3" t="n"/>
      <c r="K323" s="24" t="n"/>
      <c r="L323" s="22" t="n"/>
      <c r="M323" s="23" t="n"/>
      <c r="N323" s="23" t="n"/>
      <c r="O323" s="23" t="n"/>
      <c r="P323" s="10">
        <f>IF(D323="","",IF(AND(M323="✓",N323="✓",O323="✓"),"✅正式",IF(M323&amp;N323&amp;O323="","入会前","手続き中")))</f>
        <v/>
      </c>
      <c r="Q323" s="24" t="n"/>
      <c r="R323" s="24" t="n"/>
      <c r="S323" s="10">
        <f>IF(OR(D323="",R323=""),"",TODAY()-R323)</f>
        <v/>
      </c>
      <c r="T323" s="22" t="n"/>
      <c r="U323" s="24" t="n"/>
      <c r="V323" s="23" t="n"/>
      <c r="W323" s="14">
        <f>IF(OR(D323="",V323="辞退",V323="保留",P323="✅正式"),"",TRIM(IF(AND(U323&lt;&gt;"",U323&lt;TODAY()),"期日超過 ","")&amp;IF(AND(S323&lt;&gt;"",S323&gt;='設定'!$B$9),"放置"&amp;S323&amp;"日 ","")&amp;IF(AND(J323="CCS済",M323&lt;&gt;"✓"),"CCS後の申込待ち ","")&amp;IF(AND(M323="✓",N323&lt;&gt;"✓"),"振込待ち ","")&amp;IF(AND(N323="✓",O323&lt;&gt;"✓"),"同意書待ち ","")&amp;IF(T323="","次アクション未設定","")))</f>
        <v/>
      </c>
      <c r="X323" s="10" t="n"/>
      <c r="Y323" s="22" t="n"/>
    </row>
    <row r="324">
      <c r="A324" s="10">
        <f>IF(D324="","",ROW()-4)</f>
        <v/>
      </c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3" t="n"/>
      <c r="K324" s="24" t="n"/>
      <c r="L324" s="22" t="n"/>
      <c r="M324" s="23" t="n"/>
      <c r="N324" s="23" t="n"/>
      <c r="O324" s="23" t="n"/>
      <c r="P324" s="10">
        <f>IF(D324="","",IF(AND(M324="✓",N324="✓",O324="✓"),"✅正式",IF(M324&amp;N324&amp;O324="","入会前","手続き中")))</f>
        <v/>
      </c>
      <c r="Q324" s="24" t="n"/>
      <c r="R324" s="24" t="n"/>
      <c r="S324" s="10">
        <f>IF(OR(D324="",R324=""),"",TODAY()-R324)</f>
        <v/>
      </c>
      <c r="T324" s="22" t="n"/>
      <c r="U324" s="24" t="n"/>
      <c r="V324" s="23" t="n"/>
      <c r="W324" s="14">
        <f>IF(OR(D324="",V324="辞退",V324="保留",P324="✅正式"),"",TRIM(IF(AND(U324&lt;&gt;"",U324&lt;TODAY()),"期日超過 ","")&amp;IF(AND(S324&lt;&gt;"",S324&gt;='設定'!$B$9),"放置"&amp;S324&amp;"日 ","")&amp;IF(AND(J324="CCS済",M324&lt;&gt;"✓"),"CCS後の申込待ち ","")&amp;IF(AND(M324="✓",N324&lt;&gt;"✓"),"振込待ち ","")&amp;IF(AND(N324="✓",O324&lt;&gt;"✓"),"同意書待ち ","")&amp;IF(T324="","次アクション未設定","")))</f>
        <v/>
      </c>
      <c r="X324" s="10" t="n"/>
      <c r="Y324" s="22" t="n"/>
    </row>
    <row r="325">
      <c r="A325" s="10">
        <f>IF(D325="","",ROW()-4)</f>
        <v/>
      </c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3" t="n"/>
      <c r="K325" s="24" t="n"/>
      <c r="L325" s="22" t="n"/>
      <c r="M325" s="23" t="n"/>
      <c r="N325" s="23" t="n"/>
      <c r="O325" s="23" t="n"/>
      <c r="P325" s="10">
        <f>IF(D325="","",IF(AND(M325="✓",N325="✓",O325="✓"),"✅正式",IF(M325&amp;N325&amp;O325="","入会前","手続き中")))</f>
        <v/>
      </c>
      <c r="Q325" s="24" t="n"/>
      <c r="R325" s="24" t="n"/>
      <c r="S325" s="10">
        <f>IF(OR(D325="",R325=""),"",TODAY()-R325)</f>
        <v/>
      </c>
      <c r="T325" s="22" t="n"/>
      <c r="U325" s="24" t="n"/>
      <c r="V325" s="23" t="n"/>
      <c r="W325" s="14">
        <f>IF(OR(D325="",V325="辞退",V325="保留",P325="✅正式"),"",TRIM(IF(AND(U325&lt;&gt;"",U325&lt;TODAY()),"期日超過 ","")&amp;IF(AND(S325&lt;&gt;"",S325&gt;='設定'!$B$9),"放置"&amp;S325&amp;"日 ","")&amp;IF(AND(J325="CCS済",M325&lt;&gt;"✓"),"CCS後の申込待ち ","")&amp;IF(AND(M325="✓",N325&lt;&gt;"✓"),"振込待ち ","")&amp;IF(AND(N325="✓",O325&lt;&gt;"✓"),"同意書待ち ","")&amp;IF(T325="","次アクション未設定","")))</f>
        <v/>
      </c>
      <c r="X325" s="10" t="n"/>
      <c r="Y325" s="22" t="n"/>
    </row>
    <row r="326">
      <c r="A326" s="10">
        <f>IF(D326="","",ROW()-4)</f>
        <v/>
      </c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3" t="n"/>
      <c r="K326" s="24" t="n"/>
      <c r="L326" s="22" t="n"/>
      <c r="M326" s="23" t="n"/>
      <c r="N326" s="23" t="n"/>
      <c r="O326" s="23" t="n"/>
      <c r="P326" s="10">
        <f>IF(D326="","",IF(AND(M326="✓",N326="✓",O326="✓"),"✅正式",IF(M326&amp;N326&amp;O326="","入会前","手続き中")))</f>
        <v/>
      </c>
      <c r="Q326" s="24" t="n"/>
      <c r="R326" s="24" t="n"/>
      <c r="S326" s="10">
        <f>IF(OR(D326="",R326=""),"",TODAY()-R326)</f>
        <v/>
      </c>
      <c r="T326" s="22" t="n"/>
      <c r="U326" s="24" t="n"/>
      <c r="V326" s="23" t="n"/>
      <c r="W326" s="14">
        <f>IF(OR(D326="",V326="辞退",V326="保留",P326="✅正式"),"",TRIM(IF(AND(U326&lt;&gt;"",U326&lt;TODAY()),"期日超過 ","")&amp;IF(AND(S326&lt;&gt;"",S326&gt;='設定'!$B$9),"放置"&amp;S326&amp;"日 ","")&amp;IF(AND(J326="CCS済",M326&lt;&gt;"✓"),"CCS後の申込待ち ","")&amp;IF(AND(M326="✓",N326&lt;&gt;"✓"),"振込待ち ","")&amp;IF(AND(N326="✓",O326&lt;&gt;"✓"),"同意書待ち ","")&amp;IF(T326="","次アクション未設定","")))</f>
        <v/>
      </c>
      <c r="X326" s="10" t="n"/>
      <c r="Y326" s="22" t="n"/>
    </row>
    <row r="327">
      <c r="A327" s="10">
        <f>IF(D327="","",ROW()-4)</f>
        <v/>
      </c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3" t="n"/>
      <c r="K327" s="24" t="n"/>
      <c r="L327" s="22" t="n"/>
      <c r="M327" s="23" t="n"/>
      <c r="N327" s="23" t="n"/>
      <c r="O327" s="23" t="n"/>
      <c r="P327" s="10">
        <f>IF(D327="","",IF(AND(M327="✓",N327="✓",O327="✓"),"✅正式",IF(M327&amp;N327&amp;O327="","入会前","手続き中")))</f>
        <v/>
      </c>
      <c r="Q327" s="24" t="n"/>
      <c r="R327" s="24" t="n"/>
      <c r="S327" s="10">
        <f>IF(OR(D327="",R327=""),"",TODAY()-R327)</f>
        <v/>
      </c>
      <c r="T327" s="22" t="n"/>
      <c r="U327" s="24" t="n"/>
      <c r="V327" s="23" t="n"/>
      <c r="W327" s="14">
        <f>IF(OR(D327="",V327="辞退",V327="保留",P327="✅正式"),"",TRIM(IF(AND(U327&lt;&gt;"",U327&lt;TODAY()),"期日超過 ","")&amp;IF(AND(S327&lt;&gt;"",S327&gt;='設定'!$B$9),"放置"&amp;S327&amp;"日 ","")&amp;IF(AND(J327="CCS済",M327&lt;&gt;"✓"),"CCS後の申込待ち ","")&amp;IF(AND(M327="✓",N327&lt;&gt;"✓"),"振込待ち ","")&amp;IF(AND(N327="✓",O327&lt;&gt;"✓"),"同意書待ち ","")&amp;IF(T327="","次アクション未設定","")))</f>
        <v/>
      </c>
      <c r="X327" s="10" t="n"/>
      <c r="Y327" s="22" t="n"/>
    </row>
    <row r="328">
      <c r="A328" s="10">
        <f>IF(D328="","",ROW()-4)</f>
        <v/>
      </c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3" t="n"/>
      <c r="K328" s="24" t="n"/>
      <c r="L328" s="22" t="n"/>
      <c r="M328" s="23" t="n"/>
      <c r="N328" s="23" t="n"/>
      <c r="O328" s="23" t="n"/>
      <c r="P328" s="10">
        <f>IF(D328="","",IF(AND(M328="✓",N328="✓",O328="✓"),"✅正式",IF(M328&amp;N328&amp;O328="","入会前","手続き中")))</f>
        <v/>
      </c>
      <c r="Q328" s="24" t="n"/>
      <c r="R328" s="24" t="n"/>
      <c r="S328" s="10">
        <f>IF(OR(D328="",R328=""),"",TODAY()-R328)</f>
        <v/>
      </c>
      <c r="T328" s="22" t="n"/>
      <c r="U328" s="24" t="n"/>
      <c r="V328" s="23" t="n"/>
      <c r="W328" s="14">
        <f>IF(OR(D328="",V328="辞退",V328="保留",P328="✅正式"),"",TRIM(IF(AND(U328&lt;&gt;"",U328&lt;TODAY()),"期日超過 ","")&amp;IF(AND(S328&lt;&gt;"",S328&gt;='設定'!$B$9),"放置"&amp;S328&amp;"日 ","")&amp;IF(AND(J328="CCS済",M328&lt;&gt;"✓"),"CCS後の申込待ち ","")&amp;IF(AND(M328="✓",N328&lt;&gt;"✓"),"振込待ち ","")&amp;IF(AND(N328="✓",O328&lt;&gt;"✓"),"同意書待ち ","")&amp;IF(T328="","次アクション未設定","")))</f>
        <v/>
      </c>
      <c r="X328" s="10" t="n"/>
      <c r="Y328" s="22" t="n"/>
    </row>
    <row r="329">
      <c r="A329" s="10">
        <f>IF(D329="","",ROW()-4)</f>
        <v/>
      </c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3" t="n"/>
      <c r="K329" s="24" t="n"/>
      <c r="L329" s="22" t="n"/>
      <c r="M329" s="23" t="n"/>
      <c r="N329" s="23" t="n"/>
      <c r="O329" s="23" t="n"/>
      <c r="P329" s="10">
        <f>IF(D329="","",IF(AND(M329="✓",N329="✓",O329="✓"),"✅正式",IF(M329&amp;N329&amp;O329="","入会前","手続き中")))</f>
        <v/>
      </c>
      <c r="Q329" s="24" t="n"/>
      <c r="R329" s="24" t="n"/>
      <c r="S329" s="10">
        <f>IF(OR(D329="",R329=""),"",TODAY()-R329)</f>
        <v/>
      </c>
      <c r="T329" s="22" t="n"/>
      <c r="U329" s="24" t="n"/>
      <c r="V329" s="23" t="n"/>
      <c r="W329" s="14">
        <f>IF(OR(D329="",V329="辞退",V329="保留",P329="✅正式"),"",TRIM(IF(AND(U329&lt;&gt;"",U329&lt;TODAY()),"期日超過 ","")&amp;IF(AND(S329&lt;&gt;"",S329&gt;='設定'!$B$9),"放置"&amp;S329&amp;"日 ","")&amp;IF(AND(J329="CCS済",M329&lt;&gt;"✓"),"CCS後の申込待ち ","")&amp;IF(AND(M329="✓",N329&lt;&gt;"✓"),"振込待ち ","")&amp;IF(AND(N329="✓",O329&lt;&gt;"✓"),"同意書待ち ","")&amp;IF(T329="","次アクション未設定","")))</f>
        <v/>
      </c>
      <c r="X329" s="10" t="n"/>
      <c r="Y329" s="22" t="n"/>
    </row>
    <row r="330">
      <c r="A330" s="10">
        <f>IF(D330="","",ROW()-4)</f>
        <v/>
      </c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3" t="n"/>
      <c r="K330" s="24" t="n"/>
      <c r="L330" s="22" t="n"/>
      <c r="M330" s="23" t="n"/>
      <c r="N330" s="23" t="n"/>
      <c r="O330" s="23" t="n"/>
      <c r="P330" s="10">
        <f>IF(D330="","",IF(AND(M330="✓",N330="✓",O330="✓"),"✅正式",IF(M330&amp;N330&amp;O330="","入会前","手続き中")))</f>
        <v/>
      </c>
      <c r="Q330" s="24" t="n"/>
      <c r="R330" s="24" t="n"/>
      <c r="S330" s="10">
        <f>IF(OR(D330="",R330=""),"",TODAY()-R330)</f>
        <v/>
      </c>
      <c r="T330" s="22" t="n"/>
      <c r="U330" s="24" t="n"/>
      <c r="V330" s="23" t="n"/>
      <c r="W330" s="14">
        <f>IF(OR(D330="",V330="辞退",V330="保留",P330="✅正式"),"",TRIM(IF(AND(U330&lt;&gt;"",U330&lt;TODAY()),"期日超過 ","")&amp;IF(AND(S330&lt;&gt;"",S330&gt;='設定'!$B$9),"放置"&amp;S330&amp;"日 ","")&amp;IF(AND(J330="CCS済",M330&lt;&gt;"✓"),"CCS後の申込待ち ","")&amp;IF(AND(M330="✓",N330&lt;&gt;"✓"),"振込待ち ","")&amp;IF(AND(N330="✓",O330&lt;&gt;"✓"),"同意書待ち ","")&amp;IF(T330="","次アクション未設定","")))</f>
        <v/>
      </c>
      <c r="X330" s="10" t="n"/>
      <c r="Y330" s="22" t="n"/>
    </row>
    <row r="331">
      <c r="A331" s="10">
        <f>IF(D331="","",ROW()-4)</f>
        <v/>
      </c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3" t="n"/>
      <c r="K331" s="24" t="n"/>
      <c r="L331" s="22" t="n"/>
      <c r="M331" s="23" t="n"/>
      <c r="N331" s="23" t="n"/>
      <c r="O331" s="23" t="n"/>
      <c r="P331" s="10">
        <f>IF(D331="","",IF(AND(M331="✓",N331="✓",O331="✓"),"✅正式",IF(M331&amp;N331&amp;O331="","入会前","手続き中")))</f>
        <v/>
      </c>
      <c r="Q331" s="24" t="n"/>
      <c r="R331" s="24" t="n"/>
      <c r="S331" s="10">
        <f>IF(OR(D331="",R331=""),"",TODAY()-R331)</f>
        <v/>
      </c>
      <c r="T331" s="22" t="n"/>
      <c r="U331" s="24" t="n"/>
      <c r="V331" s="23" t="n"/>
      <c r="W331" s="14">
        <f>IF(OR(D331="",V331="辞退",V331="保留",P331="✅正式"),"",TRIM(IF(AND(U331&lt;&gt;"",U331&lt;TODAY()),"期日超過 ","")&amp;IF(AND(S331&lt;&gt;"",S331&gt;='設定'!$B$9),"放置"&amp;S331&amp;"日 ","")&amp;IF(AND(J331="CCS済",M331&lt;&gt;"✓"),"CCS後の申込待ち ","")&amp;IF(AND(M331="✓",N331&lt;&gt;"✓"),"振込待ち ","")&amp;IF(AND(N331="✓",O331&lt;&gt;"✓"),"同意書待ち ","")&amp;IF(T331="","次アクション未設定","")))</f>
        <v/>
      </c>
      <c r="X331" s="10" t="n"/>
      <c r="Y331" s="22" t="n"/>
    </row>
    <row r="332">
      <c r="A332" s="10">
        <f>IF(D332="","",ROW()-4)</f>
        <v/>
      </c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3" t="n"/>
      <c r="K332" s="24" t="n"/>
      <c r="L332" s="22" t="n"/>
      <c r="M332" s="23" t="n"/>
      <c r="N332" s="23" t="n"/>
      <c r="O332" s="23" t="n"/>
      <c r="P332" s="10">
        <f>IF(D332="","",IF(AND(M332="✓",N332="✓",O332="✓"),"✅正式",IF(M332&amp;N332&amp;O332="","入会前","手続き中")))</f>
        <v/>
      </c>
      <c r="Q332" s="24" t="n"/>
      <c r="R332" s="24" t="n"/>
      <c r="S332" s="10">
        <f>IF(OR(D332="",R332=""),"",TODAY()-R332)</f>
        <v/>
      </c>
      <c r="T332" s="22" t="n"/>
      <c r="U332" s="24" t="n"/>
      <c r="V332" s="23" t="n"/>
      <c r="W332" s="14">
        <f>IF(OR(D332="",V332="辞退",V332="保留",P332="✅正式"),"",TRIM(IF(AND(U332&lt;&gt;"",U332&lt;TODAY()),"期日超過 ","")&amp;IF(AND(S332&lt;&gt;"",S332&gt;='設定'!$B$9),"放置"&amp;S332&amp;"日 ","")&amp;IF(AND(J332="CCS済",M332&lt;&gt;"✓"),"CCS後の申込待ち ","")&amp;IF(AND(M332="✓",N332&lt;&gt;"✓"),"振込待ち ","")&amp;IF(AND(N332="✓",O332&lt;&gt;"✓"),"同意書待ち ","")&amp;IF(T332="","次アクション未設定","")))</f>
        <v/>
      </c>
      <c r="X332" s="10" t="n"/>
      <c r="Y332" s="22" t="n"/>
    </row>
    <row r="333">
      <c r="A333" s="10">
        <f>IF(D333="","",ROW()-4)</f>
        <v/>
      </c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3" t="n"/>
      <c r="K333" s="24" t="n"/>
      <c r="L333" s="22" t="n"/>
      <c r="M333" s="23" t="n"/>
      <c r="N333" s="23" t="n"/>
      <c r="O333" s="23" t="n"/>
      <c r="P333" s="10">
        <f>IF(D333="","",IF(AND(M333="✓",N333="✓",O333="✓"),"✅正式",IF(M333&amp;N333&amp;O333="","入会前","手続き中")))</f>
        <v/>
      </c>
      <c r="Q333" s="24" t="n"/>
      <c r="R333" s="24" t="n"/>
      <c r="S333" s="10">
        <f>IF(OR(D333="",R333=""),"",TODAY()-R333)</f>
        <v/>
      </c>
      <c r="T333" s="22" t="n"/>
      <c r="U333" s="24" t="n"/>
      <c r="V333" s="23" t="n"/>
      <c r="W333" s="14">
        <f>IF(OR(D333="",V333="辞退",V333="保留",P333="✅正式"),"",TRIM(IF(AND(U333&lt;&gt;"",U333&lt;TODAY()),"期日超過 ","")&amp;IF(AND(S333&lt;&gt;"",S333&gt;='設定'!$B$9),"放置"&amp;S333&amp;"日 ","")&amp;IF(AND(J333="CCS済",M333&lt;&gt;"✓"),"CCS後の申込待ち ","")&amp;IF(AND(M333="✓",N333&lt;&gt;"✓"),"振込待ち ","")&amp;IF(AND(N333="✓",O333&lt;&gt;"✓"),"同意書待ち ","")&amp;IF(T333="","次アクション未設定","")))</f>
        <v/>
      </c>
      <c r="X333" s="10" t="n"/>
      <c r="Y333" s="22" t="n"/>
    </row>
    <row r="334">
      <c r="A334" s="10">
        <f>IF(D334="","",ROW()-4)</f>
        <v/>
      </c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3" t="n"/>
      <c r="K334" s="24" t="n"/>
      <c r="L334" s="22" t="n"/>
      <c r="M334" s="23" t="n"/>
      <c r="N334" s="23" t="n"/>
      <c r="O334" s="23" t="n"/>
      <c r="P334" s="10">
        <f>IF(D334="","",IF(AND(M334="✓",N334="✓",O334="✓"),"✅正式",IF(M334&amp;N334&amp;O334="","入会前","手続き中")))</f>
        <v/>
      </c>
      <c r="Q334" s="24" t="n"/>
      <c r="R334" s="24" t="n"/>
      <c r="S334" s="10">
        <f>IF(OR(D334="",R334=""),"",TODAY()-R334)</f>
        <v/>
      </c>
      <c r="T334" s="22" t="n"/>
      <c r="U334" s="24" t="n"/>
      <c r="V334" s="23" t="n"/>
      <c r="W334" s="14">
        <f>IF(OR(D334="",V334="辞退",V334="保留",P334="✅正式"),"",TRIM(IF(AND(U334&lt;&gt;"",U334&lt;TODAY()),"期日超過 ","")&amp;IF(AND(S334&lt;&gt;"",S334&gt;='設定'!$B$9),"放置"&amp;S334&amp;"日 ","")&amp;IF(AND(J334="CCS済",M334&lt;&gt;"✓"),"CCS後の申込待ち ","")&amp;IF(AND(M334="✓",N334&lt;&gt;"✓"),"振込待ち ","")&amp;IF(AND(N334="✓",O334&lt;&gt;"✓"),"同意書待ち ","")&amp;IF(T334="","次アクション未設定","")))</f>
        <v/>
      </c>
      <c r="X334" s="10" t="n"/>
      <c r="Y334" s="22" t="n"/>
    </row>
    <row r="335">
      <c r="A335" s="10">
        <f>IF(D335="","",ROW()-4)</f>
        <v/>
      </c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3" t="n"/>
      <c r="K335" s="24" t="n"/>
      <c r="L335" s="22" t="n"/>
      <c r="M335" s="23" t="n"/>
      <c r="N335" s="23" t="n"/>
      <c r="O335" s="23" t="n"/>
      <c r="P335" s="10">
        <f>IF(D335="","",IF(AND(M335="✓",N335="✓",O335="✓"),"✅正式",IF(M335&amp;N335&amp;O335="","入会前","手続き中")))</f>
        <v/>
      </c>
      <c r="Q335" s="24" t="n"/>
      <c r="R335" s="24" t="n"/>
      <c r="S335" s="10">
        <f>IF(OR(D335="",R335=""),"",TODAY()-R335)</f>
        <v/>
      </c>
      <c r="T335" s="22" t="n"/>
      <c r="U335" s="24" t="n"/>
      <c r="V335" s="23" t="n"/>
      <c r="W335" s="14">
        <f>IF(OR(D335="",V335="辞退",V335="保留",P335="✅正式"),"",TRIM(IF(AND(U335&lt;&gt;"",U335&lt;TODAY()),"期日超過 ","")&amp;IF(AND(S335&lt;&gt;"",S335&gt;='設定'!$B$9),"放置"&amp;S335&amp;"日 ","")&amp;IF(AND(J335="CCS済",M335&lt;&gt;"✓"),"CCS後の申込待ち ","")&amp;IF(AND(M335="✓",N335&lt;&gt;"✓"),"振込待ち ","")&amp;IF(AND(N335="✓",O335&lt;&gt;"✓"),"同意書待ち ","")&amp;IF(T335="","次アクション未設定","")))</f>
        <v/>
      </c>
      <c r="X335" s="10" t="n"/>
      <c r="Y335" s="22" t="n"/>
    </row>
    <row r="336">
      <c r="A336" s="10">
        <f>IF(D336="","",ROW()-4)</f>
        <v/>
      </c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3" t="n"/>
      <c r="K336" s="24" t="n"/>
      <c r="L336" s="22" t="n"/>
      <c r="M336" s="23" t="n"/>
      <c r="N336" s="23" t="n"/>
      <c r="O336" s="23" t="n"/>
      <c r="P336" s="10">
        <f>IF(D336="","",IF(AND(M336="✓",N336="✓",O336="✓"),"✅正式",IF(M336&amp;N336&amp;O336="","入会前","手続き中")))</f>
        <v/>
      </c>
      <c r="Q336" s="24" t="n"/>
      <c r="R336" s="24" t="n"/>
      <c r="S336" s="10">
        <f>IF(OR(D336="",R336=""),"",TODAY()-R336)</f>
        <v/>
      </c>
      <c r="T336" s="22" t="n"/>
      <c r="U336" s="24" t="n"/>
      <c r="V336" s="23" t="n"/>
      <c r="W336" s="14">
        <f>IF(OR(D336="",V336="辞退",V336="保留",P336="✅正式"),"",TRIM(IF(AND(U336&lt;&gt;"",U336&lt;TODAY()),"期日超過 ","")&amp;IF(AND(S336&lt;&gt;"",S336&gt;='設定'!$B$9),"放置"&amp;S336&amp;"日 ","")&amp;IF(AND(J336="CCS済",M336&lt;&gt;"✓"),"CCS後の申込待ち ","")&amp;IF(AND(M336="✓",N336&lt;&gt;"✓"),"振込待ち ","")&amp;IF(AND(N336="✓",O336&lt;&gt;"✓"),"同意書待ち ","")&amp;IF(T336="","次アクション未設定","")))</f>
        <v/>
      </c>
      <c r="X336" s="10" t="n"/>
      <c r="Y336" s="22" t="n"/>
    </row>
    <row r="337">
      <c r="A337" s="10">
        <f>IF(D337="","",ROW()-4)</f>
        <v/>
      </c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3" t="n"/>
      <c r="K337" s="24" t="n"/>
      <c r="L337" s="22" t="n"/>
      <c r="M337" s="23" t="n"/>
      <c r="N337" s="23" t="n"/>
      <c r="O337" s="23" t="n"/>
      <c r="P337" s="10">
        <f>IF(D337="","",IF(AND(M337="✓",N337="✓",O337="✓"),"✅正式",IF(M337&amp;N337&amp;O337="","入会前","手続き中")))</f>
        <v/>
      </c>
      <c r="Q337" s="24" t="n"/>
      <c r="R337" s="24" t="n"/>
      <c r="S337" s="10">
        <f>IF(OR(D337="",R337=""),"",TODAY()-R337)</f>
        <v/>
      </c>
      <c r="T337" s="22" t="n"/>
      <c r="U337" s="24" t="n"/>
      <c r="V337" s="23" t="n"/>
      <c r="W337" s="14">
        <f>IF(OR(D337="",V337="辞退",V337="保留",P337="✅正式"),"",TRIM(IF(AND(U337&lt;&gt;"",U337&lt;TODAY()),"期日超過 ","")&amp;IF(AND(S337&lt;&gt;"",S337&gt;='設定'!$B$9),"放置"&amp;S337&amp;"日 ","")&amp;IF(AND(J337="CCS済",M337&lt;&gt;"✓"),"CCS後の申込待ち ","")&amp;IF(AND(M337="✓",N337&lt;&gt;"✓"),"振込待ち ","")&amp;IF(AND(N337="✓",O337&lt;&gt;"✓"),"同意書待ち ","")&amp;IF(T337="","次アクション未設定","")))</f>
        <v/>
      </c>
      <c r="X337" s="10" t="n"/>
      <c r="Y337" s="22" t="n"/>
    </row>
    <row r="338">
      <c r="A338" s="10">
        <f>IF(D338="","",ROW()-4)</f>
        <v/>
      </c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3" t="n"/>
      <c r="K338" s="24" t="n"/>
      <c r="L338" s="22" t="n"/>
      <c r="M338" s="23" t="n"/>
      <c r="N338" s="23" t="n"/>
      <c r="O338" s="23" t="n"/>
      <c r="P338" s="10">
        <f>IF(D338="","",IF(AND(M338="✓",N338="✓",O338="✓"),"✅正式",IF(M338&amp;N338&amp;O338="","入会前","手続き中")))</f>
        <v/>
      </c>
      <c r="Q338" s="24" t="n"/>
      <c r="R338" s="24" t="n"/>
      <c r="S338" s="10">
        <f>IF(OR(D338="",R338=""),"",TODAY()-R338)</f>
        <v/>
      </c>
      <c r="T338" s="22" t="n"/>
      <c r="U338" s="24" t="n"/>
      <c r="V338" s="23" t="n"/>
      <c r="W338" s="14">
        <f>IF(OR(D338="",V338="辞退",V338="保留",P338="✅正式"),"",TRIM(IF(AND(U338&lt;&gt;"",U338&lt;TODAY()),"期日超過 ","")&amp;IF(AND(S338&lt;&gt;"",S338&gt;='設定'!$B$9),"放置"&amp;S338&amp;"日 ","")&amp;IF(AND(J338="CCS済",M338&lt;&gt;"✓"),"CCS後の申込待ち ","")&amp;IF(AND(M338="✓",N338&lt;&gt;"✓"),"振込待ち ","")&amp;IF(AND(N338="✓",O338&lt;&gt;"✓"),"同意書待ち ","")&amp;IF(T338="","次アクション未設定","")))</f>
        <v/>
      </c>
      <c r="X338" s="10" t="n"/>
      <c r="Y338" s="22" t="n"/>
    </row>
    <row r="339">
      <c r="A339" s="10">
        <f>IF(D339="","",ROW()-4)</f>
        <v/>
      </c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3" t="n"/>
      <c r="K339" s="24" t="n"/>
      <c r="L339" s="22" t="n"/>
      <c r="M339" s="23" t="n"/>
      <c r="N339" s="23" t="n"/>
      <c r="O339" s="23" t="n"/>
      <c r="P339" s="10">
        <f>IF(D339="","",IF(AND(M339="✓",N339="✓",O339="✓"),"✅正式",IF(M339&amp;N339&amp;O339="","入会前","手続き中")))</f>
        <v/>
      </c>
      <c r="Q339" s="24" t="n"/>
      <c r="R339" s="24" t="n"/>
      <c r="S339" s="10">
        <f>IF(OR(D339="",R339=""),"",TODAY()-R339)</f>
        <v/>
      </c>
      <c r="T339" s="22" t="n"/>
      <c r="U339" s="24" t="n"/>
      <c r="V339" s="23" t="n"/>
      <c r="W339" s="14">
        <f>IF(OR(D339="",V339="辞退",V339="保留",P339="✅正式"),"",TRIM(IF(AND(U339&lt;&gt;"",U339&lt;TODAY()),"期日超過 ","")&amp;IF(AND(S339&lt;&gt;"",S339&gt;='設定'!$B$9),"放置"&amp;S339&amp;"日 ","")&amp;IF(AND(J339="CCS済",M339&lt;&gt;"✓"),"CCS後の申込待ち ","")&amp;IF(AND(M339="✓",N339&lt;&gt;"✓"),"振込待ち ","")&amp;IF(AND(N339="✓",O339&lt;&gt;"✓"),"同意書待ち ","")&amp;IF(T339="","次アクション未設定","")))</f>
        <v/>
      </c>
      <c r="X339" s="10" t="n"/>
      <c r="Y339" s="22" t="n"/>
    </row>
    <row r="340">
      <c r="A340" s="10">
        <f>IF(D340="","",ROW()-4)</f>
        <v/>
      </c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3" t="n"/>
      <c r="K340" s="24" t="n"/>
      <c r="L340" s="22" t="n"/>
      <c r="M340" s="23" t="n"/>
      <c r="N340" s="23" t="n"/>
      <c r="O340" s="23" t="n"/>
      <c r="P340" s="10">
        <f>IF(D340="","",IF(AND(M340="✓",N340="✓",O340="✓"),"✅正式",IF(M340&amp;N340&amp;O340="","入会前","手続き中")))</f>
        <v/>
      </c>
      <c r="Q340" s="24" t="n"/>
      <c r="R340" s="24" t="n"/>
      <c r="S340" s="10">
        <f>IF(OR(D340="",R340=""),"",TODAY()-R340)</f>
        <v/>
      </c>
      <c r="T340" s="22" t="n"/>
      <c r="U340" s="24" t="n"/>
      <c r="V340" s="23" t="n"/>
      <c r="W340" s="14">
        <f>IF(OR(D340="",V340="辞退",V340="保留",P340="✅正式"),"",TRIM(IF(AND(U340&lt;&gt;"",U340&lt;TODAY()),"期日超過 ","")&amp;IF(AND(S340&lt;&gt;"",S340&gt;='設定'!$B$9),"放置"&amp;S340&amp;"日 ","")&amp;IF(AND(J340="CCS済",M340&lt;&gt;"✓"),"CCS後の申込待ち ","")&amp;IF(AND(M340="✓",N340&lt;&gt;"✓"),"振込待ち ","")&amp;IF(AND(N340="✓",O340&lt;&gt;"✓"),"同意書待ち ","")&amp;IF(T340="","次アクション未設定","")))</f>
        <v/>
      </c>
      <c r="X340" s="10" t="n"/>
      <c r="Y340" s="22" t="n"/>
    </row>
    <row r="341">
      <c r="A341" s="10">
        <f>IF(D341="","",ROW()-4)</f>
        <v/>
      </c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3" t="n"/>
      <c r="K341" s="24" t="n"/>
      <c r="L341" s="22" t="n"/>
      <c r="M341" s="23" t="n"/>
      <c r="N341" s="23" t="n"/>
      <c r="O341" s="23" t="n"/>
      <c r="P341" s="10">
        <f>IF(D341="","",IF(AND(M341="✓",N341="✓",O341="✓"),"✅正式",IF(M341&amp;N341&amp;O341="","入会前","手続き中")))</f>
        <v/>
      </c>
      <c r="Q341" s="24" t="n"/>
      <c r="R341" s="24" t="n"/>
      <c r="S341" s="10">
        <f>IF(OR(D341="",R341=""),"",TODAY()-R341)</f>
        <v/>
      </c>
      <c r="T341" s="22" t="n"/>
      <c r="U341" s="24" t="n"/>
      <c r="V341" s="23" t="n"/>
      <c r="W341" s="14">
        <f>IF(OR(D341="",V341="辞退",V341="保留",P341="✅正式"),"",TRIM(IF(AND(U341&lt;&gt;"",U341&lt;TODAY()),"期日超過 ","")&amp;IF(AND(S341&lt;&gt;"",S341&gt;='設定'!$B$9),"放置"&amp;S341&amp;"日 ","")&amp;IF(AND(J341="CCS済",M341&lt;&gt;"✓"),"CCS後の申込待ち ","")&amp;IF(AND(M341="✓",N341&lt;&gt;"✓"),"振込待ち ","")&amp;IF(AND(N341="✓",O341&lt;&gt;"✓"),"同意書待ち ","")&amp;IF(T341="","次アクション未設定","")))</f>
        <v/>
      </c>
      <c r="X341" s="10" t="n"/>
      <c r="Y341" s="22" t="n"/>
    </row>
    <row r="342">
      <c r="A342" s="10">
        <f>IF(D342="","",ROW()-4)</f>
        <v/>
      </c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3" t="n"/>
      <c r="K342" s="24" t="n"/>
      <c r="L342" s="22" t="n"/>
      <c r="M342" s="23" t="n"/>
      <c r="N342" s="23" t="n"/>
      <c r="O342" s="23" t="n"/>
      <c r="P342" s="10">
        <f>IF(D342="","",IF(AND(M342="✓",N342="✓",O342="✓"),"✅正式",IF(M342&amp;N342&amp;O342="","入会前","手続き中")))</f>
        <v/>
      </c>
      <c r="Q342" s="24" t="n"/>
      <c r="R342" s="24" t="n"/>
      <c r="S342" s="10">
        <f>IF(OR(D342="",R342=""),"",TODAY()-R342)</f>
        <v/>
      </c>
      <c r="T342" s="22" t="n"/>
      <c r="U342" s="24" t="n"/>
      <c r="V342" s="23" t="n"/>
      <c r="W342" s="14">
        <f>IF(OR(D342="",V342="辞退",V342="保留",P342="✅正式"),"",TRIM(IF(AND(U342&lt;&gt;"",U342&lt;TODAY()),"期日超過 ","")&amp;IF(AND(S342&lt;&gt;"",S342&gt;='設定'!$B$9),"放置"&amp;S342&amp;"日 ","")&amp;IF(AND(J342="CCS済",M342&lt;&gt;"✓"),"CCS後の申込待ち ","")&amp;IF(AND(M342="✓",N342&lt;&gt;"✓"),"振込待ち ","")&amp;IF(AND(N342="✓",O342&lt;&gt;"✓"),"同意書待ち ","")&amp;IF(T342="","次アクション未設定","")))</f>
        <v/>
      </c>
      <c r="X342" s="10" t="n"/>
      <c r="Y342" s="22" t="n"/>
    </row>
    <row r="343">
      <c r="A343" s="10">
        <f>IF(D343="","",ROW()-4)</f>
        <v/>
      </c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3" t="n"/>
      <c r="K343" s="24" t="n"/>
      <c r="L343" s="22" t="n"/>
      <c r="M343" s="23" t="n"/>
      <c r="N343" s="23" t="n"/>
      <c r="O343" s="23" t="n"/>
      <c r="P343" s="10">
        <f>IF(D343="","",IF(AND(M343="✓",N343="✓",O343="✓"),"✅正式",IF(M343&amp;N343&amp;O343="","入会前","手続き中")))</f>
        <v/>
      </c>
      <c r="Q343" s="24" t="n"/>
      <c r="R343" s="24" t="n"/>
      <c r="S343" s="10">
        <f>IF(OR(D343="",R343=""),"",TODAY()-R343)</f>
        <v/>
      </c>
      <c r="T343" s="22" t="n"/>
      <c r="U343" s="24" t="n"/>
      <c r="V343" s="23" t="n"/>
      <c r="W343" s="14">
        <f>IF(OR(D343="",V343="辞退",V343="保留",P343="✅正式"),"",TRIM(IF(AND(U343&lt;&gt;"",U343&lt;TODAY()),"期日超過 ","")&amp;IF(AND(S343&lt;&gt;"",S343&gt;='設定'!$B$9),"放置"&amp;S343&amp;"日 ","")&amp;IF(AND(J343="CCS済",M343&lt;&gt;"✓"),"CCS後の申込待ち ","")&amp;IF(AND(M343="✓",N343&lt;&gt;"✓"),"振込待ち ","")&amp;IF(AND(N343="✓",O343&lt;&gt;"✓"),"同意書待ち ","")&amp;IF(T343="","次アクション未設定","")))</f>
        <v/>
      </c>
      <c r="X343" s="10" t="n"/>
      <c r="Y343" s="22" t="n"/>
    </row>
    <row r="344">
      <c r="A344" s="10">
        <f>IF(D344="","",ROW()-4)</f>
        <v/>
      </c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3" t="n"/>
      <c r="K344" s="24" t="n"/>
      <c r="L344" s="22" t="n"/>
      <c r="M344" s="23" t="n"/>
      <c r="N344" s="23" t="n"/>
      <c r="O344" s="23" t="n"/>
      <c r="P344" s="10">
        <f>IF(D344="","",IF(AND(M344="✓",N344="✓",O344="✓"),"✅正式",IF(M344&amp;N344&amp;O344="","入会前","手続き中")))</f>
        <v/>
      </c>
      <c r="Q344" s="24" t="n"/>
      <c r="R344" s="24" t="n"/>
      <c r="S344" s="10">
        <f>IF(OR(D344="",R344=""),"",TODAY()-R344)</f>
        <v/>
      </c>
      <c r="T344" s="22" t="n"/>
      <c r="U344" s="24" t="n"/>
      <c r="V344" s="23" t="n"/>
      <c r="W344" s="14">
        <f>IF(OR(D344="",V344="辞退",V344="保留",P344="✅正式"),"",TRIM(IF(AND(U344&lt;&gt;"",U344&lt;TODAY()),"期日超過 ","")&amp;IF(AND(S344&lt;&gt;"",S344&gt;='設定'!$B$9),"放置"&amp;S344&amp;"日 ","")&amp;IF(AND(J344="CCS済",M344&lt;&gt;"✓"),"CCS後の申込待ち ","")&amp;IF(AND(M344="✓",N344&lt;&gt;"✓"),"振込待ち ","")&amp;IF(AND(N344="✓",O344&lt;&gt;"✓"),"同意書待ち ","")&amp;IF(T344="","次アクション未設定","")))</f>
        <v/>
      </c>
      <c r="X344" s="10" t="n"/>
      <c r="Y344" s="22" t="n"/>
    </row>
    <row r="345">
      <c r="A345" s="10">
        <f>IF(D345="","",ROW()-4)</f>
        <v/>
      </c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3" t="n"/>
      <c r="K345" s="24" t="n"/>
      <c r="L345" s="22" t="n"/>
      <c r="M345" s="23" t="n"/>
      <c r="N345" s="23" t="n"/>
      <c r="O345" s="23" t="n"/>
      <c r="P345" s="10">
        <f>IF(D345="","",IF(AND(M345="✓",N345="✓",O345="✓"),"✅正式",IF(M345&amp;N345&amp;O345="","入会前","手続き中")))</f>
        <v/>
      </c>
      <c r="Q345" s="24" t="n"/>
      <c r="R345" s="24" t="n"/>
      <c r="S345" s="10">
        <f>IF(OR(D345="",R345=""),"",TODAY()-R345)</f>
        <v/>
      </c>
      <c r="T345" s="22" t="n"/>
      <c r="U345" s="24" t="n"/>
      <c r="V345" s="23" t="n"/>
      <c r="W345" s="14">
        <f>IF(OR(D345="",V345="辞退",V345="保留",P345="✅正式"),"",TRIM(IF(AND(U345&lt;&gt;"",U345&lt;TODAY()),"期日超過 ","")&amp;IF(AND(S345&lt;&gt;"",S345&gt;='設定'!$B$9),"放置"&amp;S345&amp;"日 ","")&amp;IF(AND(J345="CCS済",M345&lt;&gt;"✓"),"CCS後の申込待ち ","")&amp;IF(AND(M345="✓",N345&lt;&gt;"✓"),"振込待ち ","")&amp;IF(AND(N345="✓",O345&lt;&gt;"✓"),"同意書待ち ","")&amp;IF(T345="","次アクション未設定","")))</f>
        <v/>
      </c>
      <c r="X345" s="10" t="n"/>
      <c r="Y345" s="22" t="n"/>
    </row>
    <row r="346">
      <c r="A346" s="10">
        <f>IF(D346="","",ROW()-4)</f>
        <v/>
      </c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3" t="n"/>
      <c r="K346" s="24" t="n"/>
      <c r="L346" s="22" t="n"/>
      <c r="M346" s="23" t="n"/>
      <c r="N346" s="23" t="n"/>
      <c r="O346" s="23" t="n"/>
      <c r="P346" s="10">
        <f>IF(D346="","",IF(AND(M346="✓",N346="✓",O346="✓"),"✅正式",IF(M346&amp;N346&amp;O346="","入会前","手続き中")))</f>
        <v/>
      </c>
      <c r="Q346" s="24" t="n"/>
      <c r="R346" s="24" t="n"/>
      <c r="S346" s="10">
        <f>IF(OR(D346="",R346=""),"",TODAY()-R346)</f>
        <v/>
      </c>
      <c r="T346" s="22" t="n"/>
      <c r="U346" s="24" t="n"/>
      <c r="V346" s="23" t="n"/>
      <c r="W346" s="14">
        <f>IF(OR(D346="",V346="辞退",V346="保留",P346="✅正式"),"",TRIM(IF(AND(U346&lt;&gt;"",U346&lt;TODAY()),"期日超過 ","")&amp;IF(AND(S346&lt;&gt;"",S346&gt;='設定'!$B$9),"放置"&amp;S346&amp;"日 ","")&amp;IF(AND(J346="CCS済",M346&lt;&gt;"✓"),"CCS後の申込待ち ","")&amp;IF(AND(M346="✓",N346&lt;&gt;"✓"),"振込待ち ","")&amp;IF(AND(N346="✓",O346&lt;&gt;"✓"),"同意書待ち ","")&amp;IF(T346="","次アクション未設定","")))</f>
        <v/>
      </c>
      <c r="X346" s="10" t="n"/>
      <c r="Y346" s="22" t="n"/>
    </row>
    <row r="347">
      <c r="A347" s="10">
        <f>IF(D347="","",ROW()-4)</f>
        <v/>
      </c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3" t="n"/>
      <c r="K347" s="24" t="n"/>
      <c r="L347" s="22" t="n"/>
      <c r="M347" s="23" t="n"/>
      <c r="N347" s="23" t="n"/>
      <c r="O347" s="23" t="n"/>
      <c r="P347" s="10">
        <f>IF(D347="","",IF(AND(M347="✓",N347="✓",O347="✓"),"✅正式",IF(M347&amp;N347&amp;O347="","入会前","手続き中")))</f>
        <v/>
      </c>
      <c r="Q347" s="24" t="n"/>
      <c r="R347" s="24" t="n"/>
      <c r="S347" s="10">
        <f>IF(OR(D347="",R347=""),"",TODAY()-R347)</f>
        <v/>
      </c>
      <c r="T347" s="22" t="n"/>
      <c r="U347" s="24" t="n"/>
      <c r="V347" s="23" t="n"/>
      <c r="W347" s="14">
        <f>IF(OR(D347="",V347="辞退",V347="保留",P347="✅正式"),"",TRIM(IF(AND(U347&lt;&gt;"",U347&lt;TODAY()),"期日超過 ","")&amp;IF(AND(S347&lt;&gt;"",S347&gt;='設定'!$B$9),"放置"&amp;S347&amp;"日 ","")&amp;IF(AND(J347="CCS済",M347&lt;&gt;"✓"),"CCS後の申込待ち ","")&amp;IF(AND(M347="✓",N347&lt;&gt;"✓"),"振込待ち ","")&amp;IF(AND(N347="✓",O347&lt;&gt;"✓"),"同意書待ち ","")&amp;IF(T347="","次アクション未設定","")))</f>
        <v/>
      </c>
      <c r="X347" s="10" t="n"/>
      <c r="Y347" s="22" t="n"/>
    </row>
    <row r="348">
      <c r="A348" s="10">
        <f>IF(D348="","",ROW()-4)</f>
        <v/>
      </c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3" t="n"/>
      <c r="K348" s="24" t="n"/>
      <c r="L348" s="22" t="n"/>
      <c r="M348" s="23" t="n"/>
      <c r="N348" s="23" t="n"/>
      <c r="O348" s="23" t="n"/>
      <c r="P348" s="10">
        <f>IF(D348="","",IF(AND(M348="✓",N348="✓",O348="✓"),"✅正式",IF(M348&amp;N348&amp;O348="","入会前","手続き中")))</f>
        <v/>
      </c>
      <c r="Q348" s="24" t="n"/>
      <c r="R348" s="24" t="n"/>
      <c r="S348" s="10">
        <f>IF(OR(D348="",R348=""),"",TODAY()-R348)</f>
        <v/>
      </c>
      <c r="T348" s="22" t="n"/>
      <c r="U348" s="24" t="n"/>
      <c r="V348" s="23" t="n"/>
      <c r="W348" s="14">
        <f>IF(OR(D348="",V348="辞退",V348="保留",P348="✅正式"),"",TRIM(IF(AND(U348&lt;&gt;"",U348&lt;TODAY()),"期日超過 ","")&amp;IF(AND(S348&lt;&gt;"",S348&gt;='設定'!$B$9),"放置"&amp;S348&amp;"日 ","")&amp;IF(AND(J348="CCS済",M348&lt;&gt;"✓"),"CCS後の申込待ち ","")&amp;IF(AND(M348="✓",N348&lt;&gt;"✓"),"振込待ち ","")&amp;IF(AND(N348="✓",O348&lt;&gt;"✓"),"同意書待ち ","")&amp;IF(T348="","次アクション未設定","")))</f>
        <v/>
      </c>
      <c r="X348" s="10" t="n"/>
      <c r="Y348" s="22" t="n"/>
    </row>
    <row r="349">
      <c r="A349" s="10">
        <f>IF(D349="","",ROW()-4)</f>
        <v/>
      </c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3" t="n"/>
      <c r="K349" s="24" t="n"/>
      <c r="L349" s="22" t="n"/>
      <c r="M349" s="23" t="n"/>
      <c r="N349" s="23" t="n"/>
      <c r="O349" s="23" t="n"/>
      <c r="P349" s="10">
        <f>IF(D349="","",IF(AND(M349="✓",N349="✓",O349="✓"),"✅正式",IF(M349&amp;N349&amp;O349="","入会前","手続き中")))</f>
        <v/>
      </c>
      <c r="Q349" s="24" t="n"/>
      <c r="R349" s="24" t="n"/>
      <c r="S349" s="10">
        <f>IF(OR(D349="",R349=""),"",TODAY()-R349)</f>
        <v/>
      </c>
      <c r="T349" s="22" t="n"/>
      <c r="U349" s="24" t="n"/>
      <c r="V349" s="23" t="n"/>
      <c r="W349" s="14">
        <f>IF(OR(D349="",V349="辞退",V349="保留",P349="✅正式"),"",TRIM(IF(AND(U349&lt;&gt;"",U349&lt;TODAY()),"期日超過 ","")&amp;IF(AND(S349&lt;&gt;"",S349&gt;='設定'!$B$9),"放置"&amp;S349&amp;"日 ","")&amp;IF(AND(J349="CCS済",M349&lt;&gt;"✓"),"CCS後の申込待ち ","")&amp;IF(AND(M349="✓",N349&lt;&gt;"✓"),"振込待ち ","")&amp;IF(AND(N349="✓",O349&lt;&gt;"✓"),"同意書待ち ","")&amp;IF(T349="","次アクション未設定","")))</f>
        <v/>
      </c>
      <c r="X349" s="10" t="n"/>
      <c r="Y349" s="22" t="n"/>
    </row>
    <row r="350">
      <c r="A350" s="10">
        <f>IF(D350="","",ROW()-4)</f>
        <v/>
      </c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3" t="n"/>
      <c r="K350" s="24" t="n"/>
      <c r="L350" s="22" t="n"/>
      <c r="M350" s="23" t="n"/>
      <c r="N350" s="23" t="n"/>
      <c r="O350" s="23" t="n"/>
      <c r="P350" s="10">
        <f>IF(D350="","",IF(AND(M350="✓",N350="✓",O350="✓"),"✅正式",IF(M350&amp;N350&amp;O350="","入会前","手続き中")))</f>
        <v/>
      </c>
      <c r="Q350" s="24" t="n"/>
      <c r="R350" s="24" t="n"/>
      <c r="S350" s="10">
        <f>IF(OR(D350="",R350=""),"",TODAY()-R350)</f>
        <v/>
      </c>
      <c r="T350" s="22" t="n"/>
      <c r="U350" s="24" t="n"/>
      <c r="V350" s="23" t="n"/>
      <c r="W350" s="14">
        <f>IF(OR(D350="",V350="辞退",V350="保留",P350="✅正式"),"",TRIM(IF(AND(U350&lt;&gt;"",U350&lt;TODAY()),"期日超過 ","")&amp;IF(AND(S350&lt;&gt;"",S350&gt;='設定'!$B$9),"放置"&amp;S350&amp;"日 ","")&amp;IF(AND(J350="CCS済",M350&lt;&gt;"✓"),"CCS後の申込待ち ","")&amp;IF(AND(M350="✓",N350&lt;&gt;"✓"),"振込待ち ","")&amp;IF(AND(N350="✓",O350&lt;&gt;"✓"),"同意書待ち ","")&amp;IF(T350="","次アクション未設定","")))</f>
        <v/>
      </c>
      <c r="X350" s="10" t="n"/>
      <c r="Y350" s="22" t="n"/>
    </row>
    <row r="351">
      <c r="A351" s="10">
        <f>IF(D351="","",ROW()-4)</f>
        <v/>
      </c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3" t="n"/>
      <c r="K351" s="24" t="n"/>
      <c r="L351" s="22" t="n"/>
      <c r="M351" s="23" t="n"/>
      <c r="N351" s="23" t="n"/>
      <c r="O351" s="23" t="n"/>
      <c r="P351" s="10">
        <f>IF(D351="","",IF(AND(M351="✓",N351="✓",O351="✓"),"✅正式",IF(M351&amp;N351&amp;O351="","入会前","手続き中")))</f>
        <v/>
      </c>
      <c r="Q351" s="24" t="n"/>
      <c r="R351" s="24" t="n"/>
      <c r="S351" s="10">
        <f>IF(OR(D351="",R351=""),"",TODAY()-R351)</f>
        <v/>
      </c>
      <c r="T351" s="22" t="n"/>
      <c r="U351" s="24" t="n"/>
      <c r="V351" s="23" t="n"/>
      <c r="W351" s="14">
        <f>IF(OR(D351="",V351="辞退",V351="保留",P351="✅正式"),"",TRIM(IF(AND(U351&lt;&gt;"",U351&lt;TODAY()),"期日超過 ","")&amp;IF(AND(S351&lt;&gt;"",S351&gt;='設定'!$B$9),"放置"&amp;S351&amp;"日 ","")&amp;IF(AND(J351="CCS済",M351&lt;&gt;"✓"),"CCS後の申込待ち ","")&amp;IF(AND(M351="✓",N351&lt;&gt;"✓"),"振込待ち ","")&amp;IF(AND(N351="✓",O351&lt;&gt;"✓"),"同意書待ち ","")&amp;IF(T351="","次アクション未設定","")))</f>
        <v/>
      </c>
      <c r="X351" s="10" t="n"/>
      <c r="Y351" s="22" t="n"/>
    </row>
    <row r="352">
      <c r="A352" s="10">
        <f>IF(D352="","",ROW()-4)</f>
        <v/>
      </c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3" t="n"/>
      <c r="K352" s="24" t="n"/>
      <c r="L352" s="22" t="n"/>
      <c r="M352" s="23" t="n"/>
      <c r="N352" s="23" t="n"/>
      <c r="O352" s="23" t="n"/>
      <c r="P352" s="10">
        <f>IF(D352="","",IF(AND(M352="✓",N352="✓",O352="✓"),"✅正式",IF(M352&amp;N352&amp;O352="","入会前","手続き中")))</f>
        <v/>
      </c>
      <c r="Q352" s="24" t="n"/>
      <c r="R352" s="24" t="n"/>
      <c r="S352" s="10">
        <f>IF(OR(D352="",R352=""),"",TODAY()-R352)</f>
        <v/>
      </c>
      <c r="T352" s="22" t="n"/>
      <c r="U352" s="24" t="n"/>
      <c r="V352" s="23" t="n"/>
      <c r="W352" s="14">
        <f>IF(OR(D352="",V352="辞退",V352="保留",P352="✅正式"),"",TRIM(IF(AND(U352&lt;&gt;"",U352&lt;TODAY()),"期日超過 ","")&amp;IF(AND(S352&lt;&gt;"",S352&gt;='設定'!$B$9),"放置"&amp;S352&amp;"日 ","")&amp;IF(AND(J352="CCS済",M352&lt;&gt;"✓"),"CCS後の申込待ち ","")&amp;IF(AND(M352="✓",N352&lt;&gt;"✓"),"振込待ち ","")&amp;IF(AND(N352="✓",O352&lt;&gt;"✓"),"同意書待ち ","")&amp;IF(T352="","次アクション未設定","")))</f>
        <v/>
      </c>
      <c r="X352" s="10" t="n"/>
      <c r="Y352" s="22" t="n"/>
    </row>
    <row r="353">
      <c r="A353" s="10">
        <f>IF(D353="","",ROW()-4)</f>
        <v/>
      </c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3" t="n"/>
      <c r="K353" s="24" t="n"/>
      <c r="L353" s="22" t="n"/>
      <c r="M353" s="23" t="n"/>
      <c r="N353" s="23" t="n"/>
      <c r="O353" s="23" t="n"/>
      <c r="P353" s="10">
        <f>IF(D353="","",IF(AND(M353="✓",N353="✓",O353="✓"),"✅正式",IF(M353&amp;N353&amp;O353="","入会前","手続き中")))</f>
        <v/>
      </c>
      <c r="Q353" s="24" t="n"/>
      <c r="R353" s="24" t="n"/>
      <c r="S353" s="10">
        <f>IF(OR(D353="",R353=""),"",TODAY()-R353)</f>
        <v/>
      </c>
      <c r="T353" s="22" t="n"/>
      <c r="U353" s="24" t="n"/>
      <c r="V353" s="23" t="n"/>
      <c r="W353" s="14">
        <f>IF(OR(D353="",V353="辞退",V353="保留",P353="✅正式"),"",TRIM(IF(AND(U353&lt;&gt;"",U353&lt;TODAY()),"期日超過 ","")&amp;IF(AND(S353&lt;&gt;"",S353&gt;='設定'!$B$9),"放置"&amp;S353&amp;"日 ","")&amp;IF(AND(J353="CCS済",M353&lt;&gt;"✓"),"CCS後の申込待ち ","")&amp;IF(AND(M353="✓",N353&lt;&gt;"✓"),"振込待ち ","")&amp;IF(AND(N353="✓",O353&lt;&gt;"✓"),"同意書待ち ","")&amp;IF(T353="","次アクション未設定","")))</f>
        <v/>
      </c>
      <c r="X353" s="10" t="n"/>
      <c r="Y353" s="22" t="n"/>
    </row>
    <row r="354">
      <c r="A354" s="10">
        <f>IF(D354="","",ROW()-4)</f>
        <v/>
      </c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3" t="n"/>
      <c r="K354" s="24" t="n"/>
      <c r="L354" s="22" t="n"/>
      <c r="M354" s="23" t="n"/>
      <c r="N354" s="23" t="n"/>
      <c r="O354" s="23" t="n"/>
      <c r="P354" s="10">
        <f>IF(D354="","",IF(AND(M354="✓",N354="✓",O354="✓"),"✅正式",IF(M354&amp;N354&amp;O354="","入会前","手続き中")))</f>
        <v/>
      </c>
      <c r="Q354" s="24" t="n"/>
      <c r="R354" s="24" t="n"/>
      <c r="S354" s="10">
        <f>IF(OR(D354="",R354=""),"",TODAY()-R354)</f>
        <v/>
      </c>
      <c r="T354" s="22" t="n"/>
      <c r="U354" s="24" t="n"/>
      <c r="V354" s="23" t="n"/>
      <c r="W354" s="14">
        <f>IF(OR(D354="",V354="辞退",V354="保留",P354="✅正式"),"",TRIM(IF(AND(U354&lt;&gt;"",U354&lt;TODAY()),"期日超過 ","")&amp;IF(AND(S354&lt;&gt;"",S354&gt;='設定'!$B$9),"放置"&amp;S354&amp;"日 ","")&amp;IF(AND(J354="CCS済",M354&lt;&gt;"✓"),"CCS後の申込待ち ","")&amp;IF(AND(M354="✓",N354&lt;&gt;"✓"),"振込待ち ","")&amp;IF(AND(N354="✓",O354&lt;&gt;"✓"),"同意書待ち ","")&amp;IF(T354="","次アクション未設定","")))</f>
        <v/>
      </c>
      <c r="X354" s="10" t="n"/>
      <c r="Y354" s="22" t="n"/>
    </row>
    <row r="355">
      <c r="A355" s="10">
        <f>IF(D355="","",ROW()-4)</f>
        <v/>
      </c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3" t="n"/>
      <c r="K355" s="24" t="n"/>
      <c r="L355" s="22" t="n"/>
      <c r="M355" s="23" t="n"/>
      <c r="N355" s="23" t="n"/>
      <c r="O355" s="23" t="n"/>
      <c r="P355" s="10">
        <f>IF(D355="","",IF(AND(M355="✓",N355="✓",O355="✓"),"✅正式",IF(M355&amp;N355&amp;O355="","入会前","手続き中")))</f>
        <v/>
      </c>
      <c r="Q355" s="24" t="n"/>
      <c r="R355" s="24" t="n"/>
      <c r="S355" s="10">
        <f>IF(OR(D355="",R355=""),"",TODAY()-R355)</f>
        <v/>
      </c>
      <c r="T355" s="22" t="n"/>
      <c r="U355" s="24" t="n"/>
      <c r="V355" s="23" t="n"/>
      <c r="W355" s="14">
        <f>IF(OR(D355="",V355="辞退",V355="保留",P355="✅正式"),"",TRIM(IF(AND(U355&lt;&gt;"",U355&lt;TODAY()),"期日超過 ","")&amp;IF(AND(S355&lt;&gt;"",S355&gt;='設定'!$B$9),"放置"&amp;S355&amp;"日 ","")&amp;IF(AND(J355="CCS済",M355&lt;&gt;"✓"),"CCS後の申込待ち ","")&amp;IF(AND(M355="✓",N355&lt;&gt;"✓"),"振込待ち ","")&amp;IF(AND(N355="✓",O355&lt;&gt;"✓"),"同意書待ち ","")&amp;IF(T355="","次アクション未設定","")))</f>
        <v/>
      </c>
      <c r="X355" s="10" t="n"/>
      <c r="Y355" s="22" t="n"/>
    </row>
    <row r="356">
      <c r="A356" s="10">
        <f>IF(D356="","",ROW()-4)</f>
        <v/>
      </c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3" t="n"/>
      <c r="K356" s="24" t="n"/>
      <c r="L356" s="22" t="n"/>
      <c r="M356" s="23" t="n"/>
      <c r="N356" s="23" t="n"/>
      <c r="O356" s="23" t="n"/>
      <c r="P356" s="10">
        <f>IF(D356="","",IF(AND(M356="✓",N356="✓",O356="✓"),"✅正式",IF(M356&amp;N356&amp;O356="","入会前","手続き中")))</f>
        <v/>
      </c>
      <c r="Q356" s="24" t="n"/>
      <c r="R356" s="24" t="n"/>
      <c r="S356" s="10">
        <f>IF(OR(D356="",R356=""),"",TODAY()-R356)</f>
        <v/>
      </c>
      <c r="T356" s="22" t="n"/>
      <c r="U356" s="24" t="n"/>
      <c r="V356" s="23" t="n"/>
      <c r="W356" s="14">
        <f>IF(OR(D356="",V356="辞退",V356="保留",P356="✅正式"),"",TRIM(IF(AND(U356&lt;&gt;"",U356&lt;TODAY()),"期日超過 ","")&amp;IF(AND(S356&lt;&gt;"",S356&gt;='設定'!$B$9),"放置"&amp;S356&amp;"日 ","")&amp;IF(AND(J356="CCS済",M356&lt;&gt;"✓"),"CCS後の申込待ち ","")&amp;IF(AND(M356="✓",N356&lt;&gt;"✓"),"振込待ち ","")&amp;IF(AND(N356="✓",O356&lt;&gt;"✓"),"同意書待ち ","")&amp;IF(T356="","次アクション未設定","")))</f>
        <v/>
      </c>
      <c r="X356" s="10" t="n"/>
      <c r="Y356" s="22" t="n"/>
    </row>
    <row r="357">
      <c r="A357" s="10">
        <f>IF(D357="","",ROW()-4)</f>
        <v/>
      </c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3" t="n"/>
      <c r="K357" s="24" t="n"/>
      <c r="L357" s="22" t="n"/>
      <c r="M357" s="23" t="n"/>
      <c r="N357" s="23" t="n"/>
      <c r="O357" s="23" t="n"/>
      <c r="P357" s="10">
        <f>IF(D357="","",IF(AND(M357="✓",N357="✓",O357="✓"),"✅正式",IF(M357&amp;N357&amp;O357="","入会前","手続き中")))</f>
        <v/>
      </c>
      <c r="Q357" s="24" t="n"/>
      <c r="R357" s="24" t="n"/>
      <c r="S357" s="10">
        <f>IF(OR(D357="",R357=""),"",TODAY()-R357)</f>
        <v/>
      </c>
      <c r="T357" s="22" t="n"/>
      <c r="U357" s="24" t="n"/>
      <c r="V357" s="23" t="n"/>
      <c r="W357" s="14">
        <f>IF(OR(D357="",V357="辞退",V357="保留",P357="✅正式"),"",TRIM(IF(AND(U357&lt;&gt;"",U357&lt;TODAY()),"期日超過 ","")&amp;IF(AND(S357&lt;&gt;"",S357&gt;='設定'!$B$9),"放置"&amp;S357&amp;"日 ","")&amp;IF(AND(J357="CCS済",M357&lt;&gt;"✓"),"CCS後の申込待ち ","")&amp;IF(AND(M357="✓",N357&lt;&gt;"✓"),"振込待ち ","")&amp;IF(AND(N357="✓",O357&lt;&gt;"✓"),"同意書待ち ","")&amp;IF(T357="","次アクション未設定","")))</f>
        <v/>
      </c>
      <c r="X357" s="10" t="n"/>
      <c r="Y357" s="22" t="n"/>
    </row>
    <row r="358">
      <c r="A358" s="10">
        <f>IF(D358="","",ROW()-4)</f>
        <v/>
      </c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3" t="n"/>
      <c r="K358" s="24" t="n"/>
      <c r="L358" s="22" t="n"/>
      <c r="M358" s="23" t="n"/>
      <c r="N358" s="23" t="n"/>
      <c r="O358" s="23" t="n"/>
      <c r="P358" s="10">
        <f>IF(D358="","",IF(AND(M358="✓",N358="✓",O358="✓"),"✅正式",IF(M358&amp;N358&amp;O358="","入会前","手続き中")))</f>
        <v/>
      </c>
      <c r="Q358" s="24" t="n"/>
      <c r="R358" s="24" t="n"/>
      <c r="S358" s="10">
        <f>IF(OR(D358="",R358=""),"",TODAY()-R358)</f>
        <v/>
      </c>
      <c r="T358" s="22" t="n"/>
      <c r="U358" s="24" t="n"/>
      <c r="V358" s="23" t="n"/>
      <c r="W358" s="14">
        <f>IF(OR(D358="",V358="辞退",V358="保留",P358="✅正式"),"",TRIM(IF(AND(U358&lt;&gt;"",U358&lt;TODAY()),"期日超過 ","")&amp;IF(AND(S358&lt;&gt;"",S358&gt;='設定'!$B$9),"放置"&amp;S358&amp;"日 ","")&amp;IF(AND(J358="CCS済",M358&lt;&gt;"✓"),"CCS後の申込待ち ","")&amp;IF(AND(M358="✓",N358&lt;&gt;"✓"),"振込待ち ","")&amp;IF(AND(N358="✓",O358&lt;&gt;"✓"),"同意書待ち ","")&amp;IF(T358="","次アクション未設定","")))</f>
        <v/>
      </c>
      <c r="X358" s="10" t="n"/>
      <c r="Y358" s="22" t="n"/>
    </row>
    <row r="359">
      <c r="A359" s="10">
        <f>IF(D359="","",ROW()-4)</f>
        <v/>
      </c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3" t="n"/>
      <c r="K359" s="24" t="n"/>
      <c r="L359" s="22" t="n"/>
      <c r="M359" s="23" t="n"/>
      <c r="N359" s="23" t="n"/>
      <c r="O359" s="23" t="n"/>
      <c r="P359" s="10">
        <f>IF(D359="","",IF(AND(M359="✓",N359="✓",O359="✓"),"✅正式",IF(M359&amp;N359&amp;O359="","入会前","手続き中")))</f>
        <v/>
      </c>
      <c r="Q359" s="24" t="n"/>
      <c r="R359" s="24" t="n"/>
      <c r="S359" s="10">
        <f>IF(OR(D359="",R359=""),"",TODAY()-R359)</f>
        <v/>
      </c>
      <c r="T359" s="22" t="n"/>
      <c r="U359" s="24" t="n"/>
      <c r="V359" s="23" t="n"/>
      <c r="W359" s="14">
        <f>IF(OR(D359="",V359="辞退",V359="保留",P359="✅正式"),"",TRIM(IF(AND(U359&lt;&gt;"",U359&lt;TODAY()),"期日超過 ","")&amp;IF(AND(S359&lt;&gt;"",S359&gt;='設定'!$B$9),"放置"&amp;S359&amp;"日 ","")&amp;IF(AND(J359="CCS済",M359&lt;&gt;"✓"),"CCS後の申込待ち ","")&amp;IF(AND(M359="✓",N359&lt;&gt;"✓"),"振込待ち ","")&amp;IF(AND(N359="✓",O359&lt;&gt;"✓"),"同意書待ち ","")&amp;IF(T359="","次アクション未設定","")))</f>
        <v/>
      </c>
      <c r="X359" s="10" t="n"/>
      <c r="Y359" s="22" t="n"/>
    </row>
    <row r="360">
      <c r="A360" s="10">
        <f>IF(D360="","",ROW()-4)</f>
        <v/>
      </c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3" t="n"/>
      <c r="K360" s="24" t="n"/>
      <c r="L360" s="22" t="n"/>
      <c r="M360" s="23" t="n"/>
      <c r="N360" s="23" t="n"/>
      <c r="O360" s="23" t="n"/>
      <c r="P360" s="10">
        <f>IF(D360="","",IF(AND(M360="✓",N360="✓",O360="✓"),"✅正式",IF(M360&amp;N360&amp;O360="","入会前","手続き中")))</f>
        <v/>
      </c>
      <c r="Q360" s="24" t="n"/>
      <c r="R360" s="24" t="n"/>
      <c r="S360" s="10">
        <f>IF(OR(D360="",R360=""),"",TODAY()-R360)</f>
        <v/>
      </c>
      <c r="T360" s="22" t="n"/>
      <c r="U360" s="24" t="n"/>
      <c r="V360" s="23" t="n"/>
      <c r="W360" s="14">
        <f>IF(OR(D360="",V360="辞退",V360="保留",P360="✅正式"),"",TRIM(IF(AND(U360&lt;&gt;"",U360&lt;TODAY()),"期日超過 ","")&amp;IF(AND(S360&lt;&gt;"",S360&gt;='設定'!$B$9),"放置"&amp;S360&amp;"日 ","")&amp;IF(AND(J360="CCS済",M360&lt;&gt;"✓"),"CCS後の申込待ち ","")&amp;IF(AND(M360="✓",N360&lt;&gt;"✓"),"振込待ち ","")&amp;IF(AND(N360="✓",O360&lt;&gt;"✓"),"同意書待ち ","")&amp;IF(T360="","次アクション未設定","")))</f>
        <v/>
      </c>
      <c r="X360" s="10" t="n"/>
      <c r="Y360" s="22" t="n"/>
    </row>
    <row r="361">
      <c r="A361" s="10">
        <f>IF(D361="","",ROW()-4)</f>
        <v/>
      </c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3" t="n"/>
      <c r="K361" s="24" t="n"/>
      <c r="L361" s="22" t="n"/>
      <c r="M361" s="23" t="n"/>
      <c r="N361" s="23" t="n"/>
      <c r="O361" s="23" t="n"/>
      <c r="P361" s="10">
        <f>IF(D361="","",IF(AND(M361="✓",N361="✓",O361="✓"),"✅正式",IF(M361&amp;N361&amp;O361="","入会前","手続き中")))</f>
        <v/>
      </c>
      <c r="Q361" s="24" t="n"/>
      <c r="R361" s="24" t="n"/>
      <c r="S361" s="10">
        <f>IF(OR(D361="",R361=""),"",TODAY()-R361)</f>
        <v/>
      </c>
      <c r="T361" s="22" t="n"/>
      <c r="U361" s="24" t="n"/>
      <c r="V361" s="23" t="n"/>
      <c r="W361" s="14">
        <f>IF(OR(D361="",V361="辞退",V361="保留",P361="✅正式"),"",TRIM(IF(AND(U361&lt;&gt;"",U361&lt;TODAY()),"期日超過 ","")&amp;IF(AND(S361&lt;&gt;"",S361&gt;='設定'!$B$9),"放置"&amp;S361&amp;"日 ","")&amp;IF(AND(J361="CCS済",M361&lt;&gt;"✓"),"CCS後の申込待ち ","")&amp;IF(AND(M361="✓",N361&lt;&gt;"✓"),"振込待ち ","")&amp;IF(AND(N361="✓",O361&lt;&gt;"✓"),"同意書待ち ","")&amp;IF(T361="","次アクション未設定","")))</f>
        <v/>
      </c>
      <c r="X361" s="10" t="n"/>
      <c r="Y361" s="22" t="n"/>
    </row>
    <row r="362">
      <c r="A362" s="10">
        <f>IF(D362="","",ROW()-4)</f>
        <v/>
      </c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3" t="n"/>
      <c r="K362" s="24" t="n"/>
      <c r="L362" s="22" t="n"/>
      <c r="M362" s="23" t="n"/>
      <c r="N362" s="23" t="n"/>
      <c r="O362" s="23" t="n"/>
      <c r="P362" s="10">
        <f>IF(D362="","",IF(AND(M362="✓",N362="✓",O362="✓"),"✅正式",IF(M362&amp;N362&amp;O362="","入会前","手続き中")))</f>
        <v/>
      </c>
      <c r="Q362" s="24" t="n"/>
      <c r="R362" s="24" t="n"/>
      <c r="S362" s="10">
        <f>IF(OR(D362="",R362=""),"",TODAY()-R362)</f>
        <v/>
      </c>
      <c r="T362" s="22" t="n"/>
      <c r="U362" s="24" t="n"/>
      <c r="V362" s="23" t="n"/>
      <c r="W362" s="14">
        <f>IF(OR(D362="",V362="辞退",V362="保留",P362="✅正式"),"",TRIM(IF(AND(U362&lt;&gt;"",U362&lt;TODAY()),"期日超過 ","")&amp;IF(AND(S362&lt;&gt;"",S362&gt;='設定'!$B$9),"放置"&amp;S362&amp;"日 ","")&amp;IF(AND(J362="CCS済",M362&lt;&gt;"✓"),"CCS後の申込待ち ","")&amp;IF(AND(M362="✓",N362&lt;&gt;"✓"),"振込待ち ","")&amp;IF(AND(N362="✓",O362&lt;&gt;"✓"),"同意書待ち ","")&amp;IF(T362="","次アクション未設定","")))</f>
        <v/>
      </c>
      <c r="X362" s="10" t="n"/>
      <c r="Y362" s="22" t="n"/>
    </row>
    <row r="363">
      <c r="A363" s="10">
        <f>IF(D363="","",ROW()-4)</f>
        <v/>
      </c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3" t="n"/>
      <c r="K363" s="24" t="n"/>
      <c r="L363" s="22" t="n"/>
      <c r="M363" s="23" t="n"/>
      <c r="N363" s="23" t="n"/>
      <c r="O363" s="23" t="n"/>
      <c r="P363" s="10">
        <f>IF(D363="","",IF(AND(M363="✓",N363="✓",O363="✓"),"✅正式",IF(M363&amp;N363&amp;O363="","入会前","手続き中")))</f>
        <v/>
      </c>
      <c r="Q363" s="24" t="n"/>
      <c r="R363" s="24" t="n"/>
      <c r="S363" s="10">
        <f>IF(OR(D363="",R363=""),"",TODAY()-R363)</f>
        <v/>
      </c>
      <c r="T363" s="22" t="n"/>
      <c r="U363" s="24" t="n"/>
      <c r="V363" s="23" t="n"/>
      <c r="W363" s="14">
        <f>IF(OR(D363="",V363="辞退",V363="保留",P363="✅正式"),"",TRIM(IF(AND(U363&lt;&gt;"",U363&lt;TODAY()),"期日超過 ","")&amp;IF(AND(S363&lt;&gt;"",S363&gt;='設定'!$B$9),"放置"&amp;S363&amp;"日 ","")&amp;IF(AND(J363="CCS済",M363&lt;&gt;"✓"),"CCS後の申込待ち ","")&amp;IF(AND(M363="✓",N363&lt;&gt;"✓"),"振込待ち ","")&amp;IF(AND(N363="✓",O363&lt;&gt;"✓"),"同意書待ち ","")&amp;IF(T363="","次アクション未設定","")))</f>
        <v/>
      </c>
      <c r="X363" s="10" t="n"/>
      <c r="Y363" s="22" t="n"/>
    </row>
    <row r="364">
      <c r="A364" s="10">
        <f>IF(D364="","",ROW()-4)</f>
        <v/>
      </c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3" t="n"/>
      <c r="K364" s="24" t="n"/>
      <c r="L364" s="22" t="n"/>
      <c r="M364" s="23" t="n"/>
      <c r="N364" s="23" t="n"/>
      <c r="O364" s="23" t="n"/>
      <c r="P364" s="10">
        <f>IF(D364="","",IF(AND(M364="✓",N364="✓",O364="✓"),"✅正式",IF(M364&amp;N364&amp;O364="","入会前","手続き中")))</f>
        <v/>
      </c>
      <c r="Q364" s="24" t="n"/>
      <c r="R364" s="24" t="n"/>
      <c r="S364" s="10">
        <f>IF(OR(D364="",R364=""),"",TODAY()-R364)</f>
        <v/>
      </c>
      <c r="T364" s="22" t="n"/>
      <c r="U364" s="24" t="n"/>
      <c r="V364" s="23" t="n"/>
      <c r="W364" s="14">
        <f>IF(OR(D364="",V364="辞退",V364="保留",P364="✅正式"),"",TRIM(IF(AND(U364&lt;&gt;"",U364&lt;TODAY()),"期日超過 ","")&amp;IF(AND(S364&lt;&gt;"",S364&gt;='設定'!$B$9),"放置"&amp;S364&amp;"日 ","")&amp;IF(AND(J364="CCS済",M364&lt;&gt;"✓"),"CCS後の申込待ち ","")&amp;IF(AND(M364="✓",N364&lt;&gt;"✓"),"振込待ち ","")&amp;IF(AND(N364="✓",O364&lt;&gt;"✓"),"同意書待ち ","")&amp;IF(T364="","次アクション未設定","")))</f>
        <v/>
      </c>
      <c r="X364" s="10" t="n"/>
      <c r="Y364" s="22" t="n"/>
    </row>
    <row r="365">
      <c r="A365" s="10">
        <f>IF(D365="","",ROW()-4)</f>
        <v/>
      </c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3" t="n"/>
      <c r="K365" s="24" t="n"/>
      <c r="L365" s="22" t="n"/>
      <c r="M365" s="23" t="n"/>
      <c r="N365" s="23" t="n"/>
      <c r="O365" s="23" t="n"/>
      <c r="P365" s="10">
        <f>IF(D365="","",IF(AND(M365="✓",N365="✓",O365="✓"),"✅正式",IF(M365&amp;N365&amp;O365="","入会前","手続き中")))</f>
        <v/>
      </c>
      <c r="Q365" s="24" t="n"/>
      <c r="R365" s="24" t="n"/>
      <c r="S365" s="10">
        <f>IF(OR(D365="",R365=""),"",TODAY()-R365)</f>
        <v/>
      </c>
      <c r="T365" s="22" t="n"/>
      <c r="U365" s="24" t="n"/>
      <c r="V365" s="23" t="n"/>
      <c r="W365" s="14">
        <f>IF(OR(D365="",V365="辞退",V365="保留",P365="✅正式"),"",TRIM(IF(AND(U365&lt;&gt;"",U365&lt;TODAY()),"期日超過 ","")&amp;IF(AND(S365&lt;&gt;"",S365&gt;='設定'!$B$9),"放置"&amp;S365&amp;"日 ","")&amp;IF(AND(J365="CCS済",M365&lt;&gt;"✓"),"CCS後の申込待ち ","")&amp;IF(AND(M365="✓",N365&lt;&gt;"✓"),"振込待ち ","")&amp;IF(AND(N365="✓",O365&lt;&gt;"✓"),"同意書待ち ","")&amp;IF(T365="","次アクション未設定","")))</f>
        <v/>
      </c>
      <c r="X365" s="10" t="n"/>
      <c r="Y365" s="22" t="n"/>
    </row>
    <row r="366">
      <c r="A366" s="10">
        <f>IF(D366="","",ROW()-4)</f>
        <v/>
      </c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3" t="n"/>
      <c r="K366" s="24" t="n"/>
      <c r="L366" s="22" t="n"/>
      <c r="M366" s="23" t="n"/>
      <c r="N366" s="23" t="n"/>
      <c r="O366" s="23" t="n"/>
      <c r="P366" s="10">
        <f>IF(D366="","",IF(AND(M366="✓",N366="✓",O366="✓"),"✅正式",IF(M366&amp;N366&amp;O366="","入会前","手続き中")))</f>
        <v/>
      </c>
      <c r="Q366" s="24" t="n"/>
      <c r="R366" s="24" t="n"/>
      <c r="S366" s="10">
        <f>IF(OR(D366="",R366=""),"",TODAY()-R366)</f>
        <v/>
      </c>
      <c r="T366" s="22" t="n"/>
      <c r="U366" s="24" t="n"/>
      <c r="V366" s="23" t="n"/>
      <c r="W366" s="14">
        <f>IF(OR(D366="",V366="辞退",V366="保留",P366="✅正式"),"",TRIM(IF(AND(U366&lt;&gt;"",U366&lt;TODAY()),"期日超過 ","")&amp;IF(AND(S366&lt;&gt;"",S366&gt;='設定'!$B$9),"放置"&amp;S366&amp;"日 ","")&amp;IF(AND(J366="CCS済",M366&lt;&gt;"✓"),"CCS後の申込待ち ","")&amp;IF(AND(M366="✓",N366&lt;&gt;"✓"),"振込待ち ","")&amp;IF(AND(N366="✓",O366&lt;&gt;"✓"),"同意書待ち ","")&amp;IF(T366="","次アクション未設定","")))</f>
        <v/>
      </c>
      <c r="X366" s="10" t="n"/>
      <c r="Y366" s="22" t="n"/>
    </row>
    <row r="367">
      <c r="A367" s="10">
        <f>IF(D367="","",ROW()-4)</f>
        <v/>
      </c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3" t="n"/>
      <c r="K367" s="24" t="n"/>
      <c r="L367" s="22" t="n"/>
      <c r="M367" s="23" t="n"/>
      <c r="N367" s="23" t="n"/>
      <c r="O367" s="23" t="n"/>
      <c r="P367" s="10">
        <f>IF(D367="","",IF(AND(M367="✓",N367="✓",O367="✓"),"✅正式",IF(M367&amp;N367&amp;O367="","入会前","手続き中")))</f>
        <v/>
      </c>
      <c r="Q367" s="24" t="n"/>
      <c r="R367" s="24" t="n"/>
      <c r="S367" s="10">
        <f>IF(OR(D367="",R367=""),"",TODAY()-R367)</f>
        <v/>
      </c>
      <c r="T367" s="22" t="n"/>
      <c r="U367" s="24" t="n"/>
      <c r="V367" s="23" t="n"/>
      <c r="W367" s="14">
        <f>IF(OR(D367="",V367="辞退",V367="保留",P367="✅正式"),"",TRIM(IF(AND(U367&lt;&gt;"",U367&lt;TODAY()),"期日超過 ","")&amp;IF(AND(S367&lt;&gt;"",S367&gt;='設定'!$B$9),"放置"&amp;S367&amp;"日 ","")&amp;IF(AND(J367="CCS済",M367&lt;&gt;"✓"),"CCS後の申込待ち ","")&amp;IF(AND(M367="✓",N367&lt;&gt;"✓"),"振込待ち ","")&amp;IF(AND(N367="✓",O367&lt;&gt;"✓"),"同意書待ち ","")&amp;IF(T367="","次アクション未設定","")))</f>
        <v/>
      </c>
      <c r="X367" s="10" t="n"/>
      <c r="Y367" s="22" t="n"/>
    </row>
    <row r="368">
      <c r="A368" s="10">
        <f>IF(D368="","",ROW()-4)</f>
        <v/>
      </c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3" t="n"/>
      <c r="K368" s="24" t="n"/>
      <c r="L368" s="22" t="n"/>
      <c r="M368" s="23" t="n"/>
      <c r="N368" s="23" t="n"/>
      <c r="O368" s="23" t="n"/>
      <c r="P368" s="10">
        <f>IF(D368="","",IF(AND(M368="✓",N368="✓",O368="✓"),"✅正式",IF(M368&amp;N368&amp;O368="","入会前","手続き中")))</f>
        <v/>
      </c>
      <c r="Q368" s="24" t="n"/>
      <c r="R368" s="24" t="n"/>
      <c r="S368" s="10">
        <f>IF(OR(D368="",R368=""),"",TODAY()-R368)</f>
        <v/>
      </c>
      <c r="T368" s="22" t="n"/>
      <c r="U368" s="24" t="n"/>
      <c r="V368" s="23" t="n"/>
      <c r="W368" s="14">
        <f>IF(OR(D368="",V368="辞退",V368="保留",P368="✅正式"),"",TRIM(IF(AND(U368&lt;&gt;"",U368&lt;TODAY()),"期日超過 ","")&amp;IF(AND(S368&lt;&gt;"",S368&gt;='設定'!$B$9),"放置"&amp;S368&amp;"日 ","")&amp;IF(AND(J368="CCS済",M368&lt;&gt;"✓"),"CCS後の申込待ち ","")&amp;IF(AND(M368="✓",N368&lt;&gt;"✓"),"振込待ち ","")&amp;IF(AND(N368="✓",O368&lt;&gt;"✓"),"同意書待ち ","")&amp;IF(T368="","次アクション未設定","")))</f>
        <v/>
      </c>
      <c r="X368" s="10" t="n"/>
      <c r="Y368" s="22" t="n"/>
    </row>
    <row r="369">
      <c r="A369" s="10">
        <f>IF(D369="","",ROW()-4)</f>
        <v/>
      </c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3" t="n"/>
      <c r="K369" s="24" t="n"/>
      <c r="L369" s="22" t="n"/>
      <c r="M369" s="23" t="n"/>
      <c r="N369" s="23" t="n"/>
      <c r="O369" s="23" t="n"/>
      <c r="P369" s="10">
        <f>IF(D369="","",IF(AND(M369="✓",N369="✓",O369="✓"),"✅正式",IF(M369&amp;N369&amp;O369="","入会前","手続き中")))</f>
        <v/>
      </c>
      <c r="Q369" s="24" t="n"/>
      <c r="R369" s="24" t="n"/>
      <c r="S369" s="10">
        <f>IF(OR(D369="",R369=""),"",TODAY()-R369)</f>
        <v/>
      </c>
      <c r="T369" s="22" t="n"/>
      <c r="U369" s="24" t="n"/>
      <c r="V369" s="23" t="n"/>
      <c r="W369" s="14">
        <f>IF(OR(D369="",V369="辞退",V369="保留",P369="✅正式"),"",TRIM(IF(AND(U369&lt;&gt;"",U369&lt;TODAY()),"期日超過 ","")&amp;IF(AND(S369&lt;&gt;"",S369&gt;='設定'!$B$9),"放置"&amp;S369&amp;"日 ","")&amp;IF(AND(J369="CCS済",M369&lt;&gt;"✓"),"CCS後の申込待ち ","")&amp;IF(AND(M369="✓",N369&lt;&gt;"✓"),"振込待ち ","")&amp;IF(AND(N369="✓",O369&lt;&gt;"✓"),"同意書待ち ","")&amp;IF(T369="","次アクション未設定","")))</f>
        <v/>
      </c>
      <c r="X369" s="10" t="n"/>
      <c r="Y369" s="22" t="n"/>
    </row>
    <row r="370">
      <c r="A370" s="10">
        <f>IF(D370="","",ROW()-4)</f>
        <v/>
      </c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3" t="n"/>
      <c r="K370" s="24" t="n"/>
      <c r="L370" s="22" t="n"/>
      <c r="M370" s="23" t="n"/>
      <c r="N370" s="23" t="n"/>
      <c r="O370" s="23" t="n"/>
      <c r="P370" s="10">
        <f>IF(D370="","",IF(AND(M370="✓",N370="✓",O370="✓"),"✅正式",IF(M370&amp;N370&amp;O370="","入会前","手続き中")))</f>
        <v/>
      </c>
      <c r="Q370" s="24" t="n"/>
      <c r="R370" s="24" t="n"/>
      <c r="S370" s="10">
        <f>IF(OR(D370="",R370=""),"",TODAY()-R370)</f>
        <v/>
      </c>
      <c r="T370" s="22" t="n"/>
      <c r="U370" s="24" t="n"/>
      <c r="V370" s="23" t="n"/>
      <c r="W370" s="14">
        <f>IF(OR(D370="",V370="辞退",V370="保留",P370="✅正式"),"",TRIM(IF(AND(U370&lt;&gt;"",U370&lt;TODAY()),"期日超過 ","")&amp;IF(AND(S370&lt;&gt;"",S370&gt;='設定'!$B$9),"放置"&amp;S370&amp;"日 ","")&amp;IF(AND(J370="CCS済",M370&lt;&gt;"✓"),"CCS後の申込待ち ","")&amp;IF(AND(M370="✓",N370&lt;&gt;"✓"),"振込待ち ","")&amp;IF(AND(N370="✓",O370&lt;&gt;"✓"),"同意書待ち ","")&amp;IF(T370="","次アクション未設定","")))</f>
        <v/>
      </c>
      <c r="X370" s="10" t="n"/>
      <c r="Y370" s="22" t="n"/>
    </row>
    <row r="371">
      <c r="A371" s="10">
        <f>IF(D371="","",ROW()-4)</f>
        <v/>
      </c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3" t="n"/>
      <c r="K371" s="24" t="n"/>
      <c r="L371" s="22" t="n"/>
      <c r="M371" s="23" t="n"/>
      <c r="N371" s="23" t="n"/>
      <c r="O371" s="23" t="n"/>
      <c r="P371" s="10">
        <f>IF(D371="","",IF(AND(M371="✓",N371="✓",O371="✓"),"✅正式",IF(M371&amp;N371&amp;O371="","入会前","手続き中")))</f>
        <v/>
      </c>
      <c r="Q371" s="24" t="n"/>
      <c r="R371" s="24" t="n"/>
      <c r="S371" s="10">
        <f>IF(OR(D371="",R371=""),"",TODAY()-R371)</f>
        <v/>
      </c>
      <c r="T371" s="22" t="n"/>
      <c r="U371" s="24" t="n"/>
      <c r="V371" s="23" t="n"/>
      <c r="W371" s="14">
        <f>IF(OR(D371="",V371="辞退",V371="保留",P371="✅正式"),"",TRIM(IF(AND(U371&lt;&gt;"",U371&lt;TODAY()),"期日超過 ","")&amp;IF(AND(S371&lt;&gt;"",S371&gt;='設定'!$B$9),"放置"&amp;S371&amp;"日 ","")&amp;IF(AND(J371="CCS済",M371&lt;&gt;"✓"),"CCS後の申込待ち ","")&amp;IF(AND(M371="✓",N371&lt;&gt;"✓"),"振込待ち ","")&amp;IF(AND(N371="✓",O371&lt;&gt;"✓"),"同意書待ち ","")&amp;IF(T371="","次アクション未設定","")))</f>
        <v/>
      </c>
      <c r="X371" s="10" t="n"/>
      <c r="Y371" s="22" t="n"/>
    </row>
    <row r="372">
      <c r="A372" s="10">
        <f>IF(D372="","",ROW()-4)</f>
        <v/>
      </c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3" t="n"/>
      <c r="K372" s="24" t="n"/>
      <c r="L372" s="22" t="n"/>
      <c r="M372" s="23" t="n"/>
      <c r="N372" s="23" t="n"/>
      <c r="O372" s="23" t="n"/>
      <c r="P372" s="10">
        <f>IF(D372="","",IF(AND(M372="✓",N372="✓",O372="✓"),"✅正式",IF(M372&amp;N372&amp;O372="","入会前","手続き中")))</f>
        <v/>
      </c>
      <c r="Q372" s="24" t="n"/>
      <c r="R372" s="24" t="n"/>
      <c r="S372" s="10">
        <f>IF(OR(D372="",R372=""),"",TODAY()-R372)</f>
        <v/>
      </c>
      <c r="T372" s="22" t="n"/>
      <c r="U372" s="24" t="n"/>
      <c r="V372" s="23" t="n"/>
      <c r="W372" s="14">
        <f>IF(OR(D372="",V372="辞退",V372="保留",P372="✅正式"),"",TRIM(IF(AND(U372&lt;&gt;"",U372&lt;TODAY()),"期日超過 ","")&amp;IF(AND(S372&lt;&gt;"",S372&gt;='設定'!$B$9),"放置"&amp;S372&amp;"日 ","")&amp;IF(AND(J372="CCS済",M372&lt;&gt;"✓"),"CCS後の申込待ち ","")&amp;IF(AND(M372="✓",N372&lt;&gt;"✓"),"振込待ち ","")&amp;IF(AND(N372="✓",O372&lt;&gt;"✓"),"同意書待ち ","")&amp;IF(T372="","次アクション未設定","")))</f>
        <v/>
      </c>
      <c r="X372" s="10" t="n"/>
      <c r="Y372" s="22" t="n"/>
    </row>
    <row r="373">
      <c r="A373" s="10">
        <f>IF(D373="","",ROW()-4)</f>
        <v/>
      </c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3" t="n"/>
      <c r="K373" s="24" t="n"/>
      <c r="L373" s="22" t="n"/>
      <c r="M373" s="23" t="n"/>
      <c r="N373" s="23" t="n"/>
      <c r="O373" s="23" t="n"/>
      <c r="P373" s="10">
        <f>IF(D373="","",IF(AND(M373="✓",N373="✓",O373="✓"),"✅正式",IF(M373&amp;N373&amp;O373="","入会前","手続き中")))</f>
        <v/>
      </c>
      <c r="Q373" s="24" t="n"/>
      <c r="R373" s="24" t="n"/>
      <c r="S373" s="10">
        <f>IF(OR(D373="",R373=""),"",TODAY()-R373)</f>
        <v/>
      </c>
      <c r="T373" s="22" t="n"/>
      <c r="U373" s="24" t="n"/>
      <c r="V373" s="23" t="n"/>
      <c r="W373" s="14">
        <f>IF(OR(D373="",V373="辞退",V373="保留",P373="✅正式"),"",TRIM(IF(AND(U373&lt;&gt;"",U373&lt;TODAY()),"期日超過 ","")&amp;IF(AND(S373&lt;&gt;"",S373&gt;='設定'!$B$9),"放置"&amp;S373&amp;"日 ","")&amp;IF(AND(J373="CCS済",M373&lt;&gt;"✓"),"CCS後の申込待ち ","")&amp;IF(AND(M373="✓",N373&lt;&gt;"✓"),"振込待ち ","")&amp;IF(AND(N373="✓",O373&lt;&gt;"✓"),"同意書待ち ","")&amp;IF(T373="","次アクション未設定","")))</f>
        <v/>
      </c>
      <c r="X373" s="10" t="n"/>
      <c r="Y373" s="22" t="n"/>
    </row>
    <row r="374">
      <c r="A374" s="10">
        <f>IF(D374="","",ROW()-4)</f>
        <v/>
      </c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3" t="n"/>
      <c r="K374" s="24" t="n"/>
      <c r="L374" s="22" t="n"/>
      <c r="M374" s="23" t="n"/>
      <c r="N374" s="23" t="n"/>
      <c r="O374" s="23" t="n"/>
      <c r="P374" s="10">
        <f>IF(D374="","",IF(AND(M374="✓",N374="✓",O374="✓"),"✅正式",IF(M374&amp;N374&amp;O374="","入会前","手続き中")))</f>
        <v/>
      </c>
      <c r="Q374" s="24" t="n"/>
      <c r="R374" s="24" t="n"/>
      <c r="S374" s="10">
        <f>IF(OR(D374="",R374=""),"",TODAY()-R374)</f>
        <v/>
      </c>
      <c r="T374" s="22" t="n"/>
      <c r="U374" s="24" t="n"/>
      <c r="V374" s="23" t="n"/>
      <c r="W374" s="14">
        <f>IF(OR(D374="",V374="辞退",V374="保留",P374="✅正式"),"",TRIM(IF(AND(U374&lt;&gt;"",U374&lt;TODAY()),"期日超過 ","")&amp;IF(AND(S374&lt;&gt;"",S374&gt;='設定'!$B$9),"放置"&amp;S374&amp;"日 ","")&amp;IF(AND(J374="CCS済",M374&lt;&gt;"✓"),"CCS後の申込待ち ","")&amp;IF(AND(M374="✓",N374&lt;&gt;"✓"),"振込待ち ","")&amp;IF(AND(N374="✓",O374&lt;&gt;"✓"),"同意書待ち ","")&amp;IF(T374="","次アクション未設定","")))</f>
        <v/>
      </c>
      <c r="X374" s="10" t="n"/>
      <c r="Y374" s="22" t="n"/>
    </row>
    <row r="375">
      <c r="A375" s="10">
        <f>IF(D375="","",ROW()-4)</f>
        <v/>
      </c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3" t="n"/>
      <c r="K375" s="24" t="n"/>
      <c r="L375" s="22" t="n"/>
      <c r="M375" s="23" t="n"/>
      <c r="N375" s="23" t="n"/>
      <c r="O375" s="23" t="n"/>
      <c r="P375" s="10">
        <f>IF(D375="","",IF(AND(M375="✓",N375="✓",O375="✓"),"✅正式",IF(M375&amp;N375&amp;O375="","入会前","手続き中")))</f>
        <v/>
      </c>
      <c r="Q375" s="24" t="n"/>
      <c r="R375" s="24" t="n"/>
      <c r="S375" s="10">
        <f>IF(OR(D375="",R375=""),"",TODAY()-R375)</f>
        <v/>
      </c>
      <c r="T375" s="22" t="n"/>
      <c r="U375" s="24" t="n"/>
      <c r="V375" s="23" t="n"/>
      <c r="W375" s="14">
        <f>IF(OR(D375="",V375="辞退",V375="保留",P375="✅正式"),"",TRIM(IF(AND(U375&lt;&gt;"",U375&lt;TODAY()),"期日超過 ","")&amp;IF(AND(S375&lt;&gt;"",S375&gt;='設定'!$B$9),"放置"&amp;S375&amp;"日 ","")&amp;IF(AND(J375="CCS済",M375&lt;&gt;"✓"),"CCS後の申込待ち ","")&amp;IF(AND(M375="✓",N375&lt;&gt;"✓"),"振込待ち ","")&amp;IF(AND(N375="✓",O375&lt;&gt;"✓"),"同意書待ち ","")&amp;IF(T375="","次アクション未設定","")))</f>
        <v/>
      </c>
      <c r="X375" s="10" t="n"/>
      <c r="Y375" s="22" t="n"/>
    </row>
    <row r="376">
      <c r="A376" s="10">
        <f>IF(D376="","",ROW()-4)</f>
        <v/>
      </c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3" t="n"/>
      <c r="K376" s="24" t="n"/>
      <c r="L376" s="22" t="n"/>
      <c r="M376" s="23" t="n"/>
      <c r="N376" s="23" t="n"/>
      <c r="O376" s="23" t="n"/>
      <c r="P376" s="10">
        <f>IF(D376="","",IF(AND(M376="✓",N376="✓",O376="✓"),"✅正式",IF(M376&amp;N376&amp;O376="","入会前","手続き中")))</f>
        <v/>
      </c>
      <c r="Q376" s="24" t="n"/>
      <c r="R376" s="24" t="n"/>
      <c r="S376" s="10">
        <f>IF(OR(D376="",R376=""),"",TODAY()-R376)</f>
        <v/>
      </c>
      <c r="T376" s="22" t="n"/>
      <c r="U376" s="24" t="n"/>
      <c r="V376" s="23" t="n"/>
      <c r="W376" s="14">
        <f>IF(OR(D376="",V376="辞退",V376="保留",P376="✅正式"),"",TRIM(IF(AND(U376&lt;&gt;"",U376&lt;TODAY()),"期日超過 ","")&amp;IF(AND(S376&lt;&gt;"",S376&gt;='設定'!$B$9),"放置"&amp;S376&amp;"日 ","")&amp;IF(AND(J376="CCS済",M376&lt;&gt;"✓"),"CCS後の申込待ち ","")&amp;IF(AND(M376="✓",N376&lt;&gt;"✓"),"振込待ち ","")&amp;IF(AND(N376="✓",O376&lt;&gt;"✓"),"同意書待ち ","")&amp;IF(T376="","次アクション未設定","")))</f>
        <v/>
      </c>
      <c r="X376" s="10" t="n"/>
      <c r="Y376" s="22" t="n"/>
    </row>
    <row r="377">
      <c r="A377" s="10">
        <f>IF(D377="","",ROW()-4)</f>
        <v/>
      </c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3" t="n"/>
      <c r="K377" s="24" t="n"/>
      <c r="L377" s="22" t="n"/>
      <c r="M377" s="23" t="n"/>
      <c r="N377" s="23" t="n"/>
      <c r="O377" s="23" t="n"/>
      <c r="P377" s="10">
        <f>IF(D377="","",IF(AND(M377="✓",N377="✓",O377="✓"),"✅正式",IF(M377&amp;N377&amp;O377="","入会前","手続き中")))</f>
        <v/>
      </c>
      <c r="Q377" s="24" t="n"/>
      <c r="R377" s="24" t="n"/>
      <c r="S377" s="10">
        <f>IF(OR(D377="",R377=""),"",TODAY()-R377)</f>
        <v/>
      </c>
      <c r="T377" s="22" t="n"/>
      <c r="U377" s="24" t="n"/>
      <c r="V377" s="23" t="n"/>
      <c r="W377" s="14">
        <f>IF(OR(D377="",V377="辞退",V377="保留",P377="✅正式"),"",TRIM(IF(AND(U377&lt;&gt;"",U377&lt;TODAY()),"期日超過 ","")&amp;IF(AND(S377&lt;&gt;"",S377&gt;='設定'!$B$9),"放置"&amp;S377&amp;"日 ","")&amp;IF(AND(J377="CCS済",M377&lt;&gt;"✓"),"CCS後の申込待ち ","")&amp;IF(AND(M377="✓",N377&lt;&gt;"✓"),"振込待ち ","")&amp;IF(AND(N377="✓",O377&lt;&gt;"✓"),"同意書待ち ","")&amp;IF(T377="","次アクション未設定","")))</f>
        <v/>
      </c>
      <c r="X377" s="10" t="n"/>
      <c r="Y377" s="22" t="n"/>
    </row>
    <row r="378">
      <c r="A378" s="10">
        <f>IF(D378="","",ROW()-4)</f>
        <v/>
      </c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3" t="n"/>
      <c r="K378" s="24" t="n"/>
      <c r="L378" s="22" t="n"/>
      <c r="M378" s="23" t="n"/>
      <c r="N378" s="23" t="n"/>
      <c r="O378" s="23" t="n"/>
      <c r="P378" s="10">
        <f>IF(D378="","",IF(AND(M378="✓",N378="✓",O378="✓"),"✅正式",IF(M378&amp;N378&amp;O378="","入会前","手続き中")))</f>
        <v/>
      </c>
      <c r="Q378" s="24" t="n"/>
      <c r="R378" s="24" t="n"/>
      <c r="S378" s="10">
        <f>IF(OR(D378="",R378=""),"",TODAY()-R378)</f>
        <v/>
      </c>
      <c r="T378" s="22" t="n"/>
      <c r="U378" s="24" t="n"/>
      <c r="V378" s="23" t="n"/>
      <c r="W378" s="14">
        <f>IF(OR(D378="",V378="辞退",V378="保留",P378="✅正式"),"",TRIM(IF(AND(U378&lt;&gt;"",U378&lt;TODAY()),"期日超過 ","")&amp;IF(AND(S378&lt;&gt;"",S378&gt;='設定'!$B$9),"放置"&amp;S378&amp;"日 ","")&amp;IF(AND(J378="CCS済",M378&lt;&gt;"✓"),"CCS後の申込待ち ","")&amp;IF(AND(M378="✓",N378&lt;&gt;"✓"),"振込待ち ","")&amp;IF(AND(N378="✓",O378&lt;&gt;"✓"),"同意書待ち ","")&amp;IF(T378="","次アクション未設定","")))</f>
        <v/>
      </c>
      <c r="X378" s="10" t="n"/>
      <c r="Y378" s="22" t="n"/>
    </row>
    <row r="379">
      <c r="A379" s="10">
        <f>IF(D379="","",ROW()-4)</f>
        <v/>
      </c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3" t="n"/>
      <c r="K379" s="24" t="n"/>
      <c r="L379" s="22" t="n"/>
      <c r="M379" s="23" t="n"/>
      <c r="N379" s="23" t="n"/>
      <c r="O379" s="23" t="n"/>
      <c r="P379" s="10">
        <f>IF(D379="","",IF(AND(M379="✓",N379="✓",O379="✓"),"✅正式",IF(M379&amp;N379&amp;O379="","入会前","手続き中")))</f>
        <v/>
      </c>
      <c r="Q379" s="24" t="n"/>
      <c r="R379" s="24" t="n"/>
      <c r="S379" s="10">
        <f>IF(OR(D379="",R379=""),"",TODAY()-R379)</f>
        <v/>
      </c>
      <c r="T379" s="22" t="n"/>
      <c r="U379" s="24" t="n"/>
      <c r="V379" s="23" t="n"/>
      <c r="W379" s="14">
        <f>IF(OR(D379="",V379="辞退",V379="保留",P379="✅正式"),"",TRIM(IF(AND(U379&lt;&gt;"",U379&lt;TODAY()),"期日超過 ","")&amp;IF(AND(S379&lt;&gt;"",S379&gt;='設定'!$B$9),"放置"&amp;S379&amp;"日 ","")&amp;IF(AND(J379="CCS済",M379&lt;&gt;"✓"),"CCS後の申込待ち ","")&amp;IF(AND(M379="✓",N379&lt;&gt;"✓"),"振込待ち ","")&amp;IF(AND(N379="✓",O379&lt;&gt;"✓"),"同意書待ち ","")&amp;IF(T379="","次アクション未設定","")))</f>
        <v/>
      </c>
      <c r="X379" s="10" t="n"/>
      <c r="Y379" s="22" t="n"/>
    </row>
    <row r="380">
      <c r="A380" s="10">
        <f>IF(D380="","",ROW()-4)</f>
        <v/>
      </c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3" t="n"/>
      <c r="K380" s="24" t="n"/>
      <c r="L380" s="22" t="n"/>
      <c r="M380" s="23" t="n"/>
      <c r="N380" s="23" t="n"/>
      <c r="O380" s="23" t="n"/>
      <c r="P380" s="10">
        <f>IF(D380="","",IF(AND(M380="✓",N380="✓",O380="✓"),"✅正式",IF(M380&amp;N380&amp;O380="","入会前","手続き中")))</f>
        <v/>
      </c>
      <c r="Q380" s="24" t="n"/>
      <c r="R380" s="24" t="n"/>
      <c r="S380" s="10">
        <f>IF(OR(D380="",R380=""),"",TODAY()-R380)</f>
        <v/>
      </c>
      <c r="T380" s="22" t="n"/>
      <c r="U380" s="24" t="n"/>
      <c r="V380" s="23" t="n"/>
      <c r="W380" s="14">
        <f>IF(OR(D380="",V380="辞退",V380="保留",P380="✅正式"),"",TRIM(IF(AND(U380&lt;&gt;"",U380&lt;TODAY()),"期日超過 ","")&amp;IF(AND(S380&lt;&gt;"",S380&gt;='設定'!$B$9),"放置"&amp;S380&amp;"日 ","")&amp;IF(AND(J380="CCS済",M380&lt;&gt;"✓"),"CCS後の申込待ち ","")&amp;IF(AND(M380="✓",N380&lt;&gt;"✓"),"振込待ち ","")&amp;IF(AND(N380="✓",O380&lt;&gt;"✓"),"同意書待ち ","")&amp;IF(T380="","次アクション未設定","")))</f>
        <v/>
      </c>
      <c r="X380" s="10" t="n"/>
      <c r="Y380" s="22" t="n"/>
    </row>
    <row r="381">
      <c r="A381" s="10">
        <f>IF(D381="","",ROW()-4)</f>
        <v/>
      </c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3" t="n"/>
      <c r="K381" s="24" t="n"/>
      <c r="L381" s="22" t="n"/>
      <c r="M381" s="23" t="n"/>
      <c r="N381" s="23" t="n"/>
      <c r="O381" s="23" t="n"/>
      <c r="P381" s="10">
        <f>IF(D381="","",IF(AND(M381="✓",N381="✓",O381="✓"),"✅正式",IF(M381&amp;N381&amp;O381="","入会前","手続き中")))</f>
        <v/>
      </c>
      <c r="Q381" s="24" t="n"/>
      <c r="R381" s="24" t="n"/>
      <c r="S381" s="10">
        <f>IF(OR(D381="",R381=""),"",TODAY()-R381)</f>
        <v/>
      </c>
      <c r="T381" s="22" t="n"/>
      <c r="U381" s="24" t="n"/>
      <c r="V381" s="23" t="n"/>
      <c r="W381" s="14">
        <f>IF(OR(D381="",V381="辞退",V381="保留",P381="✅正式"),"",TRIM(IF(AND(U381&lt;&gt;"",U381&lt;TODAY()),"期日超過 ","")&amp;IF(AND(S381&lt;&gt;"",S381&gt;='設定'!$B$9),"放置"&amp;S381&amp;"日 ","")&amp;IF(AND(J381="CCS済",M381&lt;&gt;"✓"),"CCS後の申込待ち ","")&amp;IF(AND(M381="✓",N381&lt;&gt;"✓"),"振込待ち ","")&amp;IF(AND(N381="✓",O381&lt;&gt;"✓"),"同意書待ち ","")&amp;IF(T381="","次アクション未設定","")))</f>
        <v/>
      </c>
      <c r="X381" s="10" t="n"/>
      <c r="Y381" s="22" t="n"/>
    </row>
    <row r="382">
      <c r="A382" s="10">
        <f>IF(D382="","",ROW()-4)</f>
        <v/>
      </c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3" t="n"/>
      <c r="K382" s="24" t="n"/>
      <c r="L382" s="22" t="n"/>
      <c r="M382" s="23" t="n"/>
      <c r="N382" s="23" t="n"/>
      <c r="O382" s="23" t="n"/>
      <c r="P382" s="10">
        <f>IF(D382="","",IF(AND(M382="✓",N382="✓",O382="✓"),"✅正式",IF(M382&amp;N382&amp;O382="","入会前","手続き中")))</f>
        <v/>
      </c>
      <c r="Q382" s="24" t="n"/>
      <c r="R382" s="24" t="n"/>
      <c r="S382" s="10">
        <f>IF(OR(D382="",R382=""),"",TODAY()-R382)</f>
        <v/>
      </c>
      <c r="T382" s="22" t="n"/>
      <c r="U382" s="24" t="n"/>
      <c r="V382" s="23" t="n"/>
      <c r="W382" s="14">
        <f>IF(OR(D382="",V382="辞退",V382="保留",P382="✅正式"),"",TRIM(IF(AND(U382&lt;&gt;"",U382&lt;TODAY()),"期日超過 ","")&amp;IF(AND(S382&lt;&gt;"",S382&gt;='設定'!$B$9),"放置"&amp;S382&amp;"日 ","")&amp;IF(AND(J382="CCS済",M382&lt;&gt;"✓"),"CCS後の申込待ち ","")&amp;IF(AND(M382="✓",N382&lt;&gt;"✓"),"振込待ち ","")&amp;IF(AND(N382="✓",O382&lt;&gt;"✓"),"同意書待ち ","")&amp;IF(T382="","次アクション未設定","")))</f>
        <v/>
      </c>
      <c r="X382" s="10" t="n"/>
      <c r="Y382" s="22" t="n"/>
    </row>
    <row r="383">
      <c r="A383" s="10">
        <f>IF(D383="","",ROW()-4)</f>
        <v/>
      </c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3" t="n"/>
      <c r="K383" s="24" t="n"/>
      <c r="L383" s="22" t="n"/>
      <c r="M383" s="23" t="n"/>
      <c r="N383" s="23" t="n"/>
      <c r="O383" s="23" t="n"/>
      <c r="P383" s="10">
        <f>IF(D383="","",IF(AND(M383="✓",N383="✓",O383="✓"),"✅正式",IF(M383&amp;N383&amp;O383="","入会前","手続き中")))</f>
        <v/>
      </c>
      <c r="Q383" s="24" t="n"/>
      <c r="R383" s="24" t="n"/>
      <c r="S383" s="10">
        <f>IF(OR(D383="",R383=""),"",TODAY()-R383)</f>
        <v/>
      </c>
      <c r="T383" s="22" t="n"/>
      <c r="U383" s="24" t="n"/>
      <c r="V383" s="23" t="n"/>
      <c r="W383" s="14">
        <f>IF(OR(D383="",V383="辞退",V383="保留",P383="✅正式"),"",TRIM(IF(AND(U383&lt;&gt;"",U383&lt;TODAY()),"期日超過 ","")&amp;IF(AND(S383&lt;&gt;"",S383&gt;='設定'!$B$9),"放置"&amp;S383&amp;"日 ","")&amp;IF(AND(J383="CCS済",M383&lt;&gt;"✓"),"CCS後の申込待ち ","")&amp;IF(AND(M383="✓",N383&lt;&gt;"✓"),"振込待ち ","")&amp;IF(AND(N383="✓",O383&lt;&gt;"✓"),"同意書待ち ","")&amp;IF(T383="","次アクション未設定","")))</f>
        <v/>
      </c>
      <c r="X383" s="10" t="n"/>
      <c r="Y383" s="22" t="n"/>
    </row>
    <row r="384">
      <c r="A384" s="10">
        <f>IF(D384="","",ROW()-4)</f>
        <v/>
      </c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3" t="n"/>
      <c r="K384" s="24" t="n"/>
      <c r="L384" s="22" t="n"/>
      <c r="M384" s="23" t="n"/>
      <c r="N384" s="23" t="n"/>
      <c r="O384" s="23" t="n"/>
      <c r="P384" s="10">
        <f>IF(D384="","",IF(AND(M384="✓",N384="✓",O384="✓"),"✅正式",IF(M384&amp;N384&amp;O384="","入会前","手続き中")))</f>
        <v/>
      </c>
      <c r="Q384" s="24" t="n"/>
      <c r="R384" s="24" t="n"/>
      <c r="S384" s="10">
        <f>IF(OR(D384="",R384=""),"",TODAY()-R384)</f>
        <v/>
      </c>
      <c r="T384" s="22" t="n"/>
      <c r="U384" s="24" t="n"/>
      <c r="V384" s="23" t="n"/>
      <c r="W384" s="14">
        <f>IF(OR(D384="",V384="辞退",V384="保留",P384="✅正式"),"",TRIM(IF(AND(U384&lt;&gt;"",U384&lt;TODAY()),"期日超過 ","")&amp;IF(AND(S384&lt;&gt;"",S384&gt;='設定'!$B$9),"放置"&amp;S384&amp;"日 ","")&amp;IF(AND(J384="CCS済",M384&lt;&gt;"✓"),"CCS後の申込待ち ","")&amp;IF(AND(M384="✓",N384&lt;&gt;"✓"),"振込待ち ","")&amp;IF(AND(N384="✓",O384&lt;&gt;"✓"),"同意書待ち ","")&amp;IF(T384="","次アクション未設定","")))</f>
        <v/>
      </c>
      <c r="X384" s="10" t="n"/>
      <c r="Y384" s="22" t="n"/>
    </row>
    <row r="385">
      <c r="A385" s="10">
        <f>IF(D385="","",ROW()-4)</f>
        <v/>
      </c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3" t="n"/>
      <c r="K385" s="24" t="n"/>
      <c r="L385" s="22" t="n"/>
      <c r="M385" s="23" t="n"/>
      <c r="N385" s="23" t="n"/>
      <c r="O385" s="23" t="n"/>
      <c r="P385" s="10">
        <f>IF(D385="","",IF(AND(M385="✓",N385="✓",O385="✓"),"✅正式",IF(M385&amp;N385&amp;O385="","入会前","手続き中")))</f>
        <v/>
      </c>
      <c r="Q385" s="24" t="n"/>
      <c r="R385" s="24" t="n"/>
      <c r="S385" s="10">
        <f>IF(OR(D385="",R385=""),"",TODAY()-R385)</f>
        <v/>
      </c>
      <c r="T385" s="22" t="n"/>
      <c r="U385" s="24" t="n"/>
      <c r="V385" s="23" t="n"/>
      <c r="W385" s="14">
        <f>IF(OR(D385="",V385="辞退",V385="保留",P385="✅正式"),"",TRIM(IF(AND(U385&lt;&gt;"",U385&lt;TODAY()),"期日超過 ","")&amp;IF(AND(S385&lt;&gt;"",S385&gt;='設定'!$B$9),"放置"&amp;S385&amp;"日 ","")&amp;IF(AND(J385="CCS済",M385&lt;&gt;"✓"),"CCS後の申込待ち ","")&amp;IF(AND(M385="✓",N385&lt;&gt;"✓"),"振込待ち ","")&amp;IF(AND(N385="✓",O385&lt;&gt;"✓"),"同意書待ち ","")&amp;IF(T385="","次アクション未設定","")))</f>
        <v/>
      </c>
      <c r="X385" s="10" t="n"/>
      <c r="Y385" s="22" t="n"/>
    </row>
    <row r="386">
      <c r="A386" s="10">
        <f>IF(D386="","",ROW()-4)</f>
        <v/>
      </c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3" t="n"/>
      <c r="K386" s="24" t="n"/>
      <c r="L386" s="22" t="n"/>
      <c r="M386" s="23" t="n"/>
      <c r="N386" s="23" t="n"/>
      <c r="O386" s="23" t="n"/>
      <c r="P386" s="10">
        <f>IF(D386="","",IF(AND(M386="✓",N386="✓",O386="✓"),"✅正式",IF(M386&amp;N386&amp;O386="","入会前","手続き中")))</f>
        <v/>
      </c>
      <c r="Q386" s="24" t="n"/>
      <c r="R386" s="24" t="n"/>
      <c r="S386" s="10">
        <f>IF(OR(D386="",R386=""),"",TODAY()-R386)</f>
        <v/>
      </c>
      <c r="T386" s="22" t="n"/>
      <c r="U386" s="24" t="n"/>
      <c r="V386" s="23" t="n"/>
      <c r="W386" s="14">
        <f>IF(OR(D386="",V386="辞退",V386="保留",P386="✅正式"),"",TRIM(IF(AND(U386&lt;&gt;"",U386&lt;TODAY()),"期日超過 ","")&amp;IF(AND(S386&lt;&gt;"",S386&gt;='設定'!$B$9),"放置"&amp;S386&amp;"日 ","")&amp;IF(AND(J386="CCS済",M386&lt;&gt;"✓"),"CCS後の申込待ち ","")&amp;IF(AND(M386="✓",N386&lt;&gt;"✓"),"振込待ち ","")&amp;IF(AND(N386="✓",O386&lt;&gt;"✓"),"同意書待ち ","")&amp;IF(T386="","次アクション未設定","")))</f>
        <v/>
      </c>
      <c r="X386" s="10" t="n"/>
      <c r="Y386" s="22" t="n"/>
    </row>
    <row r="387">
      <c r="A387" s="10">
        <f>IF(D387="","",ROW()-4)</f>
        <v/>
      </c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3" t="n"/>
      <c r="K387" s="24" t="n"/>
      <c r="L387" s="22" t="n"/>
      <c r="M387" s="23" t="n"/>
      <c r="N387" s="23" t="n"/>
      <c r="O387" s="23" t="n"/>
      <c r="P387" s="10">
        <f>IF(D387="","",IF(AND(M387="✓",N387="✓",O387="✓"),"✅正式",IF(M387&amp;N387&amp;O387="","入会前","手続き中")))</f>
        <v/>
      </c>
      <c r="Q387" s="24" t="n"/>
      <c r="R387" s="24" t="n"/>
      <c r="S387" s="10">
        <f>IF(OR(D387="",R387=""),"",TODAY()-R387)</f>
        <v/>
      </c>
      <c r="T387" s="22" t="n"/>
      <c r="U387" s="24" t="n"/>
      <c r="V387" s="23" t="n"/>
      <c r="W387" s="14">
        <f>IF(OR(D387="",V387="辞退",V387="保留",P387="✅正式"),"",TRIM(IF(AND(U387&lt;&gt;"",U387&lt;TODAY()),"期日超過 ","")&amp;IF(AND(S387&lt;&gt;"",S387&gt;='設定'!$B$9),"放置"&amp;S387&amp;"日 ","")&amp;IF(AND(J387="CCS済",M387&lt;&gt;"✓"),"CCS後の申込待ち ","")&amp;IF(AND(M387="✓",N387&lt;&gt;"✓"),"振込待ち ","")&amp;IF(AND(N387="✓",O387&lt;&gt;"✓"),"同意書待ち ","")&amp;IF(T387="","次アクション未設定","")))</f>
        <v/>
      </c>
      <c r="X387" s="10" t="n"/>
      <c r="Y387" s="22" t="n"/>
    </row>
    <row r="388">
      <c r="A388" s="10">
        <f>IF(D388="","",ROW()-4)</f>
        <v/>
      </c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3" t="n"/>
      <c r="K388" s="24" t="n"/>
      <c r="L388" s="22" t="n"/>
      <c r="M388" s="23" t="n"/>
      <c r="N388" s="23" t="n"/>
      <c r="O388" s="23" t="n"/>
      <c r="P388" s="10">
        <f>IF(D388="","",IF(AND(M388="✓",N388="✓",O388="✓"),"✅正式",IF(M388&amp;N388&amp;O388="","入会前","手続き中")))</f>
        <v/>
      </c>
      <c r="Q388" s="24" t="n"/>
      <c r="R388" s="24" t="n"/>
      <c r="S388" s="10">
        <f>IF(OR(D388="",R388=""),"",TODAY()-R388)</f>
        <v/>
      </c>
      <c r="T388" s="22" t="n"/>
      <c r="U388" s="24" t="n"/>
      <c r="V388" s="23" t="n"/>
      <c r="W388" s="14">
        <f>IF(OR(D388="",V388="辞退",V388="保留",P388="✅正式"),"",TRIM(IF(AND(U388&lt;&gt;"",U388&lt;TODAY()),"期日超過 ","")&amp;IF(AND(S388&lt;&gt;"",S388&gt;='設定'!$B$9),"放置"&amp;S388&amp;"日 ","")&amp;IF(AND(J388="CCS済",M388&lt;&gt;"✓"),"CCS後の申込待ち ","")&amp;IF(AND(M388="✓",N388&lt;&gt;"✓"),"振込待ち ","")&amp;IF(AND(N388="✓",O388&lt;&gt;"✓"),"同意書待ち ","")&amp;IF(T388="","次アクション未設定","")))</f>
        <v/>
      </c>
      <c r="X388" s="10" t="n"/>
      <c r="Y388" s="22" t="n"/>
    </row>
    <row r="389">
      <c r="A389" s="10">
        <f>IF(D389="","",ROW()-4)</f>
        <v/>
      </c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3" t="n"/>
      <c r="K389" s="24" t="n"/>
      <c r="L389" s="22" t="n"/>
      <c r="M389" s="23" t="n"/>
      <c r="N389" s="23" t="n"/>
      <c r="O389" s="23" t="n"/>
      <c r="P389" s="10">
        <f>IF(D389="","",IF(AND(M389="✓",N389="✓",O389="✓"),"✅正式",IF(M389&amp;N389&amp;O389="","入会前","手続き中")))</f>
        <v/>
      </c>
      <c r="Q389" s="24" t="n"/>
      <c r="R389" s="24" t="n"/>
      <c r="S389" s="10">
        <f>IF(OR(D389="",R389=""),"",TODAY()-R389)</f>
        <v/>
      </c>
      <c r="T389" s="22" t="n"/>
      <c r="U389" s="24" t="n"/>
      <c r="V389" s="23" t="n"/>
      <c r="W389" s="14">
        <f>IF(OR(D389="",V389="辞退",V389="保留",P389="✅正式"),"",TRIM(IF(AND(U389&lt;&gt;"",U389&lt;TODAY()),"期日超過 ","")&amp;IF(AND(S389&lt;&gt;"",S389&gt;='設定'!$B$9),"放置"&amp;S389&amp;"日 ","")&amp;IF(AND(J389="CCS済",M389&lt;&gt;"✓"),"CCS後の申込待ち ","")&amp;IF(AND(M389="✓",N389&lt;&gt;"✓"),"振込待ち ","")&amp;IF(AND(N389="✓",O389&lt;&gt;"✓"),"同意書待ち ","")&amp;IF(T389="","次アクション未設定","")))</f>
        <v/>
      </c>
      <c r="X389" s="10" t="n"/>
      <c r="Y389" s="22" t="n"/>
    </row>
    <row r="390">
      <c r="A390" s="10">
        <f>IF(D390="","",ROW()-4)</f>
        <v/>
      </c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3" t="n"/>
      <c r="K390" s="24" t="n"/>
      <c r="L390" s="22" t="n"/>
      <c r="M390" s="23" t="n"/>
      <c r="N390" s="23" t="n"/>
      <c r="O390" s="23" t="n"/>
      <c r="P390" s="10">
        <f>IF(D390="","",IF(AND(M390="✓",N390="✓",O390="✓"),"✅正式",IF(M390&amp;N390&amp;O390="","入会前","手続き中")))</f>
        <v/>
      </c>
      <c r="Q390" s="24" t="n"/>
      <c r="R390" s="24" t="n"/>
      <c r="S390" s="10">
        <f>IF(OR(D390="",R390=""),"",TODAY()-R390)</f>
        <v/>
      </c>
      <c r="T390" s="22" t="n"/>
      <c r="U390" s="24" t="n"/>
      <c r="V390" s="23" t="n"/>
      <c r="W390" s="14">
        <f>IF(OR(D390="",V390="辞退",V390="保留",P390="✅正式"),"",TRIM(IF(AND(U390&lt;&gt;"",U390&lt;TODAY()),"期日超過 ","")&amp;IF(AND(S390&lt;&gt;"",S390&gt;='設定'!$B$9),"放置"&amp;S390&amp;"日 ","")&amp;IF(AND(J390="CCS済",M390&lt;&gt;"✓"),"CCS後の申込待ち ","")&amp;IF(AND(M390="✓",N390&lt;&gt;"✓"),"振込待ち ","")&amp;IF(AND(N390="✓",O390&lt;&gt;"✓"),"同意書待ち ","")&amp;IF(T390="","次アクション未設定","")))</f>
        <v/>
      </c>
      <c r="X390" s="10" t="n"/>
      <c r="Y390" s="22" t="n"/>
    </row>
    <row r="391">
      <c r="A391" s="10">
        <f>IF(D391="","",ROW()-4)</f>
        <v/>
      </c>
      <c r="B391" s="22" t="n"/>
      <c r="C391" s="22" t="n"/>
      <c r="D391" s="22" t="n"/>
      <c r="E391" s="22" t="n"/>
      <c r="F391" s="22" t="n"/>
      <c r="G391" s="22" t="n"/>
      <c r="H391" s="22" t="n"/>
      <c r="I391" s="22" t="n"/>
      <c r="J391" s="23" t="n"/>
      <c r="K391" s="24" t="n"/>
      <c r="L391" s="22" t="n"/>
      <c r="M391" s="23" t="n"/>
      <c r="N391" s="23" t="n"/>
      <c r="O391" s="23" t="n"/>
      <c r="P391" s="10">
        <f>IF(D391="","",IF(AND(M391="✓",N391="✓",O391="✓"),"✅正式",IF(M391&amp;N391&amp;O391="","入会前","手続き中")))</f>
        <v/>
      </c>
      <c r="Q391" s="24" t="n"/>
      <c r="R391" s="24" t="n"/>
      <c r="S391" s="10">
        <f>IF(OR(D391="",R391=""),"",TODAY()-R391)</f>
        <v/>
      </c>
      <c r="T391" s="22" t="n"/>
      <c r="U391" s="24" t="n"/>
      <c r="V391" s="23" t="n"/>
      <c r="W391" s="14">
        <f>IF(OR(D391="",V391="辞退",V391="保留",P391="✅正式"),"",TRIM(IF(AND(U391&lt;&gt;"",U391&lt;TODAY()),"期日超過 ","")&amp;IF(AND(S391&lt;&gt;"",S391&gt;='設定'!$B$9),"放置"&amp;S391&amp;"日 ","")&amp;IF(AND(J391="CCS済",M391&lt;&gt;"✓"),"CCS後の申込待ち ","")&amp;IF(AND(M391="✓",N391&lt;&gt;"✓"),"振込待ち ","")&amp;IF(AND(N391="✓",O391&lt;&gt;"✓"),"同意書待ち ","")&amp;IF(T391="","次アクション未設定","")))</f>
        <v/>
      </c>
      <c r="X391" s="10" t="n"/>
      <c r="Y391" s="22" t="n"/>
    </row>
    <row r="392">
      <c r="A392" s="10">
        <f>IF(D392="","",ROW()-4)</f>
        <v/>
      </c>
      <c r="B392" s="22" t="n"/>
      <c r="C392" s="22" t="n"/>
      <c r="D392" s="22" t="n"/>
      <c r="E392" s="22" t="n"/>
      <c r="F392" s="22" t="n"/>
      <c r="G392" s="22" t="n"/>
      <c r="H392" s="22" t="n"/>
      <c r="I392" s="22" t="n"/>
      <c r="J392" s="23" t="n"/>
      <c r="K392" s="24" t="n"/>
      <c r="L392" s="22" t="n"/>
      <c r="M392" s="23" t="n"/>
      <c r="N392" s="23" t="n"/>
      <c r="O392" s="23" t="n"/>
      <c r="P392" s="10">
        <f>IF(D392="","",IF(AND(M392="✓",N392="✓",O392="✓"),"✅正式",IF(M392&amp;N392&amp;O392="","入会前","手続き中")))</f>
        <v/>
      </c>
      <c r="Q392" s="24" t="n"/>
      <c r="R392" s="24" t="n"/>
      <c r="S392" s="10">
        <f>IF(OR(D392="",R392=""),"",TODAY()-R392)</f>
        <v/>
      </c>
      <c r="T392" s="22" t="n"/>
      <c r="U392" s="24" t="n"/>
      <c r="V392" s="23" t="n"/>
      <c r="W392" s="14">
        <f>IF(OR(D392="",V392="辞退",V392="保留",P392="✅正式"),"",TRIM(IF(AND(U392&lt;&gt;"",U392&lt;TODAY()),"期日超過 ","")&amp;IF(AND(S392&lt;&gt;"",S392&gt;='設定'!$B$9),"放置"&amp;S392&amp;"日 ","")&amp;IF(AND(J392="CCS済",M392&lt;&gt;"✓"),"CCS後の申込待ち ","")&amp;IF(AND(M392="✓",N392&lt;&gt;"✓"),"振込待ち ","")&amp;IF(AND(N392="✓",O392&lt;&gt;"✓"),"同意書待ち ","")&amp;IF(T392="","次アクション未設定","")))</f>
        <v/>
      </c>
      <c r="X392" s="10" t="n"/>
      <c r="Y392" s="22" t="n"/>
    </row>
    <row r="393">
      <c r="A393" s="10">
        <f>IF(D393="","",ROW()-4)</f>
        <v/>
      </c>
      <c r="B393" s="22" t="n"/>
      <c r="C393" s="22" t="n"/>
      <c r="D393" s="22" t="n"/>
      <c r="E393" s="22" t="n"/>
      <c r="F393" s="22" t="n"/>
      <c r="G393" s="22" t="n"/>
      <c r="H393" s="22" t="n"/>
      <c r="I393" s="22" t="n"/>
      <c r="J393" s="23" t="n"/>
      <c r="K393" s="24" t="n"/>
      <c r="L393" s="22" t="n"/>
      <c r="M393" s="23" t="n"/>
      <c r="N393" s="23" t="n"/>
      <c r="O393" s="23" t="n"/>
      <c r="P393" s="10">
        <f>IF(D393="","",IF(AND(M393="✓",N393="✓",O393="✓"),"✅正式",IF(M393&amp;N393&amp;O393="","入会前","手続き中")))</f>
        <v/>
      </c>
      <c r="Q393" s="24" t="n"/>
      <c r="R393" s="24" t="n"/>
      <c r="S393" s="10">
        <f>IF(OR(D393="",R393=""),"",TODAY()-R393)</f>
        <v/>
      </c>
      <c r="T393" s="22" t="n"/>
      <c r="U393" s="24" t="n"/>
      <c r="V393" s="23" t="n"/>
      <c r="W393" s="14">
        <f>IF(OR(D393="",V393="辞退",V393="保留",P393="✅正式"),"",TRIM(IF(AND(U393&lt;&gt;"",U393&lt;TODAY()),"期日超過 ","")&amp;IF(AND(S393&lt;&gt;"",S393&gt;='設定'!$B$9),"放置"&amp;S393&amp;"日 ","")&amp;IF(AND(J393="CCS済",M393&lt;&gt;"✓"),"CCS後の申込待ち ","")&amp;IF(AND(M393="✓",N393&lt;&gt;"✓"),"振込待ち ","")&amp;IF(AND(N393="✓",O393&lt;&gt;"✓"),"同意書待ち ","")&amp;IF(T393="","次アクション未設定","")))</f>
        <v/>
      </c>
      <c r="X393" s="10" t="n"/>
      <c r="Y393" s="22" t="n"/>
    </row>
    <row r="394">
      <c r="A394" s="10">
        <f>IF(D394="","",ROW()-4)</f>
        <v/>
      </c>
      <c r="B394" s="22" t="n"/>
      <c r="C394" s="22" t="n"/>
      <c r="D394" s="22" t="n"/>
      <c r="E394" s="22" t="n"/>
      <c r="F394" s="22" t="n"/>
      <c r="G394" s="22" t="n"/>
      <c r="H394" s="22" t="n"/>
      <c r="I394" s="22" t="n"/>
      <c r="J394" s="23" t="n"/>
      <c r="K394" s="24" t="n"/>
      <c r="L394" s="22" t="n"/>
      <c r="M394" s="23" t="n"/>
      <c r="N394" s="23" t="n"/>
      <c r="O394" s="23" t="n"/>
      <c r="P394" s="10">
        <f>IF(D394="","",IF(AND(M394="✓",N394="✓",O394="✓"),"✅正式",IF(M394&amp;N394&amp;O394="","入会前","手続き中")))</f>
        <v/>
      </c>
      <c r="Q394" s="24" t="n"/>
      <c r="R394" s="24" t="n"/>
      <c r="S394" s="10">
        <f>IF(OR(D394="",R394=""),"",TODAY()-R394)</f>
        <v/>
      </c>
      <c r="T394" s="22" t="n"/>
      <c r="U394" s="24" t="n"/>
      <c r="V394" s="23" t="n"/>
      <c r="W394" s="14">
        <f>IF(OR(D394="",V394="辞退",V394="保留",P394="✅正式"),"",TRIM(IF(AND(U394&lt;&gt;"",U394&lt;TODAY()),"期日超過 ","")&amp;IF(AND(S394&lt;&gt;"",S394&gt;='設定'!$B$9),"放置"&amp;S394&amp;"日 ","")&amp;IF(AND(J394="CCS済",M394&lt;&gt;"✓"),"CCS後の申込待ち ","")&amp;IF(AND(M394="✓",N394&lt;&gt;"✓"),"振込待ち ","")&amp;IF(AND(N394="✓",O394&lt;&gt;"✓"),"同意書待ち ","")&amp;IF(T394="","次アクション未設定","")))</f>
        <v/>
      </c>
      <c r="X394" s="10" t="n"/>
      <c r="Y394" s="22" t="n"/>
    </row>
    <row r="395">
      <c r="A395" s="10">
        <f>IF(D395="","",ROW()-4)</f>
        <v/>
      </c>
      <c r="B395" s="22" t="n"/>
      <c r="C395" s="22" t="n"/>
      <c r="D395" s="22" t="n"/>
      <c r="E395" s="22" t="n"/>
      <c r="F395" s="22" t="n"/>
      <c r="G395" s="22" t="n"/>
      <c r="H395" s="22" t="n"/>
      <c r="I395" s="22" t="n"/>
      <c r="J395" s="23" t="n"/>
      <c r="K395" s="24" t="n"/>
      <c r="L395" s="22" t="n"/>
      <c r="M395" s="23" t="n"/>
      <c r="N395" s="23" t="n"/>
      <c r="O395" s="23" t="n"/>
      <c r="P395" s="10">
        <f>IF(D395="","",IF(AND(M395="✓",N395="✓",O395="✓"),"✅正式",IF(M395&amp;N395&amp;O395="","入会前","手続き中")))</f>
        <v/>
      </c>
      <c r="Q395" s="24" t="n"/>
      <c r="R395" s="24" t="n"/>
      <c r="S395" s="10">
        <f>IF(OR(D395="",R395=""),"",TODAY()-R395)</f>
        <v/>
      </c>
      <c r="T395" s="22" t="n"/>
      <c r="U395" s="24" t="n"/>
      <c r="V395" s="23" t="n"/>
      <c r="W395" s="14">
        <f>IF(OR(D395="",V395="辞退",V395="保留",P395="✅正式"),"",TRIM(IF(AND(U395&lt;&gt;"",U395&lt;TODAY()),"期日超過 ","")&amp;IF(AND(S395&lt;&gt;"",S395&gt;='設定'!$B$9),"放置"&amp;S395&amp;"日 ","")&amp;IF(AND(J395="CCS済",M395&lt;&gt;"✓"),"CCS後の申込待ち ","")&amp;IF(AND(M395="✓",N395&lt;&gt;"✓"),"振込待ち ","")&amp;IF(AND(N395="✓",O395&lt;&gt;"✓"),"同意書待ち ","")&amp;IF(T395="","次アクション未設定","")))</f>
        <v/>
      </c>
      <c r="X395" s="10" t="n"/>
      <c r="Y395" s="22" t="n"/>
    </row>
    <row r="396">
      <c r="A396" s="10">
        <f>IF(D396="","",ROW()-4)</f>
        <v/>
      </c>
      <c r="B396" s="22" t="n"/>
      <c r="C396" s="22" t="n"/>
      <c r="D396" s="22" t="n"/>
      <c r="E396" s="22" t="n"/>
      <c r="F396" s="22" t="n"/>
      <c r="G396" s="22" t="n"/>
      <c r="H396" s="22" t="n"/>
      <c r="I396" s="22" t="n"/>
      <c r="J396" s="23" t="n"/>
      <c r="K396" s="24" t="n"/>
      <c r="L396" s="22" t="n"/>
      <c r="M396" s="23" t="n"/>
      <c r="N396" s="23" t="n"/>
      <c r="O396" s="23" t="n"/>
      <c r="P396" s="10">
        <f>IF(D396="","",IF(AND(M396="✓",N396="✓",O396="✓"),"✅正式",IF(M396&amp;N396&amp;O396="","入会前","手続き中")))</f>
        <v/>
      </c>
      <c r="Q396" s="24" t="n"/>
      <c r="R396" s="24" t="n"/>
      <c r="S396" s="10">
        <f>IF(OR(D396="",R396=""),"",TODAY()-R396)</f>
        <v/>
      </c>
      <c r="T396" s="22" t="n"/>
      <c r="U396" s="24" t="n"/>
      <c r="V396" s="23" t="n"/>
      <c r="W396" s="14">
        <f>IF(OR(D396="",V396="辞退",V396="保留",P396="✅正式"),"",TRIM(IF(AND(U396&lt;&gt;"",U396&lt;TODAY()),"期日超過 ","")&amp;IF(AND(S396&lt;&gt;"",S396&gt;='設定'!$B$9),"放置"&amp;S396&amp;"日 ","")&amp;IF(AND(J396="CCS済",M396&lt;&gt;"✓"),"CCS後の申込待ち ","")&amp;IF(AND(M396="✓",N396&lt;&gt;"✓"),"振込待ち ","")&amp;IF(AND(N396="✓",O396&lt;&gt;"✓"),"同意書待ち ","")&amp;IF(T396="","次アクション未設定","")))</f>
        <v/>
      </c>
      <c r="X396" s="10" t="n"/>
      <c r="Y396" s="22" t="n"/>
    </row>
    <row r="397">
      <c r="A397" s="10">
        <f>IF(D397="","",ROW()-4)</f>
        <v/>
      </c>
      <c r="B397" s="22" t="n"/>
      <c r="C397" s="22" t="n"/>
      <c r="D397" s="22" t="n"/>
      <c r="E397" s="22" t="n"/>
      <c r="F397" s="22" t="n"/>
      <c r="G397" s="22" t="n"/>
      <c r="H397" s="22" t="n"/>
      <c r="I397" s="22" t="n"/>
      <c r="J397" s="23" t="n"/>
      <c r="K397" s="24" t="n"/>
      <c r="L397" s="22" t="n"/>
      <c r="M397" s="23" t="n"/>
      <c r="N397" s="23" t="n"/>
      <c r="O397" s="23" t="n"/>
      <c r="P397" s="10">
        <f>IF(D397="","",IF(AND(M397="✓",N397="✓",O397="✓"),"✅正式",IF(M397&amp;N397&amp;O397="","入会前","手続き中")))</f>
        <v/>
      </c>
      <c r="Q397" s="24" t="n"/>
      <c r="R397" s="24" t="n"/>
      <c r="S397" s="10">
        <f>IF(OR(D397="",R397=""),"",TODAY()-R397)</f>
        <v/>
      </c>
      <c r="T397" s="22" t="n"/>
      <c r="U397" s="24" t="n"/>
      <c r="V397" s="23" t="n"/>
      <c r="W397" s="14">
        <f>IF(OR(D397="",V397="辞退",V397="保留",P397="✅正式"),"",TRIM(IF(AND(U397&lt;&gt;"",U397&lt;TODAY()),"期日超過 ","")&amp;IF(AND(S397&lt;&gt;"",S397&gt;='設定'!$B$9),"放置"&amp;S397&amp;"日 ","")&amp;IF(AND(J397="CCS済",M397&lt;&gt;"✓"),"CCS後の申込待ち ","")&amp;IF(AND(M397="✓",N397&lt;&gt;"✓"),"振込待ち ","")&amp;IF(AND(N397="✓",O397&lt;&gt;"✓"),"同意書待ち ","")&amp;IF(T397="","次アクション未設定","")))</f>
        <v/>
      </c>
      <c r="X397" s="10" t="n"/>
      <c r="Y397" s="22" t="n"/>
    </row>
    <row r="398">
      <c r="A398" s="10">
        <f>IF(D398="","",ROW()-4)</f>
        <v/>
      </c>
      <c r="B398" s="22" t="n"/>
      <c r="C398" s="22" t="n"/>
      <c r="D398" s="22" t="n"/>
      <c r="E398" s="22" t="n"/>
      <c r="F398" s="22" t="n"/>
      <c r="G398" s="22" t="n"/>
      <c r="H398" s="22" t="n"/>
      <c r="I398" s="22" t="n"/>
      <c r="J398" s="23" t="n"/>
      <c r="K398" s="24" t="n"/>
      <c r="L398" s="22" t="n"/>
      <c r="M398" s="23" t="n"/>
      <c r="N398" s="23" t="n"/>
      <c r="O398" s="23" t="n"/>
      <c r="P398" s="10">
        <f>IF(D398="","",IF(AND(M398="✓",N398="✓",O398="✓"),"✅正式",IF(M398&amp;N398&amp;O398="","入会前","手続き中")))</f>
        <v/>
      </c>
      <c r="Q398" s="24" t="n"/>
      <c r="R398" s="24" t="n"/>
      <c r="S398" s="10">
        <f>IF(OR(D398="",R398=""),"",TODAY()-R398)</f>
        <v/>
      </c>
      <c r="T398" s="22" t="n"/>
      <c r="U398" s="24" t="n"/>
      <c r="V398" s="23" t="n"/>
      <c r="W398" s="14">
        <f>IF(OR(D398="",V398="辞退",V398="保留",P398="✅正式"),"",TRIM(IF(AND(U398&lt;&gt;"",U398&lt;TODAY()),"期日超過 ","")&amp;IF(AND(S398&lt;&gt;"",S398&gt;='設定'!$B$9),"放置"&amp;S398&amp;"日 ","")&amp;IF(AND(J398="CCS済",M398&lt;&gt;"✓"),"CCS後の申込待ち ","")&amp;IF(AND(M398="✓",N398&lt;&gt;"✓"),"振込待ち ","")&amp;IF(AND(N398="✓",O398&lt;&gt;"✓"),"同意書待ち ","")&amp;IF(T398="","次アクション未設定","")))</f>
        <v/>
      </c>
      <c r="X398" s="10" t="n"/>
      <c r="Y398" s="22" t="n"/>
    </row>
    <row r="399">
      <c r="A399" s="10">
        <f>IF(D399="","",ROW()-4)</f>
        <v/>
      </c>
      <c r="B399" s="22" t="n"/>
      <c r="C399" s="22" t="n"/>
      <c r="D399" s="22" t="n"/>
      <c r="E399" s="22" t="n"/>
      <c r="F399" s="22" t="n"/>
      <c r="G399" s="22" t="n"/>
      <c r="H399" s="22" t="n"/>
      <c r="I399" s="22" t="n"/>
      <c r="J399" s="23" t="n"/>
      <c r="K399" s="24" t="n"/>
      <c r="L399" s="22" t="n"/>
      <c r="M399" s="23" t="n"/>
      <c r="N399" s="23" t="n"/>
      <c r="O399" s="23" t="n"/>
      <c r="P399" s="10">
        <f>IF(D399="","",IF(AND(M399="✓",N399="✓",O399="✓"),"✅正式",IF(M399&amp;N399&amp;O399="","入会前","手続き中")))</f>
        <v/>
      </c>
      <c r="Q399" s="24" t="n"/>
      <c r="R399" s="24" t="n"/>
      <c r="S399" s="10">
        <f>IF(OR(D399="",R399=""),"",TODAY()-R399)</f>
        <v/>
      </c>
      <c r="T399" s="22" t="n"/>
      <c r="U399" s="24" t="n"/>
      <c r="V399" s="23" t="n"/>
      <c r="W399" s="14">
        <f>IF(OR(D399="",V399="辞退",V399="保留",P399="✅正式"),"",TRIM(IF(AND(U399&lt;&gt;"",U399&lt;TODAY()),"期日超過 ","")&amp;IF(AND(S399&lt;&gt;"",S399&gt;='設定'!$B$9),"放置"&amp;S399&amp;"日 ","")&amp;IF(AND(J399="CCS済",M399&lt;&gt;"✓"),"CCS後の申込待ち ","")&amp;IF(AND(M399="✓",N399&lt;&gt;"✓"),"振込待ち ","")&amp;IF(AND(N399="✓",O399&lt;&gt;"✓"),"同意書待ち ","")&amp;IF(T399="","次アクション未設定","")))</f>
        <v/>
      </c>
      <c r="X399" s="10" t="n"/>
      <c r="Y399" s="22" t="n"/>
    </row>
    <row r="400">
      <c r="A400" s="10">
        <f>IF(D400="","",ROW()-4)</f>
        <v/>
      </c>
      <c r="B400" s="22" t="n"/>
      <c r="C400" s="22" t="n"/>
      <c r="D400" s="22" t="n"/>
      <c r="E400" s="22" t="n"/>
      <c r="F400" s="22" t="n"/>
      <c r="G400" s="22" t="n"/>
      <c r="H400" s="22" t="n"/>
      <c r="I400" s="22" t="n"/>
      <c r="J400" s="23" t="n"/>
      <c r="K400" s="24" t="n"/>
      <c r="L400" s="22" t="n"/>
      <c r="M400" s="23" t="n"/>
      <c r="N400" s="23" t="n"/>
      <c r="O400" s="23" t="n"/>
      <c r="P400" s="10">
        <f>IF(D400="","",IF(AND(M400="✓",N400="✓",O400="✓"),"✅正式",IF(M400&amp;N400&amp;O400="","入会前","手続き中")))</f>
        <v/>
      </c>
      <c r="Q400" s="24" t="n"/>
      <c r="R400" s="24" t="n"/>
      <c r="S400" s="10">
        <f>IF(OR(D400="",R400=""),"",TODAY()-R400)</f>
        <v/>
      </c>
      <c r="T400" s="22" t="n"/>
      <c r="U400" s="24" t="n"/>
      <c r="V400" s="23" t="n"/>
      <c r="W400" s="14">
        <f>IF(OR(D400="",V400="辞退",V400="保留",P400="✅正式"),"",TRIM(IF(AND(U400&lt;&gt;"",U400&lt;TODAY()),"期日超過 ","")&amp;IF(AND(S400&lt;&gt;"",S400&gt;='設定'!$B$9),"放置"&amp;S400&amp;"日 ","")&amp;IF(AND(J400="CCS済",M400&lt;&gt;"✓"),"CCS後の申込待ち ","")&amp;IF(AND(M400="✓",N400&lt;&gt;"✓"),"振込待ち ","")&amp;IF(AND(N400="✓",O400&lt;&gt;"✓"),"同意書待ち ","")&amp;IF(T400="","次アクション未設定","")))</f>
        <v/>
      </c>
      <c r="X400" s="10" t="n"/>
      <c r="Y400" s="22" t="n"/>
    </row>
    <row r="401">
      <c r="A401" s="10">
        <f>IF(D401="","",ROW()-4)</f>
        <v/>
      </c>
      <c r="B401" s="22" t="n"/>
      <c r="C401" s="22" t="n"/>
      <c r="D401" s="22" t="n"/>
      <c r="E401" s="22" t="n"/>
      <c r="F401" s="22" t="n"/>
      <c r="G401" s="22" t="n"/>
      <c r="H401" s="22" t="n"/>
      <c r="I401" s="22" t="n"/>
      <c r="J401" s="23" t="n"/>
      <c r="K401" s="24" t="n"/>
      <c r="L401" s="22" t="n"/>
      <c r="M401" s="23" t="n"/>
      <c r="N401" s="23" t="n"/>
      <c r="O401" s="23" t="n"/>
      <c r="P401" s="10">
        <f>IF(D401="","",IF(AND(M401="✓",N401="✓",O401="✓"),"✅正式",IF(M401&amp;N401&amp;O401="","入会前","手続き中")))</f>
        <v/>
      </c>
      <c r="Q401" s="24" t="n"/>
      <c r="R401" s="24" t="n"/>
      <c r="S401" s="10">
        <f>IF(OR(D401="",R401=""),"",TODAY()-R401)</f>
        <v/>
      </c>
      <c r="T401" s="22" t="n"/>
      <c r="U401" s="24" t="n"/>
      <c r="V401" s="23" t="n"/>
      <c r="W401" s="14">
        <f>IF(OR(D401="",V401="辞退",V401="保留",P401="✅正式"),"",TRIM(IF(AND(U401&lt;&gt;"",U401&lt;TODAY()),"期日超過 ","")&amp;IF(AND(S401&lt;&gt;"",S401&gt;='設定'!$B$9),"放置"&amp;S401&amp;"日 ","")&amp;IF(AND(J401="CCS済",M401&lt;&gt;"✓"),"CCS後の申込待ち ","")&amp;IF(AND(M401="✓",N401&lt;&gt;"✓"),"振込待ち ","")&amp;IF(AND(N401="✓",O401&lt;&gt;"✓"),"同意書待ち ","")&amp;IF(T401="","次アクション未設定","")))</f>
        <v/>
      </c>
      <c r="X401" s="10" t="n"/>
      <c r="Y401" s="22" t="n"/>
    </row>
    <row r="402">
      <c r="A402" s="10">
        <f>IF(D402="","",ROW()-4)</f>
        <v/>
      </c>
      <c r="B402" s="22" t="n"/>
      <c r="C402" s="22" t="n"/>
      <c r="D402" s="22" t="n"/>
      <c r="E402" s="22" t="n"/>
      <c r="F402" s="22" t="n"/>
      <c r="G402" s="22" t="n"/>
      <c r="H402" s="22" t="n"/>
      <c r="I402" s="22" t="n"/>
      <c r="J402" s="23" t="n"/>
      <c r="K402" s="24" t="n"/>
      <c r="L402" s="22" t="n"/>
      <c r="M402" s="23" t="n"/>
      <c r="N402" s="23" t="n"/>
      <c r="O402" s="23" t="n"/>
      <c r="P402" s="10">
        <f>IF(D402="","",IF(AND(M402="✓",N402="✓",O402="✓"),"✅正式",IF(M402&amp;N402&amp;O402="","入会前","手続き中")))</f>
        <v/>
      </c>
      <c r="Q402" s="24" t="n"/>
      <c r="R402" s="24" t="n"/>
      <c r="S402" s="10">
        <f>IF(OR(D402="",R402=""),"",TODAY()-R402)</f>
        <v/>
      </c>
      <c r="T402" s="22" t="n"/>
      <c r="U402" s="24" t="n"/>
      <c r="V402" s="23" t="n"/>
      <c r="W402" s="14">
        <f>IF(OR(D402="",V402="辞退",V402="保留",P402="✅正式"),"",TRIM(IF(AND(U402&lt;&gt;"",U402&lt;TODAY()),"期日超過 ","")&amp;IF(AND(S402&lt;&gt;"",S402&gt;='設定'!$B$9),"放置"&amp;S402&amp;"日 ","")&amp;IF(AND(J402="CCS済",M402&lt;&gt;"✓"),"CCS後の申込待ち ","")&amp;IF(AND(M402="✓",N402&lt;&gt;"✓"),"振込待ち ","")&amp;IF(AND(N402="✓",O402&lt;&gt;"✓"),"同意書待ち ","")&amp;IF(T402="","次アクション未設定","")))</f>
        <v/>
      </c>
      <c r="X402" s="10" t="n"/>
      <c r="Y402" s="22" t="n"/>
    </row>
    <row r="403">
      <c r="A403" s="10">
        <f>IF(D403="","",ROW()-4)</f>
        <v/>
      </c>
      <c r="B403" s="22" t="n"/>
      <c r="C403" s="22" t="n"/>
      <c r="D403" s="22" t="n"/>
      <c r="E403" s="22" t="n"/>
      <c r="F403" s="22" t="n"/>
      <c r="G403" s="22" t="n"/>
      <c r="H403" s="22" t="n"/>
      <c r="I403" s="22" t="n"/>
      <c r="J403" s="23" t="n"/>
      <c r="K403" s="24" t="n"/>
      <c r="L403" s="22" t="n"/>
      <c r="M403" s="23" t="n"/>
      <c r="N403" s="23" t="n"/>
      <c r="O403" s="23" t="n"/>
      <c r="P403" s="10">
        <f>IF(D403="","",IF(AND(M403="✓",N403="✓",O403="✓"),"✅正式",IF(M403&amp;N403&amp;O403="","入会前","手続き中")))</f>
        <v/>
      </c>
      <c r="Q403" s="24" t="n"/>
      <c r="R403" s="24" t="n"/>
      <c r="S403" s="10">
        <f>IF(OR(D403="",R403=""),"",TODAY()-R403)</f>
        <v/>
      </c>
      <c r="T403" s="22" t="n"/>
      <c r="U403" s="24" t="n"/>
      <c r="V403" s="23" t="n"/>
      <c r="W403" s="14">
        <f>IF(OR(D403="",V403="辞退",V403="保留",P403="✅正式"),"",TRIM(IF(AND(U403&lt;&gt;"",U403&lt;TODAY()),"期日超過 ","")&amp;IF(AND(S403&lt;&gt;"",S403&gt;='設定'!$B$9),"放置"&amp;S403&amp;"日 ","")&amp;IF(AND(J403="CCS済",M403&lt;&gt;"✓"),"CCS後の申込待ち ","")&amp;IF(AND(M403="✓",N403&lt;&gt;"✓"),"振込待ち ","")&amp;IF(AND(N403="✓",O403&lt;&gt;"✓"),"同意書待ち ","")&amp;IF(T403="","次アクション未設定","")))</f>
        <v/>
      </c>
      <c r="X403" s="10" t="n"/>
      <c r="Y403" s="22" t="n"/>
    </row>
    <row r="404">
      <c r="A404" s="10">
        <f>IF(D404="","",ROW()-4)</f>
        <v/>
      </c>
      <c r="B404" s="22" t="n"/>
      <c r="C404" s="22" t="n"/>
      <c r="D404" s="22" t="n"/>
      <c r="E404" s="22" t="n"/>
      <c r="F404" s="22" t="n"/>
      <c r="G404" s="22" t="n"/>
      <c r="H404" s="22" t="n"/>
      <c r="I404" s="22" t="n"/>
      <c r="J404" s="23" t="n"/>
      <c r="K404" s="24" t="n"/>
      <c r="L404" s="22" t="n"/>
      <c r="M404" s="23" t="n"/>
      <c r="N404" s="23" t="n"/>
      <c r="O404" s="23" t="n"/>
      <c r="P404" s="10">
        <f>IF(D404="","",IF(AND(M404="✓",N404="✓",O404="✓"),"✅正式",IF(M404&amp;N404&amp;O404="","入会前","手続き中")))</f>
        <v/>
      </c>
      <c r="Q404" s="24" t="n"/>
      <c r="R404" s="24" t="n"/>
      <c r="S404" s="10">
        <f>IF(OR(D404="",R404=""),"",TODAY()-R404)</f>
        <v/>
      </c>
      <c r="T404" s="22" t="n"/>
      <c r="U404" s="24" t="n"/>
      <c r="V404" s="23" t="n"/>
      <c r="W404" s="14">
        <f>IF(OR(D404="",V404="辞退",V404="保留",P404="✅正式"),"",TRIM(IF(AND(U404&lt;&gt;"",U404&lt;TODAY()),"期日超過 ","")&amp;IF(AND(S404&lt;&gt;"",S404&gt;='設定'!$B$9),"放置"&amp;S404&amp;"日 ","")&amp;IF(AND(J404="CCS済",M404&lt;&gt;"✓"),"CCS後の申込待ち ","")&amp;IF(AND(M404="✓",N404&lt;&gt;"✓"),"振込待ち ","")&amp;IF(AND(N404="✓",O404&lt;&gt;"✓"),"同意書待ち ","")&amp;IF(T404="","次アクション未設定","")))</f>
        <v/>
      </c>
      <c r="X404" s="10" t="n"/>
      <c r="Y404" s="22" t="n"/>
    </row>
    <row r="405">
      <c r="A405" s="10">
        <f>IF(D405="","",ROW()-4)</f>
        <v/>
      </c>
      <c r="B405" s="22" t="n"/>
      <c r="C405" s="22" t="n"/>
      <c r="D405" s="22" t="n"/>
      <c r="E405" s="22" t="n"/>
      <c r="F405" s="22" t="n"/>
      <c r="G405" s="22" t="n"/>
      <c r="H405" s="22" t="n"/>
      <c r="I405" s="22" t="n"/>
      <c r="J405" s="23" t="n"/>
      <c r="K405" s="24" t="n"/>
      <c r="L405" s="22" t="n"/>
      <c r="M405" s="23" t="n"/>
      <c r="N405" s="23" t="n"/>
      <c r="O405" s="23" t="n"/>
      <c r="P405" s="10">
        <f>IF(D405="","",IF(AND(M405="✓",N405="✓",O405="✓"),"✅正式",IF(M405&amp;N405&amp;O405="","入会前","手続き中")))</f>
        <v/>
      </c>
      <c r="Q405" s="24" t="n"/>
      <c r="R405" s="24" t="n"/>
      <c r="S405" s="10">
        <f>IF(OR(D405="",R405=""),"",TODAY()-R405)</f>
        <v/>
      </c>
      <c r="T405" s="22" t="n"/>
      <c r="U405" s="24" t="n"/>
      <c r="V405" s="23" t="n"/>
      <c r="W405" s="14">
        <f>IF(OR(D405="",V405="辞退",V405="保留",P405="✅正式"),"",TRIM(IF(AND(U405&lt;&gt;"",U405&lt;TODAY()),"期日超過 ","")&amp;IF(AND(S405&lt;&gt;"",S405&gt;='設定'!$B$9),"放置"&amp;S405&amp;"日 ","")&amp;IF(AND(J405="CCS済",M405&lt;&gt;"✓"),"CCS後の申込待ち ","")&amp;IF(AND(M405="✓",N405&lt;&gt;"✓"),"振込待ち ","")&amp;IF(AND(N405="✓",O405&lt;&gt;"✓"),"同意書待ち ","")&amp;IF(T405="","次アクション未設定","")))</f>
        <v/>
      </c>
      <c r="X405" s="10" t="n"/>
      <c r="Y405" s="22" t="n"/>
    </row>
    <row r="406">
      <c r="A406" s="10">
        <f>IF(D406="","",ROW()-4)</f>
        <v/>
      </c>
      <c r="B406" s="22" t="n"/>
      <c r="C406" s="22" t="n"/>
      <c r="D406" s="22" t="n"/>
      <c r="E406" s="22" t="n"/>
      <c r="F406" s="22" t="n"/>
      <c r="G406" s="22" t="n"/>
      <c r="H406" s="22" t="n"/>
      <c r="I406" s="22" t="n"/>
      <c r="J406" s="23" t="n"/>
      <c r="K406" s="24" t="n"/>
      <c r="L406" s="22" t="n"/>
      <c r="M406" s="23" t="n"/>
      <c r="N406" s="23" t="n"/>
      <c r="O406" s="23" t="n"/>
      <c r="P406" s="10">
        <f>IF(D406="","",IF(AND(M406="✓",N406="✓",O406="✓"),"✅正式",IF(M406&amp;N406&amp;O406="","入会前","手続き中")))</f>
        <v/>
      </c>
      <c r="Q406" s="24" t="n"/>
      <c r="R406" s="24" t="n"/>
      <c r="S406" s="10">
        <f>IF(OR(D406="",R406=""),"",TODAY()-R406)</f>
        <v/>
      </c>
      <c r="T406" s="22" t="n"/>
      <c r="U406" s="24" t="n"/>
      <c r="V406" s="23" t="n"/>
      <c r="W406" s="14">
        <f>IF(OR(D406="",V406="辞退",V406="保留",P406="✅正式"),"",TRIM(IF(AND(U406&lt;&gt;"",U406&lt;TODAY()),"期日超過 ","")&amp;IF(AND(S406&lt;&gt;"",S406&gt;='設定'!$B$9),"放置"&amp;S406&amp;"日 ","")&amp;IF(AND(J406="CCS済",M406&lt;&gt;"✓"),"CCS後の申込待ち ","")&amp;IF(AND(M406="✓",N406&lt;&gt;"✓"),"振込待ち ","")&amp;IF(AND(N406="✓",O406&lt;&gt;"✓"),"同意書待ち ","")&amp;IF(T406="","次アクション未設定","")))</f>
        <v/>
      </c>
      <c r="X406" s="10" t="n"/>
      <c r="Y406" s="22" t="n"/>
    </row>
    <row r="407">
      <c r="A407" s="10">
        <f>IF(D407="","",ROW()-4)</f>
        <v/>
      </c>
      <c r="B407" s="22" t="n"/>
      <c r="C407" s="22" t="n"/>
      <c r="D407" s="22" t="n"/>
      <c r="E407" s="22" t="n"/>
      <c r="F407" s="22" t="n"/>
      <c r="G407" s="22" t="n"/>
      <c r="H407" s="22" t="n"/>
      <c r="I407" s="22" t="n"/>
      <c r="J407" s="23" t="n"/>
      <c r="K407" s="24" t="n"/>
      <c r="L407" s="22" t="n"/>
      <c r="M407" s="23" t="n"/>
      <c r="N407" s="23" t="n"/>
      <c r="O407" s="23" t="n"/>
      <c r="P407" s="10">
        <f>IF(D407="","",IF(AND(M407="✓",N407="✓",O407="✓"),"✅正式",IF(M407&amp;N407&amp;O407="","入会前","手続き中")))</f>
        <v/>
      </c>
      <c r="Q407" s="24" t="n"/>
      <c r="R407" s="24" t="n"/>
      <c r="S407" s="10">
        <f>IF(OR(D407="",R407=""),"",TODAY()-R407)</f>
        <v/>
      </c>
      <c r="T407" s="22" t="n"/>
      <c r="U407" s="24" t="n"/>
      <c r="V407" s="23" t="n"/>
      <c r="W407" s="14">
        <f>IF(OR(D407="",V407="辞退",V407="保留",P407="✅正式"),"",TRIM(IF(AND(U407&lt;&gt;"",U407&lt;TODAY()),"期日超過 ","")&amp;IF(AND(S407&lt;&gt;"",S407&gt;='設定'!$B$9),"放置"&amp;S407&amp;"日 ","")&amp;IF(AND(J407="CCS済",M407&lt;&gt;"✓"),"CCS後の申込待ち ","")&amp;IF(AND(M407="✓",N407&lt;&gt;"✓"),"振込待ち ","")&amp;IF(AND(N407="✓",O407&lt;&gt;"✓"),"同意書待ち ","")&amp;IF(T407="","次アクション未設定","")))</f>
        <v/>
      </c>
      <c r="X407" s="10" t="n"/>
      <c r="Y407" s="22" t="n"/>
    </row>
    <row r="408">
      <c r="A408" s="10">
        <f>IF(D408="","",ROW()-4)</f>
        <v/>
      </c>
      <c r="B408" s="22" t="n"/>
      <c r="C408" s="22" t="n"/>
      <c r="D408" s="22" t="n"/>
      <c r="E408" s="22" t="n"/>
      <c r="F408" s="22" t="n"/>
      <c r="G408" s="22" t="n"/>
      <c r="H408" s="22" t="n"/>
      <c r="I408" s="22" t="n"/>
      <c r="J408" s="23" t="n"/>
      <c r="K408" s="24" t="n"/>
      <c r="L408" s="22" t="n"/>
      <c r="M408" s="23" t="n"/>
      <c r="N408" s="23" t="n"/>
      <c r="O408" s="23" t="n"/>
      <c r="P408" s="10">
        <f>IF(D408="","",IF(AND(M408="✓",N408="✓",O408="✓"),"✅正式",IF(M408&amp;N408&amp;O408="","入会前","手続き中")))</f>
        <v/>
      </c>
      <c r="Q408" s="24" t="n"/>
      <c r="R408" s="24" t="n"/>
      <c r="S408" s="10">
        <f>IF(OR(D408="",R408=""),"",TODAY()-R408)</f>
        <v/>
      </c>
      <c r="T408" s="22" t="n"/>
      <c r="U408" s="24" t="n"/>
      <c r="V408" s="23" t="n"/>
      <c r="W408" s="14">
        <f>IF(OR(D408="",V408="辞退",V408="保留",P408="✅正式"),"",TRIM(IF(AND(U408&lt;&gt;"",U408&lt;TODAY()),"期日超過 ","")&amp;IF(AND(S408&lt;&gt;"",S408&gt;='設定'!$B$9),"放置"&amp;S408&amp;"日 ","")&amp;IF(AND(J408="CCS済",M408&lt;&gt;"✓"),"CCS後の申込待ち ","")&amp;IF(AND(M408="✓",N408&lt;&gt;"✓"),"振込待ち ","")&amp;IF(AND(N408="✓",O408&lt;&gt;"✓"),"同意書待ち ","")&amp;IF(T408="","次アクション未設定","")))</f>
        <v/>
      </c>
      <c r="X408" s="10" t="n"/>
      <c r="Y408" s="22" t="n"/>
    </row>
    <row r="409">
      <c r="A409" s="10">
        <f>IF(D409="","",ROW()-4)</f>
        <v/>
      </c>
      <c r="B409" s="22" t="n"/>
      <c r="C409" s="22" t="n"/>
      <c r="D409" s="22" t="n"/>
      <c r="E409" s="22" t="n"/>
      <c r="F409" s="22" t="n"/>
      <c r="G409" s="22" t="n"/>
      <c r="H409" s="22" t="n"/>
      <c r="I409" s="22" t="n"/>
      <c r="J409" s="23" t="n"/>
      <c r="K409" s="24" t="n"/>
      <c r="L409" s="22" t="n"/>
      <c r="M409" s="23" t="n"/>
      <c r="N409" s="23" t="n"/>
      <c r="O409" s="23" t="n"/>
      <c r="P409" s="10">
        <f>IF(D409="","",IF(AND(M409="✓",N409="✓",O409="✓"),"✅正式",IF(M409&amp;N409&amp;O409="","入会前","手続き中")))</f>
        <v/>
      </c>
      <c r="Q409" s="24" t="n"/>
      <c r="R409" s="24" t="n"/>
      <c r="S409" s="10">
        <f>IF(OR(D409="",R409=""),"",TODAY()-R409)</f>
        <v/>
      </c>
      <c r="T409" s="22" t="n"/>
      <c r="U409" s="24" t="n"/>
      <c r="V409" s="23" t="n"/>
      <c r="W409" s="14">
        <f>IF(OR(D409="",V409="辞退",V409="保留",P409="✅正式"),"",TRIM(IF(AND(U409&lt;&gt;"",U409&lt;TODAY()),"期日超過 ","")&amp;IF(AND(S409&lt;&gt;"",S409&gt;='設定'!$B$9),"放置"&amp;S409&amp;"日 ","")&amp;IF(AND(J409="CCS済",M409&lt;&gt;"✓"),"CCS後の申込待ち ","")&amp;IF(AND(M409="✓",N409&lt;&gt;"✓"),"振込待ち ","")&amp;IF(AND(N409="✓",O409&lt;&gt;"✓"),"同意書待ち ","")&amp;IF(T409="","次アクション未設定","")))</f>
        <v/>
      </c>
      <c r="X409" s="10" t="n"/>
      <c r="Y409" s="22" t="n"/>
    </row>
    <row r="410">
      <c r="A410" s="10">
        <f>IF(D410="","",ROW()-4)</f>
        <v/>
      </c>
      <c r="B410" s="22" t="n"/>
      <c r="C410" s="22" t="n"/>
      <c r="D410" s="22" t="n"/>
      <c r="E410" s="22" t="n"/>
      <c r="F410" s="22" t="n"/>
      <c r="G410" s="22" t="n"/>
      <c r="H410" s="22" t="n"/>
      <c r="I410" s="22" t="n"/>
      <c r="J410" s="23" t="n"/>
      <c r="K410" s="24" t="n"/>
      <c r="L410" s="22" t="n"/>
      <c r="M410" s="23" t="n"/>
      <c r="N410" s="23" t="n"/>
      <c r="O410" s="23" t="n"/>
      <c r="P410" s="10">
        <f>IF(D410="","",IF(AND(M410="✓",N410="✓",O410="✓"),"✅正式",IF(M410&amp;N410&amp;O410="","入会前","手続き中")))</f>
        <v/>
      </c>
      <c r="Q410" s="24" t="n"/>
      <c r="R410" s="24" t="n"/>
      <c r="S410" s="10">
        <f>IF(OR(D410="",R410=""),"",TODAY()-R410)</f>
        <v/>
      </c>
      <c r="T410" s="22" t="n"/>
      <c r="U410" s="24" t="n"/>
      <c r="V410" s="23" t="n"/>
      <c r="W410" s="14">
        <f>IF(OR(D410="",V410="辞退",V410="保留",P410="✅正式"),"",TRIM(IF(AND(U410&lt;&gt;"",U410&lt;TODAY()),"期日超過 ","")&amp;IF(AND(S410&lt;&gt;"",S410&gt;='設定'!$B$9),"放置"&amp;S410&amp;"日 ","")&amp;IF(AND(J410="CCS済",M410&lt;&gt;"✓"),"CCS後の申込待ち ","")&amp;IF(AND(M410="✓",N410&lt;&gt;"✓"),"振込待ち ","")&amp;IF(AND(N410="✓",O410&lt;&gt;"✓"),"同意書待ち ","")&amp;IF(T410="","次アクション未設定","")))</f>
        <v/>
      </c>
      <c r="X410" s="10" t="n"/>
      <c r="Y410" s="22" t="n"/>
    </row>
    <row r="411">
      <c r="A411" s="10">
        <f>IF(D411="","",ROW()-4)</f>
        <v/>
      </c>
      <c r="B411" s="22" t="n"/>
      <c r="C411" s="22" t="n"/>
      <c r="D411" s="22" t="n"/>
      <c r="E411" s="22" t="n"/>
      <c r="F411" s="22" t="n"/>
      <c r="G411" s="22" t="n"/>
      <c r="H411" s="22" t="n"/>
      <c r="I411" s="22" t="n"/>
      <c r="J411" s="23" t="n"/>
      <c r="K411" s="24" t="n"/>
      <c r="L411" s="22" t="n"/>
      <c r="M411" s="23" t="n"/>
      <c r="N411" s="23" t="n"/>
      <c r="O411" s="23" t="n"/>
      <c r="P411" s="10">
        <f>IF(D411="","",IF(AND(M411="✓",N411="✓",O411="✓"),"✅正式",IF(M411&amp;N411&amp;O411="","入会前","手続き中")))</f>
        <v/>
      </c>
      <c r="Q411" s="24" t="n"/>
      <c r="R411" s="24" t="n"/>
      <c r="S411" s="10">
        <f>IF(OR(D411="",R411=""),"",TODAY()-R411)</f>
        <v/>
      </c>
      <c r="T411" s="22" t="n"/>
      <c r="U411" s="24" t="n"/>
      <c r="V411" s="23" t="n"/>
      <c r="W411" s="14">
        <f>IF(OR(D411="",V411="辞退",V411="保留",P411="✅正式"),"",TRIM(IF(AND(U411&lt;&gt;"",U411&lt;TODAY()),"期日超過 ","")&amp;IF(AND(S411&lt;&gt;"",S411&gt;='設定'!$B$9),"放置"&amp;S411&amp;"日 ","")&amp;IF(AND(J411="CCS済",M411&lt;&gt;"✓"),"CCS後の申込待ち ","")&amp;IF(AND(M411="✓",N411&lt;&gt;"✓"),"振込待ち ","")&amp;IF(AND(N411="✓",O411&lt;&gt;"✓"),"同意書待ち ","")&amp;IF(T411="","次アクション未設定","")))</f>
        <v/>
      </c>
      <c r="X411" s="10" t="n"/>
      <c r="Y411" s="22" t="n"/>
    </row>
    <row r="412">
      <c r="A412" s="10">
        <f>IF(D412="","",ROW()-4)</f>
        <v/>
      </c>
      <c r="B412" s="22" t="n"/>
      <c r="C412" s="22" t="n"/>
      <c r="D412" s="22" t="n"/>
      <c r="E412" s="22" t="n"/>
      <c r="F412" s="22" t="n"/>
      <c r="G412" s="22" t="n"/>
      <c r="H412" s="22" t="n"/>
      <c r="I412" s="22" t="n"/>
      <c r="J412" s="23" t="n"/>
      <c r="K412" s="24" t="n"/>
      <c r="L412" s="22" t="n"/>
      <c r="M412" s="23" t="n"/>
      <c r="N412" s="23" t="n"/>
      <c r="O412" s="23" t="n"/>
      <c r="P412" s="10">
        <f>IF(D412="","",IF(AND(M412="✓",N412="✓",O412="✓"),"✅正式",IF(M412&amp;N412&amp;O412="","入会前","手続き中")))</f>
        <v/>
      </c>
      <c r="Q412" s="24" t="n"/>
      <c r="R412" s="24" t="n"/>
      <c r="S412" s="10">
        <f>IF(OR(D412="",R412=""),"",TODAY()-R412)</f>
        <v/>
      </c>
      <c r="T412" s="22" t="n"/>
      <c r="U412" s="24" t="n"/>
      <c r="V412" s="23" t="n"/>
      <c r="W412" s="14">
        <f>IF(OR(D412="",V412="辞退",V412="保留",P412="✅正式"),"",TRIM(IF(AND(U412&lt;&gt;"",U412&lt;TODAY()),"期日超過 ","")&amp;IF(AND(S412&lt;&gt;"",S412&gt;='設定'!$B$9),"放置"&amp;S412&amp;"日 ","")&amp;IF(AND(J412="CCS済",M412&lt;&gt;"✓"),"CCS後の申込待ち ","")&amp;IF(AND(M412="✓",N412&lt;&gt;"✓"),"振込待ち ","")&amp;IF(AND(N412="✓",O412&lt;&gt;"✓"),"同意書待ち ","")&amp;IF(T412="","次アクション未設定","")))</f>
        <v/>
      </c>
      <c r="X412" s="10" t="n"/>
      <c r="Y412" s="22" t="n"/>
    </row>
    <row r="413">
      <c r="A413" s="10">
        <f>IF(D413="","",ROW()-4)</f>
        <v/>
      </c>
      <c r="B413" s="22" t="n"/>
      <c r="C413" s="22" t="n"/>
      <c r="D413" s="22" t="n"/>
      <c r="E413" s="22" t="n"/>
      <c r="F413" s="22" t="n"/>
      <c r="G413" s="22" t="n"/>
      <c r="H413" s="22" t="n"/>
      <c r="I413" s="22" t="n"/>
      <c r="J413" s="23" t="n"/>
      <c r="K413" s="24" t="n"/>
      <c r="L413" s="22" t="n"/>
      <c r="M413" s="23" t="n"/>
      <c r="N413" s="23" t="n"/>
      <c r="O413" s="23" t="n"/>
      <c r="P413" s="10">
        <f>IF(D413="","",IF(AND(M413="✓",N413="✓",O413="✓"),"✅正式",IF(M413&amp;N413&amp;O413="","入会前","手続き中")))</f>
        <v/>
      </c>
      <c r="Q413" s="24" t="n"/>
      <c r="R413" s="24" t="n"/>
      <c r="S413" s="10">
        <f>IF(OR(D413="",R413=""),"",TODAY()-R413)</f>
        <v/>
      </c>
      <c r="T413" s="22" t="n"/>
      <c r="U413" s="24" t="n"/>
      <c r="V413" s="23" t="n"/>
      <c r="W413" s="14">
        <f>IF(OR(D413="",V413="辞退",V413="保留",P413="✅正式"),"",TRIM(IF(AND(U413&lt;&gt;"",U413&lt;TODAY()),"期日超過 ","")&amp;IF(AND(S413&lt;&gt;"",S413&gt;='設定'!$B$9),"放置"&amp;S413&amp;"日 ","")&amp;IF(AND(J413="CCS済",M413&lt;&gt;"✓"),"CCS後の申込待ち ","")&amp;IF(AND(M413="✓",N413&lt;&gt;"✓"),"振込待ち ","")&amp;IF(AND(N413="✓",O413&lt;&gt;"✓"),"同意書待ち ","")&amp;IF(T413="","次アクション未設定","")))</f>
        <v/>
      </c>
      <c r="X413" s="10" t="n"/>
      <c r="Y413" s="22" t="n"/>
    </row>
    <row r="414">
      <c r="A414" s="10">
        <f>IF(D414="","",ROW()-4)</f>
        <v/>
      </c>
      <c r="B414" s="22" t="n"/>
      <c r="C414" s="22" t="n"/>
      <c r="D414" s="22" t="n"/>
      <c r="E414" s="22" t="n"/>
      <c r="F414" s="22" t="n"/>
      <c r="G414" s="22" t="n"/>
      <c r="H414" s="22" t="n"/>
      <c r="I414" s="22" t="n"/>
      <c r="J414" s="23" t="n"/>
      <c r="K414" s="24" t="n"/>
      <c r="L414" s="22" t="n"/>
      <c r="M414" s="23" t="n"/>
      <c r="N414" s="23" t="n"/>
      <c r="O414" s="23" t="n"/>
      <c r="P414" s="10">
        <f>IF(D414="","",IF(AND(M414="✓",N414="✓",O414="✓"),"✅正式",IF(M414&amp;N414&amp;O414="","入会前","手続き中")))</f>
        <v/>
      </c>
      <c r="Q414" s="24" t="n"/>
      <c r="R414" s="24" t="n"/>
      <c r="S414" s="10">
        <f>IF(OR(D414="",R414=""),"",TODAY()-R414)</f>
        <v/>
      </c>
      <c r="T414" s="22" t="n"/>
      <c r="U414" s="24" t="n"/>
      <c r="V414" s="23" t="n"/>
      <c r="W414" s="14">
        <f>IF(OR(D414="",V414="辞退",V414="保留",P414="✅正式"),"",TRIM(IF(AND(U414&lt;&gt;"",U414&lt;TODAY()),"期日超過 ","")&amp;IF(AND(S414&lt;&gt;"",S414&gt;='設定'!$B$9),"放置"&amp;S414&amp;"日 ","")&amp;IF(AND(J414="CCS済",M414&lt;&gt;"✓"),"CCS後の申込待ち ","")&amp;IF(AND(M414="✓",N414&lt;&gt;"✓"),"振込待ち ","")&amp;IF(AND(N414="✓",O414&lt;&gt;"✓"),"同意書待ち ","")&amp;IF(T414="","次アクション未設定","")))</f>
        <v/>
      </c>
      <c r="X414" s="10" t="n"/>
      <c r="Y414" s="22" t="n"/>
    </row>
    <row r="415">
      <c r="A415" s="10">
        <f>IF(D415="","",ROW()-4)</f>
        <v/>
      </c>
      <c r="B415" s="22" t="n"/>
      <c r="C415" s="22" t="n"/>
      <c r="D415" s="22" t="n"/>
      <c r="E415" s="22" t="n"/>
      <c r="F415" s="22" t="n"/>
      <c r="G415" s="22" t="n"/>
      <c r="H415" s="22" t="n"/>
      <c r="I415" s="22" t="n"/>
      <c r="J415" s="23" t="n"/>
      <c r="K415" s="24" t="n"/>
      <c r="L415" s="22" t="n"/>
      <c r="M415" s="23" t="n"/>
      <c r="N415" s="23" t="n"/>
      <c r="O415" s="23" t="n"/>
      <c r="P415" s="10">
        <f>IF(D415="","",IF(AND(M415="✓",N415="✓",O415="✓"),"✅正式",IF(M415&amp;N415&amp;O415="","入会前","手続き中")))</f>
        <v/>
      </c>
      <c r="Q415" s="24" t="n"/>
      <c r="R415" s="24" t="n"/>
      <c r="S415" s="10">
        <f>IF(OR(D415="",R415=""),"",TODAY()-R415)</f>
        <v/>
      </c>
      <c r="T415" s="22" t="n"/>
      <c r="U415" s="24" t="n"/>
      <c r="V415" s="23" t="n"/>
      <c r="W415" s="14">
        <f>IF(OR(D415="",V415="辞退",V415="保留",P415="✅正式"),"",TRIM(IF(AND(U415&lt;&gt;"",U415&lt;TODAY()),"期日超過 ","")&amp;IF(AND(S415&lt;&gt;"",S415&gt;='設定'!$B$9),"放置"&amp;S415&amp;"日 ","")&amp;IF(AND(J415="CCS済",M415&lt;&gt;"✓"),"CCS後の申込待ち ","")&amp;IF(AND(M415="✓",N415&lt;&gt;"✓"),"振込待ち ","")&amp;IF(AND(N415="✓",O415&lt;&gt;"✓"),"同意書待ち ","")&amp;IF(T415="","次アクション未設定","")))</f>
        <v/>
      </c>
      <c r="X415" s="10" t="n"/>
      <c r="Y415" s="22" t="n"/>
    </row>
    <row r="416">
      <c r="A416" s="10">
        <f>IF(D416="","",ROW()-4)</f>
        <v/>
      </c>
      <c r="B416" s="22" t="n"/>
      <c r="C416" s="22" t="n"/>
      <c r="D416" s="22" t="n"/>
      <c r="E416" s="22" t="n"/>
      <c r="F416" s="22" t="n"/>
      <c r="G416" s="22" t="n"/>
      <c r="H416" s="22" t="n"/>
      <c r="I416" s="22" t="n"/>
      <c r="J416" s="23" t="n"/>
      <c r="K416" s="24" t="n"/>
      <c r="L416" s="22" t="n"/>
      <c r="M416" s="23" t="n"/>
      <c r="N416" s="23" t="n"/>
      <c r="O416" s="23" t="n"/>
      <c r="P416" s="10">
        <f>IF(D416="","",IF(AND(M416="✓",N416="✓",O416="✓"),"✅正式",IF(M416&amp;N416&amp;O416="","入会前","手続き中")))</f>
        <v/>
      </c>
      <c r="Q416" s="24" t="n"/>
      <c r="R416" s="24" t="n"/>
      <c r="S416" s="10">
        <f>IF(OR(D416="",R416=""),"",TODAY()-R416)</f>
        <v/>
      </c>
      <c r="T416" s="22" t="n"/>
      <c r="U416" s="24" t="n"/>
      <c r="V416" s="23" t="n"/>
      <c r="W416" s="14">
        <f>IF(OR(D416="",V416="辞退",V416="保留",P416="✅正式"),"",TRIM(IF(AND(U416&lt;&gt;"",U416&lt;TODAY()),"期日超過 ","")&amp;IF(AND(S416&lt;&gt;"",S416&gt;='設定'!$B$9),"放置"&amp;S416&amp;"日 ","")&amp;IF(AND(J416="CCS済",M416&lt;&gt;"✓"),"CCS後の申込待ち ","")&amp;IF(AND(M416="✓",N416&lt;&gt;"✓"),"振込待ち ","")&amp;IF(AND(N416="✓",O416&lt;&gt;"✓"),"同意書待ち ","")&amp;IF(T416="","次アクション未設定","")))</f>
        <v/>
      </c>
      <c r="X416" s="10" t="n"/>
      <c r="Y416" s="22" t="n"/>
    </row>
    <row r="417">
      <c r="A417" s="10">
        <f>IF(D417="","",ROW()-4)</f>
        <v/>
      </c>
      <c r="B417" s="22" t="n"/>
      <c r="C417" s="22" t="n"/>
      <c r="D417" s="22" t="n"/>
      <c r="E417" s="22" t="n"/>
      <c r="F417" s="22" t="n"/>
      <c r="G417" s="22" t="n"/>
      <c r="H417" s="22" t="n"/>
      <c r="I417" s="22" t="n"/>
      <c r="J417" s="23" t="n"/>
      <c r="K417" s="24" t="n"/>
      <c r="L417" s="22" t="n"/>
      <c r="M417" s="23" t="n"/>
      <c r="N417" s="23" t="n"/>
      <c r="O417" s="23" t="n"/>
      <c r="P417" s="10">
        <f>IF(D417="","",IF(AND(M417="✓",N417="✓",O417="✓"),"✅正式",IF(M417&amp;N417&amp;O417="","入会前","手続き中")))</f>
        <v/>
      </c>
      <c r="Q417" s="24" t="n"/>
      <c r="R417" s="24" t="n"/>
      <c r="S417" s="10">
        <f>IF(OR(D417="",R417=""),"",TODAY()-R417)</f>
        <v/>
      </c>
      <c r="T417" s="22" t="n"/>
      <c r="U417" s="24" t="n"/>
      <c r="V417" s="23" t="n"/>
      <c r="W417" s="14">
        <f>IF(OR(D417="",V417="辞退",V417="保留",P417="✅正式"),"",TRIM(IF(AND(U417&lt;&gt;"",U417&lt;TODAY()),"期日超過 ","")&amp;IF(AND(S417&lt;&gt;"",S417&gt;='設定'!$B$9),"放置"&amp;S417&amp;"日 ","")&amp;IF(AND(J417="CCS済",M417&lt;&gt;"✓"),"CCS後の申込待ち ","")&amp;IF(AND(M417="✓",N417&lt;&gt;"✓"),"振込待ち ","")&amp;IF(AND(N417="✓",O417&lt;&gt;"✓"),"同意書待ち ","")&amp;IF(T417="","次アクション未設定","")))</f>
        <v/>
      </c>
      <c r="X417" s="10" t="n"/>
      <c r="Y417" s="22" t="n"/>
    </row>
    <row r="418">
      <c r="A418" s="10">
        <f>IF(D418="","",ROW()-4)</f>
        <v/>
      </c>
      <c r="B418" s="22" t="n"/>
      <c r="C418" s="22" t="n"/>
      <c r="D418" s="22" t="n"/>
      <c r="E418" s="22" t="n"/>
      <c r="F418" s="22" t="n"/>
      <c r="G418" s="22" t="n"/>
      <c r="H418" s="22" t="n"/>
      <c r="I418" s="22" t="n"/>
      <c r="J418" s="23" t="n"/>
      <c r="K418" s="24" t="n"/>
      <c r="L418" s="22" t="n"/>
      <c r="M418" s="23" t="n"/>
      <c r="N418" s="23" t="n"/>
      <c r="O418" s="23" t="n"/>
      <c r="P418" s="10">
        <f>IF(D418="","",IF(AND(M418="✓",N418="✓",O418="✓"),"✅正式",IF(M418&amp;N418&amp;O418="","入会前","手続き中")))</f>
        <v/>
      </c>
      <c r="Q418" s="24" t="n"/>
      <c r="R418" s="24" t="n"/>
      <c r="S418" s="10">
        <f>IF(OR(D418="",R418=""),"",TODAY()-R418)</f>
        <v/>
      </c>
      <c r="T418" s="22" t="n"/>
      <c r="U418" s="24" t="n"/>
      <c r="V418" s="23" t="n"/>
      <c r="W418" s="14">
        <f>IF(OR(D418="",V418="辞退",V418="保留",P418="✅正式"),"",TRIM(IF(AND(U418&lt;&gt;"",U418&lt;TODAY()),"期日超過 ","")&amp;IF(AND(S418&lt;&gt;"",S418&gt;='設定'!$B$9),"放置"&amp;S418&amp;"日 ","")&amp;IF(AND(J418="CCS済",M418&lt;&gt;"✓"),"CCS後の申込待ち ","")&amp;IF(AND(M418="✓",N418&lt;&gt;"✓"),"振込待ち ","")&amp;IF(AND(N418="✓",O418&lt;&gt;"✓"),"同意書待ち ","")&amp;IF(T418="","次アクション未設定","")))</f>
        <v/>
      </c>
      <c r="X418" s="10" t="n"/>
      <c r="Y418" s="22" t="n"/>
    </row>
    <row r="419">
      <c r="A419" s="10">
        <f>IF(D419="","",ROW()-4)</f>
        <v/>
      </c>
      <c r="B419" s="22" t="n"/>
      <c r="C419" s="22" t="n"/>
      <c r="D419" s="22" t="n"/>
      <c r="E419" s="22" t="n"/>
      <c r="F419" s="22" t="n"/>
      <c r="G419" s="22" t="n"/>
      <c r="H419" s="22" t="n"/>
      <c r="I419" s="22" t="n"/>
      <c r="J419" s="23" t="n"/>
      <c r="K419" s="24" t="n"/>
      <c r="L419" s="22" t="n"/>
      <c r="M419" s="23" t="n"/>
      <c r="N419" s="23" t="n"/>
      <c r="O419" s="23" t="n"/>
      <c r="P419" s="10">
        <f>IF(D419="","",IF(AND(M419="✓",N419="✓",O419="✓"),"✅正式",IF(M419&amp;N419&amp;O419="","入会前","手続き中")))</f>
        <v/>
      </c>
      <c r="Q419" s="24" t="n"/>
      <c r="R419" s="24" t="n"/>
      <c r="S419" s="10">
        <f>IF(OR(D419="",R419=""),"",TODAY()-R419)</f>
        <v/>
      </c>
      <c r="T419" s="22" t="n"/>
      <c r="U419" s="24" t="n"/>
      <c r="V419" s="23" t="n"/>
      <c r="W419" s="14">
        <f>IF(OR(D419="",V419="辞退",V419="保留",P419="✅正式"),"",TRIM(IF(AND(U419&lt;&gt;"",U419&lt;TODAY()),"期日超過 ","")&amp;IF(AND(S419&lt;&gt;"",S419&gt;='設定'!$B$9),"放置"&amp;S419&amp;"日 ","")&amp;IF(AND(J419="CCS済",M419&lt;&gt;"✓"),"CCS後の申込待ち ","")&amp;IF(AND(M419="✓",N419&lt;&gt;"✓"),"振込待ち ","")&amp;IF(AND(N419="✓",O419&lt;&gt;"✓"),"同意書待ち ","")&amp;IF(T419="","次アクション未設定","")))</f>
        <v/>
      </c>
      <c r="X419" s="10" t="n"/>
      <c r="Y419" s="22" t="n"/>
    </row>
    <row r="420">
      <c r="A420" s="10">
        <f>IF(D420="","",ROW()-4)</f>
        <v/>
      </c>
      <c r="B420" s="22" t="n"/>
      <c r="C420" s="22" t="n"/>
      <c r="D420" s="22" t="n"/>
      <c r="E420" s="22" t="n"/>
      <c r="F420" s="22" t="n"/>
      <c r="G420" s="22" t="n"/>
      <c r="H420" s="22" t="n"/>
      <c r="I420" s="22" t="n"/>
      <c r="J420" s="23" t="n"/>
      <c r="K420" s="24" t="n"/>
      <c r="L420" s="22" t="n"/>
      <c r="M420" s="23" t="n"/>
      <c r="N420" s="23" t="n"/>
      <c r="O420" s="23" t="n"/>
      <c r="P420" s="10">
        <f>IF(D420="","",IF(AND(M420="✓",N420="✓",O420="✓"),"✅正式",IF(M420&amp;N420&amp;O420="","入会前","手続き中")))</f>
        <v/>
      </c>
      <c r="Q420" s="24" t="n"/>
      <c r="R420" s="24" t="n"/>
      <c r="S420" s="10">
        <f>IF(OR(D420="",R420=""),"",TODAY()-R420)</f>
        <v/>
      </c>
      <c r="T420" s="22" t="n"/>
      <c r="U420" s="24" t="n"/>
      <c r="V420" s="23" t="n"/>
      <c r="W420" s="14">
        <f>IF(OR(D420="",V420="辞退",V420="保留",P420="✅正式"),"",TRIM(IF(AND(U420&lt;&gt;"",U420&lt;TODAY()),"期日超過 ","")&amp;IF(AND(S420&lt;&gt;"",S420&gt;='設定'!$B$9),"放置"&amp;S420&amp;"日 ","")&amp;IF(AND(J420="CCS済",M420&lt;&gt;"✓"),"CCS後の申込待ち ","")&amp;IF(AND(M420="✓",N420&lt;&gt;"✓"),"振込待ち ","")&amp;IF(AND(N420="✓",O420&lt;&gt;"✓"),"同意書待ち ","")&amp;IF(T420="","次アクション未設定","")))</f>
        <v/>
      </c>
      <c r="X420" s="10" t="n"/>
      <c r="Y420" s="22" t="n"/>
    </row>
    <row r="421">
      <c r="A421" s="10">
        <f>IF(D421="","",ROW()-4)</f>
        <v/>
      </c>
      <c r="B421" s="22" t="n"/>
      <c r="C421" s="22" t="n"/>
      <c r="D421" s="22" t="n"/>
      <c r="E421" s="22" t="n"/>
      <c r="F421" s="22" t="n"/>
      <c r="G421" s="22" t="n"/>
      <c r="H421" s="22" t="n"/>
      <c r="I421" s="22" t="n"/>
      <c r="J421" s="23" t="n"/>
      <c r="K421" s="24" t="n"/>
      <c r="L421" s="22" t="n"/>
      <c r="M421" s="23" t="n"/>
      <c r="N421" s="23" t="n"/>
      <c r="O421" s="23" t="n"/>
      <c r="P421" s="10">
        <f>IF(D421="","",IF(AND(M421="✓",N421="✓",O421="✓"),"✅正式",IF(M421&amp;N421&amp;O421="","入会前","手続き中")))</f>
        <v/>
      </c>
      <c r="Q421" s="24" t="n"/>
      <c r="R421" s="24" t="n"/>
      <c r="S421" s="10">
        <f>IF(OR(D421="",R421=""),"",TODAY()-R421)</f>
        <v/>
      </c>
      <c r="T421" s="22" t="n"/>
      <c r="U421" s="24" t="n"/>
      <c r="V421" s="23" t="n"/>
      <c r="W421" s="14">
        <f>IF(OR(D421="",V421="辞退",V421="保留",P421="✅正式"),"",TRIM(IF(AND(U421&lt;&gt;"",U421&lt;TODAY()),"期日超過 ","")&amp;IF(AND(S421&lt;&gt;"",S421&gt;='設定'!$B$9),"放置"&amp;S421&amp;"日 ","")&amp;IF(AND(J421="CCS済",M421&lt;&gt;"✓"),"CCS後の申込待ち ","")&amp;IF(AND(M421="✓",N421&lt;&gt;"✓"),"振込待ち ","")&amp;IF(AND(N421="✓",O421&lt;&gt;"✓"),"同意書待ち ","")&amp;IF(T421="","次アクション未設定","")))</f>
        <v/>
      </c>
      <c r="X421" s="10" t="n"/>
      <c r="Y421" s="22" t="n"/>
    </row>
    <row r="422">
      <c r="A422" s="10">
        <f>IF(D422="","",ROW()-4)</f>
        <v/>
      </c>
      <c r="B422" s="22" t="n"/>
      <c r="C422" s="22" t="n"/>
      <c r="D422" s="22" t="n"/>
      <c r="E422" s="22" t="n"/>
      <c r="F422" s="22" t="n"/>
      <c r="G422" s="22" t="n"/>
      <c r="H422" s="22" t="n"/>
      <c r="I422" s="22" t="n"/>
      <c r="J422" s="23" t="n"/>
      <c r="K422" s="24" t="n"/>
      <c r="L422" s="22" t="n"/>
      <c r="M422" s="23" t="n"/>
      <c r="N422" s="23" t="n"/>
      <c r="O422" s="23" t="n"/>
      <c r="P422" s="10">
        <f>IF(D422="","",IF(AND(M422="✓",N422="✓",O422="✓"),"✅正式",IF(M422&amp;N422&amp;O422="","入会前","手続き中")))</f>
        <v/>
      </c>
      <c r="Q422" s="24" t="n"/>
      <c r="R422" s="24" t="n"/>
      <c r="S422" s="10">
        <f>IF(OR(D422="",R422=""),"",TODAY()-R422)</f>
        <v/>
      </c>
      <c r="T422" s="22" t="n"/>
      <c r="U422" s="24" t="n"/>
      <c r="V422" s="23" t="n"/>
      <c r="W422" s="14">
        <f>IF(OR(D422="",V422="辞退",V422="保留",P422="✅正式"),"",TRIM(IF(AND(U422&lt;&gt;"",U422&lt;TODAY()),"期日超過 ","")&amp;IF(AND(S422&lt;&gt;"",S422&gt;='設定'!$B$9),"放置"&amp;S422&amp;"日 ","")&amp;IF(AND(J422="CCS済",M422&lt;&gt;"✓"),"CCS後の申込待ち ","")&amp;IF(AND(M422="✓",N422&lt;&gt;"✓"),"振込待ち ","")&amp;IF(AND(N422="✓",O422&lt;&gt;"✓"),"同意書待ち ","")&amp;IF(T422="","次アクション未設定","")))</f>
        <v/>
      </c>
      <c r="X422" s="10" t="n"/>
      <c r="Y422" s="22" t="n"/>
    </row>
    <row r="423">
      <c r="A423" s="10">
        <f>IF(D423="","",ROW()-4)</f>
        <v/>
      </c>
      <c r="B423" s="22" t="n"/>
      <c r="C423" s="22" t="n"/>
      <c r="D423" s="22" t="n"/>
      <c r="E423" s="22" t="n"/>
      <c r="F423" s="22" t="n"/>
      <c r="G423" s="22" t="n"/>
      <c r="H423" s="22" t="n"/>
      <c r="I423" s="22" t="n"/>
      <c r="J423" s="23" t="n"/>
      <c r="K423" s="24" t="n"/>
      <c r="L423" s="22" t="n"/>
      <c r="M423" s="23" t="n"/>
      <c r="N423" s="23" t="n"/>
      <c r="O423" s="23" t="n"/>
      <c r="P423" s="10">
        <f>IF(D423="","",IF(AND(M423="✓",N423="✓",O423="✓"),"✅正式",IF(M423&amp;N423&amp;O423="","入会前","手続き中")))</f>
        <v/>
      </c>
      <c r="Q423" s="24" t="n"/>
      <c r="R423" s="24" t="n"/>
      <c r="S423" s="10">
        <f>IF(OR(D423="",R423=""),"",TODAY()-R423)</f>
        <v/>
      </c>
      <c r="T423" s="22" t="n"/>
      <c r="U423" s="24" t="n"/>
      <c r="V423" s="23" t="n"/>
      <c r="W423" s="14">
        <f>IF(OR(D423="",V423="辞退",V423="保留",P423="✅正式"),"",TRIM(IF(AND(U423&lt;&gt;"",U423&lt;TODAY()),"期日超過 ","")&amp;IF(AND(S423&lt;&gt;"",S423&gt;='設定'!$B$9),"放置"&amp;S423&amp;"日 ","")&amp;IF(AND(J423="CCS済",M423&lt;&gt;"✓"),"CCS後の申込待ち ","")&amp;IF(AND(M423="✓",N423&lt;&gt;"✓"),"振込待ち ","")&amp;IF(AND(N423="✓",O423&lt;&gt;"✓"),"同意書待ち ","")&amp;IF(T423="","次アクション未設定","")))</f>
        <v/>
      </c>
      <c r="X423" s="10" t="n"/>
      <c r="Y423" s="22" t="n"/>
    </row>
    <row r="424">
      <c r="A424" s="10">
        <f>IF(D424="","",ROW()-4)</f>
        <v/>
      </c>
      <c r="B424" s="22" t="n"/>
      <c r="C424" s="22" t="n"/>
      <c r="D424" s="22" t="n"/>
      <c r="E424" s="22" t="n"/>
      <c r="F424" s="22" t="n"/>
      <c r="G424" s="22" t="n"/>
      <c r="H424" s="22" t="n"/>
      <c r="I424" s="22" t="n"/>
      <c r="J424" s="23" t="n"/>
      <c r="K424" s="24" t="n"/>
      <c r="L424" s="22" t="n"/>
      <c r="M424" s="23" t="n"/>
      <c r="N424" s="23" t="n"/>
      <c r="O424" s="23" t="n"/>
      <c r="P424" s="10">
        <f>IF(D424="","",IF(AND(M424="✓",N424="✓",O424="✓"),"✅正式",IF(M424&amp;N424&amp;O424="","入会前","手続き中")))</f>
        <v/>
      </c>
      <c r="Q424" s="24" t="n"/>
      <c r="R424" s="24" t="n"/>
      <c r="S424" s="10">
        <f>IF(OR(D424="",R424=""),"",TODAY()-R424)</f>
        <v/>
      </c>
      <c r="T424" s="22" t="n"/>
      <c r="U424" s="24" t="n"/>
      <c r="V424" s="23" t="n"/>
      <c r="W424" s="14">
        <f>IF(OR(D424="",V424="辞退",V424="保留",P424="✅正式"),"",TRIM(IF(AND(U424&lt;&gt;"",U424&lt;TODAY()),"期日超過 ","")&amp;IF(AND(S424&lt;&gt;"",S424&gt;='設定'!$B$9),"放置"&amp;S424&amp;"日 ","")&amp;IF(AND(J424="CCS済",M424&lt;&gt;"✓"),"CCS後の申込待ち ","")&amp;IF(AND(M424="✓",N424&lt;&gt;"✓"),"振込待ち ","")&amp;IF(AND(N424="✓",O424&lt;&gt;"✓"),"同意書待ち ","")&amp;IF(T424="","次アクション未設定","")))</f>
        <v/>
      </c>
      <c r="X424" s="10" t="n"/>
      <c r="Y424" s="22" t="n"/>
    </row>
    <row r="425">
      <c r="A425" s="10">
        <f>IF(D425="","",ROW()-4)</f>
        <v/>
      </c>
      <c r="B425" s="22" t="n"/>
      <c r="C425" s="22" t="n"/>
      <c r="D425" s="22" t="n"/>
      <c r="E425" s="22" t="n"/>
      <c r="F425" s="22" t="n"/>
      <c r="G425" s="22" t="n"/>
      <c r="H425" s="22" t="n"/>
      <c r="I425" s="22" t="n"/>
      <c r="J425" s="23" t="n"/>
      <c r="K425" s="24" t="n"/>
      <c r="L425" s="22" t="n"/>
      <c r="M425" s="23" t="n"/>
      <c r="N425" s="23" t="n"/>
      <c r="O425" s="23" t="n"/>
      <c r="P425" s="10">
        <f>IF(D425="","",IF(AND(M425="✓",N425="✓",O425="✓"),"✅正式",IF(M425&amp;N425&amp;O425="","入会前","手続き中")))</f>
        <v/>
      </c>
      <c r="Q425" s="24" t="n"/>
      <c r="R425" s="24" t="n"/>
      <c r="S425" s="10">
        <f>IF(OR(D425="",R425=""),"",TODAY()-R425)</f>
        <v/>
      </c>
      <c r="T425" s="22" t="n"/>
      <c r="U425" s="24" t="n"/>
      <c r="V425" s="23" t="n"/>
      <c r="W425" s="14">
        <f>IF(OR(D425="",V425="辞退",V425="保留",P425="✅正式"),"",TRIM(IF(AND(U425&lt;&gt;"",U425&lt;TODAY()),"期日超過 ","")&amp;IF(AND(S425&lt;&gt;"",S425&gt;='設定'!$B$9),"放置"&amp;S425&amp;"日 ","")&amp;IF(AND(J425="CCS済",M425&lt;&gt;"✓"),"CCS後の申込待ち ","")&amp;IF(AND(M425="✓",N425&lt;&gt;"✓"),"振込待ち ","")&amp;IF(AND(N425="✓",O425&lt;&gt;"✓"),"同意書待ち ","")&amp;IF(T425="","次アクション未設定","")))</f>
        <v/>
      </c>
      <c r="X425" s="10" t="n"/>
      <c r="Y425" s="22" t="n"/>
    </row>
    <row r="426">
      <c r="A426" s="10">
        <f>IF(D426="","",ROW()-4)</f>
        <v/>
      </c>
      <c r="B426" s="22" t="n"/>
      <c r="C426" s="22" t="n"/>
      <c r="D426" s="22" t="n"/>
      <c r="E426" s="22" t="n"/>
      <c r="F426" s="22" t="n"/>
      <c r="G426" s="22" t="n"/>
      <c r="H426" s="22" t="n"/>
      <c r="I426" s="22" t="n"/>
      <c r="J426" s="23" t="n"/>
      <c r="K426" s="24" t="n"/>
      <c r="L426" s="22" t="n"/>
      <c r="M426" s="23" t="n"/>
      <c r="N426" s="23" t="n"/>
      <c r="O426" s="23" t="n"/>
      <c r="P426" s="10">
        <f>IF(D426="","",IF(AND(M426="✓",N426="✓",O426="✓"),"✅正式",IF(M426&amp;N426&amp;O426="","入会前","手続き中")))</f>
        <v/>
      </c>
      <c r="Q426" s="24" t="n"/>
      <c r="R426" s="24" t="n"/>
      <c r="S426" s="10">
        <f>IF(OR(D426="",R426=""),"",TODAY()-R426)</f>
        <v/>
      </c>
      <c r="T426" s="22" t="n"/>
      <c r="U426" s="24" t="n"/>
      <c r="V426" s="23" t="n"/>
      <c r="W426" s="14">
        <f>IF(OR(D426="",V426="辞退",V426="保留",P426="✅正式"),"",TRIM(IF(AND(U426&lt;&gt;"",U426&lt;TODAY()),"期日超過 ","")&amp;IF(AND(S426&lt;&gt;"",S426&gt;='設定'!$B$9),"放置"&amp;S426&amp;"日 ","")&amp;IF(AND(J426="CCS済",M426&lt;&gt;"✓"),"CCS後の申込待ち ","")&amp;IF(AND(M426="✓",N426&lt;&gt;"✓"),"振込待ち ","")&amp;IF(AND(N426="✓",O426&lt;&gt;"✓"),"同意書待ち ","")&amp;IF(T426="","次アクション未設定","")))</f>
        <v/>
      </c>
      <c r="X426" s="10" t="n"/>
      <c r="Y426" s="22" t="n"/>
    </row>
    <row r="427">
      <c r="A427" s="10">
        <f>IF(D427="","",ROW()-4)</f>
        <v/>
      </c>
      <c r="B427" s="22" t="n"/>
      <c r="C427" s="22" t="n"/>
      <c r="D427" s="22" t="n"/>
      <c r="E427" s="22" t="n"/>
      <c r="F427" s="22" t="n"/>
      <c r="G427" s="22" t="n"/>
      <c r="H427" s="22" t="n"/>
      <c r="I427" s="22" t="n"/>
      <c r="J427" s="23" t="n"/>
      <c r="K427" s="24" t="n"/>
      <c r="L427" s="22" t="n"/>
      <c r="M427" s="23" t="n"/>
      <c r="N427" s="23" t="n"/>
      <c r="O427" s="23" t="n"/>
      <c r="P427" s="10">
        <f>IF(D427="","",IF(AND(M427="✓",N427="✓",O427="✓"),"✅正式",IF(M427&amp;N427&amp;O427="","入会前","手続き中")))</f>
        <v/>
      </c>
      <c r="Q427" s="24" t="n"/>
      <c r="R427" s="24" t="n"/>
      <c r="S427" s="10">
        <f>IF(OR(D427="",R427=""),"",TODAY()-R427)</f>
        <v/>
      </c>
      <c r="T427" s="22" t="n"/>
      <c r="U427" s="24" t="n"/>
      <c r="V427" s="23" t="n"/>
      <c r="W427" s="14">
        <f>IF(OR(D427="",V427="辞退",V427="保留",P427="✅正式"),"",TRIM(IF(AND(U427&lt;&gt;"",U427&lt;TODAY()),"期日超過 ","")&amp;IF(AND(S427&lt;&gt;"",S427&gt;='設定'!$B$9),"放置"&amp;S427&amp;"日 ","")&amp;IF(AND(J427="CCS済",M427&lt;&gt;"✓"),"CCS後の申込待ち ","")&amp;IF(AND(M427="✓",N427&lt;&gt;"✓"),"振込待ち ","")&amp;IF(AND(N427="✓",O427&lt;&gt;"✓"),"同意書待ち ","")&amp;IF(T427="","次アクション未設定","")))</f>
        <v/>
      </c>
      <c r="X427" s="10" t="n"/>
      <c r="Y427" s="22" t="n"/>
    </row>
    <row r="428">
      <c r="A428" s="10">
        <f>IF(D428="","",ROW()-4)</f>
        <v/>
      </c>
      <c r="B428" s="22" t="n"/>
      <c r="C428" s="22" t="n"/>
      <c r="D428" s="22" t="n"/>
      <c r="E428" s="22" t="n"/>
      <c r="F428" s="22" t="n"/>
      <c r="G428" s="22" t="n"/>
      <c r="H428" s="22" t="n"/>
      <c r="I428" s="22" t="n"/>
      <c r="J428" s="23" t="n"/>
      <c r="K428" s="24" t="n"/>
      <c r="L428" s="22" t="n"/>
      <c r="M428" s="23" t="n"/>
      <c r="N428" s="23" t="n"/>
      <c r="O428" s="23" t="n"/>
      <c r="P428" s="10">
        <f>IF(D428="","",IF(AND(M428="✓",N428="✓",O428="✓"),"✅正式",IF(M428&amp;N428&amp;O428="","入会前","手続き中")))</f>
        <v/>
      </c>
      <c r="Q428" s="24" t="n"/>
      <c r="R428" s="24" t="n"/>
      <c r="S428" s="10">
        <f>IF(OR(D428="",R428=""),"",TODAY()-R428)</f>
        <v/>
      </c>
      <c r="T428" s="22" t="n"/>
      <c r="U428" s="24" t="n"/>
      <c r="V428" s="23" t="n"/>
      <c r="W428" s="14">
        <f>IF(OR(D428="",V428="辞退",V428="保留",P428="✅正式"),"",TRIM(IF(AND(U428&lt;&gt;"",U428&lt;TODAY()),"期日超過 ","")&amp;IF(AND(S428&lt;&gt;"",S428&gt;='設定'!$B$9),"放置"&amp;S428&amp;"日 ","")&amp;IF(AND(J428="CCS済",M428&lt;&gt;"✓"),"CCS後の申込待ち ","")&amp;IF(AND(M428="✓",N428&lt;&gt;"✓"),"振込待ち ","")&amp;IF(AND(N428="✓",O428&lt;&gt;"✓"),"同意書待ち ","")&amp;IF(T428="","次アクション未設定","")))</f>
        <v/>
      </c>
      <c r="X428" s="10" t="n"/>
      <c r="Y428" s="22" t="n"/>
    </row>
    <row r="429">
      <c r="A429" s="10">
        <f>IF(D429="","",ROW()-4)</f>
        <v/>
      </c>
      <c r="B429" s="22" t="n"/>
      <c r="C429" s="22" t="n"/>
      <c r="D429" s="22" t="n"/>
      <c r="E429" s="22" t="n"/>
      <c r="F429" s="22" t="n"/>
      <c r="G429" s="22" t="n"/>
      <c r="H429" s="22" t="n"/>
      <c r="I429" s="22" t="n"/>
      <c r="J429" s="23" t="n"/>
      <c r="K429" s="24" t="n"/>
      <c r="L429" s="22" t="n"/>
      <c r="M429" s="23" t="n"/>
      <c r="N429" s="23" t="n"/>
      <c r="O429" s="23" t="n"/>
      <c r="P429" s="10">
        <f>IF(D429="","",IF(AND(M429="✓",N429="✓",O429="✓"),"✅正式",IF(M429&amp;N429&amp;O429="","入会前","手続き中")))</f>
        <v/>
      </c>
      <c r="Q429" s="24" t="n"/>
      <c r="R429" s="24" t="n"/>
      <c r="S429" s="10">
        <f>IF(OR(D429="",R429=""),"",TODAY()-R429)</f>
        <v/>
      </c>
      <c r="T429" s="22" t="n"/>
      <c r="U429" s="24" t="n"/>
      <c r="V429" s="23" t="n"/>
      <c r="W429" s="14">
        <f>IF(OR(D429="",V429="辞退",V429="保留",P429="✅正式"),"",TRIM(IF(AND(U429&lt;&gt;"",U429&lt;TODAY()),"期日超過 ","")&amp;IF(AND(S429&lt;&gt;"",S429&gt;='設定'!$B$9),"放置"&amp;S429&amp;"日 ","")&amp;IF(AND(J429="CCS済",M429&lt;&gt;"✓"),"CCS後の申込待ち ","")&amp;IF(AND(M429="✓",N429&lt;&gt;"✓"),"振込待ち ","")&amp;IF(AND(N429="✓",O429&lt;&gt;"✓"),"同意書待ち ","")&amp;IF(T429="","次アクション未設定","")))</f>
        <v/>
      </c>
      <c r="X429" s="10" t="n"/>
      <c r="Y429" s="22" t="n"/>
    </row>
    <row r="430">
      <c r="A430" s="10">
        <f>IF(D430="","",ROW()-4)</f>
        <v/>
      </c>
      <c r="B430" s="22" t="n"/>
      <c r="C430" s="22" t="n"/>
      <c r="D430" s="22" t="n"/>
      <c r="E430" s="22" t="n"/>
      <c r="F430" s="22" t="n"/>
      <c r="G430" s="22" t="n"/>
      <c r="H430" s="22" t="n"/>
      <c r="I430" s="22" t="n"/>
      <c r="J430" s="23" t="n"/>
      <c r="K430" s="24" t="n"/>
      <c r="L430" s="22" t="n"/>
      <c r="M430" s="23" t="n"/>
      <c r="N430" s="23" t="n"/>
      <c r="O430" s="23" t="n"/>
      <c r="P430" s="10">
        <f>IF(D430="","",IF(AND(M430="✓",N430="✓",O430="✓"),"✅正式",IF(M430&amp;N430&amp;O430="","入会前","手続き中")))</f>
        <v/>
      </c>
      <c r="Q430" s="24" t="n"/>
      <c r="R430" s="24" t="n"/>
      <c r="S430" s="10">
        <f>IF(OR(D430="",R430=""),"",TODAY()-R430)</f>
        <v/>
      </c>
      <c r="T430" s="22" t="n"/>
      <c r="U430" s="24" t="n"/>
      <c r="V430" s="23" t="n"/>
      <c r="W430" s="14">
        <f>IF(OR(D430="",V430="辞退",V430="保留",P430="✅正式"),"",TRIM(IF(AND(U430&lt;&gt;"",U430&lt;TODAY()),"期日超過 ","")&amp;IF(AND(S430&lt;&gt;"",S430&gt;='設定'!$B$9),"放置"&amp;S430&amp;"日 ","")&amp;IF(AND(J430="CCS済",M430&lt;&gt;"✓"),"CCS後の申込待ち ","")&amp;IF(AND(M430="✓",N430&lt;&gt;"✓"),"振込待ち ","")&amp;IF(AND(N430="✓",O430&lt;&gt;"✓"),"同意書待ち ","")&amp;IF(T430="","次アクション未設定","")))</f>
        <v/>
      </c>
      <c r="X430" s="10" t="n"/>
      <c r="Y430" s="22" t="n"/>
    </row>
    <row r="431">
      <c r="A431" s="10">
        <f>IF(D431="","",ROW()-4)</f>
        <v/>
      </c>
      <c r="B431" s="22" t="n"/>
      <c r="C431" s="22" t="n"/>
      <c r="D431" s="22" t="n"/>
      <c r="E431" s="22" t="n"/>
      <c r="F431" s="22" t="n"/>
      <c r="G431" s="22" t="n"/>
      <c r="H431" s="22" t="n"/>
      <c r="I431" s="22" t="n"/>
      <c r="J431" s="23" t="n"/>
      <c r="K431" s="24" t="n"/>
      <c r="L431" s="22" t="n"/>
      <c r="M431" s="23" t="n"/>
      <c r="N431" s="23" t="n"/>
      <c r="O431" s="23" t="n"/>
      <c r="P431" s="10">
        <f>IF(D431="","",IF(AND(M431="✓",N431="✓",O431="✓"),"✅正式",IF(M431&amp;N431&amp;O431="","入会前","手続き中")))</f>
        <v/>
      </c>
      <c r="Q431" s="24" t="n"/>
      <c r="R431" s="24" t="n"/>
      <c r="S431" s="10">
        <f>IF(OR(D431="",R431=""),"",TODAY()-R431)</f>
        <v/>
      </c>
      <c r="T431" s="22" t="n"/>
      <c r="U431" s="24" t="n"/>
      <c r="V431" s="23" t="n"/>
      <c r="W431" s="14">
        <f>IF(OR(D431="",V431="辞退",V431="保留",P431="✅正式"),"",TRIM(IF(AND(U431&lt;&gt;"",U431&lt;TODAY()),"期日超過 ","")&amp;IF(AND(S431&lt;&gt;"",S431&gt;='設定'!$B$9),"放置"&amp;S431&amp;"日 ","")&amp;IF(AND(J431="CCS済",M431&lt;&gt;"✓"),"CCS後の申込待ち ","")&amp;IF(AND(M431="✓",N431&lt;&gt;"✓"),"振込待ち ","")&amp;IF(AND(N431="✓",O431&lt;&gt;"✓"),"同意書待ち ","")&amp;IF(T431="","次アクション未設定","")))</f>
        <v/>
      </c>
      <c r="X431" s="10" t="n"/>
      <c r="Y431" s="22" t="n"/>
    </row>
    <row r="432">
      <c r="A432" s="10">
        <f>IF(D432="","",ROW()-4)</f>
        <v/>
      </c>
      <c r="B432" s="22" t="n"/>
      <c r="C432" s="22" t="n"/>
      <c r="D432" s="22" t="n"/>
      <c r="E432" s="22" t="n"/>
      <c r="F432" s="22" t="n"/>
      <c r="G432" s="22" t="n"/>
      <c r="H432" s="22" t="n"/>
      <c r="I432" s="22" t="n"/>
      <c r="J432" s="23" t="n"/>
      <c r="K432" s="24" t="n"/>
      <c r="L432" s="22" t="n"/>
      <c r="M432" s="23" t="n"/>
      <c r="N432" s="23" t="n"/>
      <c r="O432" s="23" t="n"/>
      <c r="P432" s="10">
        <f>IF(D432="","",IF(AND(M432="✓",N432="✓",O432="✓"),"✅正式",IF(M432&amp;N432&amp;O432="","入会前","手続き中")))</f>
        <v/>
      </c>
      <c r="Q432" s="24" t="n"/>
      <c r="R432" s="24" t="n"/>
      <c r="S432" s="10">
        <f>IF(OR(D432="",R432=""),"",TODAY()-R432)</f>
        <v/>
      </c>
      <c r="T432" s="22" t="n"/>
      <c r="U432" s="24" t="n"/>
      <c r="V432" s="23" t="n"/>
      <c r="W432" s="14">
        <f>IF(OR(D432="",V432="辞退",V432="保留",P432="✅正式"),"",TRIM(IF(AND(U432&lt;&gt;"",U432&lt;TODAY()),"期日超過 ","")&amp;IF(AND(S432&lt;&gt;"",S432&gt;='設定'!$B$9),"放置"&amp;S432&amp;"日 ","")&amp;IF(AND(J432="CCS済",M432&lt;&gt;"✓"),"CCS後の申込待ち ","")&amp;IF(AND(M432="✓",N432&lt;&gt;"✓"),"振込待ち ","")&amp;IF(AND(N432="✓",O432&lt;&gt;"✓"),"同意書待ち ","")&amp;IF(T432="","次アクション未設定","")))</f>
        <v/>
      </c>
      <c r="X432" s="10" t="n"/>
      <c r="Y432" s="22" t="n"/>
    </row>
    <row r="433">
      <c r="A433" s="10">
        <f>IF(D433="","",ROW()-4)</f>
        <v/>
      </c>
      <c r="B433" s="22" t="n"/>
      <c r="C433" s="22" t="n"/>
      <c r="D433" s="22" t="n"/>
      <c r="E433" s="22" t="n"/>
      <c r="F433" s="22" t="n"/>
      <c r="G433" s="22" t="n"/>
      <c r="H433" s="22" t="n"/>
      <c r="I433" s="22" t="n"/>
      <c r="J433" s="23" t="n"/>
      <c r="K433" s="24" t="n"/>
      <c r="L433" s="22" t="n"/>
      <c r="M433" s="23" t="n"/>
      <c r="N433" s="23" t="n"/>
      <c r="O433" s="23" t="n"/>
      <c r="P433" s="10">
        <f>IF(D433="","",IF(AND(M433="✓",N433="✓",O433="✓"),"✅正式",IF(M433&amp;N433&amp;O433="","入会前","手続き中")))</f>
        <v/>
      </c>
      <c r="Q433" s="24" t="n"/>
      <c r="R433" s="24" t="n"/>
      <c r="S433" s="10">
        <f>IF(OR(D433="",R433=""),"",TODAY()-R433)</f>
        <v/>
      </c>
      <c r="T433" s="22" t="n"/>
      <c r="U433" s="24" t="n"/>
      <c r="V433" s="23" t="n"/>
      <c r="W433" s="14">
        <f>IF(OR(D433="",V433="辞退",V433="保留",P433="✅正式"),"",TRIM(IF(AND(U433&lt;&gt;"",U433&lt;TODAY()),"期日超過 ","")&amp;IF(AND(S433&lt;&gt;"",S433&gt;='設定'!$B$9),"放置"&amp;S433&amp;"日 ","")&amp;IF(AND(J433="CCS済",M433&lt;&gt;"✓"),"CCS後の申込待ち ","")&amp;IF(AND(M433="✓",N433&lt;&gt;"✓"),"振込待ち ","")&amp;IF(AND(N433="✓",O433&lt;&gt;"✓"),"同意書待ち ","")&amp;IF(T433="","次アクション未設定","")))</f>
        <v/>
      </c>
      <c r="X433" s="10" t="n"/>
      <c r="Y433" s="22" t="n"/>
    </row>
    <row r="434">
      <c r="A434" s="10">
        <f>IF(D434="","",ROW()-4)</f>
        <v/>
      </c>
      <c r="B434" s="22" t="n"/>
      <c r="C434" s="22" t="n"/>
      <c r="D434" s="22" t="n"/>
      <c r="E434" s="22" t="n"/>
      <c r="F434" s="22" t="n"/>
      <c r="G434" s="22" t="n"/>
      <c r="H434" s="22" t="n"/>
      <c r="I434" s="22" t="n"/>
      <c r="J434" s="23" t="n"/>
      <c r="K434" s="24" t="n"/>
      <c r="L434" s="22" t="n"/>
      <c r="M434" s="23" t="n"/>
      <c r="N434" s="23" t="n"/>
      <c r="O434" s="23" t="n"/>
      <c r="P434" s="10">
        <f>IF(D434="","",IF(AND(M434="✓",N434="✓",O434="✓"),"✅正式",IF(M434&amp;N434&amp;O434="","入会前","手続き中")))</f>
        <v/>
      </c>
      <c r="Q434" s="24" t="n"/>
      <c r="R434" s="24" t="n"/>
      <c r="S434" s="10">
        <f>IF(OR(D434="",R434=""),"",TODAY()-R434)</f>
        <v/>
      </c>
      <c r="T434" s="22" t="n"/>
      <c r="U434" s="24" t="n"/>
      <c r="V434" s="23" t="n"/>
      <c r="W434" s="14">
        <f>IF(OR(D434="",V434="辞退",V434="保留",P434="✅正式"),"",TRIM(IF(AND(U434&lt;&gt;"",U434&lt;TODAY()),"期日超過 ","")&amp;IF(AND(S434&lt;&gt;"",S434&gt;='設定'!$B$9),"放置"&amp;S434&amp;"日 ","")&amp;IF(AND(J434="CCS済",M434&lt;&gt;"✓"),"CCS後の申込待ち ","")&amp;IF(AND(M434="✓",N434&lt;&gt;"✓"),"振込待ち ","")&amp;IF(AND(N434="✓",O434&lt;&gt;"✓"),"同意書待ち ","")&amp;IF(T434="","次アクション未設定","")))</f>
        <v/>
      </c>
      <c r="X434" s="10" t="n"/>
      <c r="Y434" s="22" t="n"/>
    </row>
    <row r="435">
      <c r="A435" s="10">
        <f>IF(D435="","",ROW()-4)</f>
        <v/>
      </c>
      <c r="B435" s="22" t="n"/>
      <c r="C435" s="22" t="n"/>
      <c r="D435" s="22" t="n"/>
      <c r="E435" s="22" t="n"/>
      <c r="F435" s="22" t="n"/>
      <c r="G435" s="22" t="n"/>
      <c r="H435" s="22" t="n"/>
      <c r="I435" s="22" t="n"/>
      <c r="J435" s="23" t="n"/>
      <c r="K435" s="24" t="n"/>
      <c r="L435" s="22" t="n"/>
      <c r="M435" s="23" t="n"/>
      <c r="N435" s="23" t="n"/>
      <c r="O435" s="23" t="n"/>
      <c r="P435" s="10">
        <f>IF(D435="","",IF(AND(M435="✓",N435="✓",O435="✓"),"✅正式",IF(M435&amp;N435&amp;O435="","入会前","手続き中")))</f>
        <v/>
      </c>
      <c r="Q435" s="24" t="n"/>
      <c r="R435" s="24" t="n"/>
      <c r="S435" s="10">
        <f>IF(OR(D435="",R435=""),"",TODAY()-R435)</f>
        <v/>
      </c>
      <c r="T435" s="22" t="n"/>
      <c r="U435" s="24" t="n"/>
      <c r="V435" s="23" t="n"/>
      <c r="W435" s="14">
        <f>IF(OR(D435="",V435="辞退",V435="保留",P435="✅正式"),"",TRIM(IF(AND(U435&lt;&gt;"",U435&lt;TODAY()),"期日超過 ","")&amp;IF(AND(S435&lt;&gt;"",S435&gt;='設定'!$B$9),"放置"&amp;S435&amp;"日 ","")&amp;IF(AND(J435="CCS済",M435&lt;&gt;"✓"),"CCS後の申込待ち ","")&amp;IF(AND(M435="✓",N435&lt;&gt;"✓"),"振込待ち ","")&amp;IF(AND(N435="✓",O435&lt;&gt;"✓"),"同意書待ち ","")&amp;IF(T435="","次アクション未設定","")))</f>
        <v/>
      </c>
      <c r="X435" s="10" t="n"/>
      <c r="Y435" s="22" t="n"/>
    </row>
    <row r="436">
      <c r="A436" s="10">
        <f>IF(D436="","",ROW()-4)</f>
        <v/>
      </c>
      <c r="B436" s="22" t="n"/>
      <c r="C436" s="22" t="n"/>
      <c r="D436" s="22" t="n"/>
      <c r="E436" s="22" t="n"/>
      <c r="F436" s="22" t="n"/>
      <c r="G436" s="22" t="n"/>
      <c r="H436" s="22" t="n"/>
      <c r="I436" s="22" t="n"/>
      <c r="J436" s="23" t="n"/>
      <c r="K436" s="24" t="n"/>
      <c r="L436" s="22" t="n"/>
      <c r="M436" s="23" t="n"/>
      <c r="N436" s="23" t="n"/>
      <c r="O436" s="23" t="n"/>
      <c r="P436" s="10">
        <f>IF(D436="","",IF(AND(M436="✓",N436="✓",O436="✓"),"✅正式",IF(M436&amp;N436&amp;O436="","入会前","手続き中")))</f>
        <v/>
      </c>
      <c r="Q436" s="24" t="n"/>
      <c r="R436" s="24" t="n"/>
      <c r="S436" s="10">
        <f>IF(OR(D436="",R436=""),"",TODAY()-R436)</f>
        <v/>
      </c>
      <c r="T436" s="22" t="n"/>
      <c r="U436" s="24" t="n"/>
      <c r="V436" s="23" t="n"/>
      <c r="W436" s="14">
        <f>IF(OR(D436="",V436="辞退",V436="保留",P436="✅正式"),"",TRIM(IF(AND(U436&lt;&gt;"",U436&lt;TODAY()),"期日超過 ","")&amp;IF(AND(S436&lt;&gt;"",S436&gt;='設定'!$B$9),"放置"&amp;S436&amp;"日 ","")&amp;IF(AND(J436="CCS済",M436&lt;&gt;"✓"),"CCS後の申込待ち ","")&amp;IF(AND(M436="✓",N436&lt;&gt;"✓"),"振込待ち ","")&amp;IF(AND(N436="✓",O436&lt;&gt;"✓"),"同意書待ち ","")&amp;IF(T436="","次アクション未設定","")))</f>
        <v/>
      </c>
      <c r="X436" s="10" t="n"/>
      <c r="Y436" s="22" t="n"/>
    </row>
    <row r="437">
      <c r="A437" s="10">
        <f>IF(D437="","",ROW()-4)</f>
        <v/>
      </c>
      <c r="B437" s="22" t="n"/>
      <c r="C437" s="22" t="n"/>
      <c r="D437" s="22" t="n"/>
      <c r="E437" s="22" t="n"/>
      <c r="F437" s="22" t="n"/>
      <c r="G437" s="22" t="n"/>
      <c r="H437" s="22" t="n"/>
      <c r="I437" s="22" t="n"/>
      <c r="J437" s="23" t="n"/>
      <c r="K437" s="24" t="n"/>
      <c r="L437" s="22" t="n"/>
      <c r="M437" s="23" t="n"/>
      <c r="N437" s="23" t="n"/>
      <c r="O437" s="23" t="n"/>
      <c r="P437" s="10">
        <f>IF(D437="","",IF(AND(M437="✓",N437="✓",O437="✓"),"✅正式",IF(M437&amp;N437&amp;O437="","入会前","手続き中")))</f>
        <v/>
      </c>
      <c r="Q437" s="24" t="n"/>
      <c r="R437" s="24" t="n"/>
      <c r="S437" s="10">
        <f>IF(OR(D437="",R437=""),"",TODAY()-R437)</f>
        <v/>
      </c>
      <c r="T437" s="22" t="n"/>
      <c r="U437" s="24" t="n"/>
      <c r="V437" s="23" t="n"/>
      <c r="W437" s="14">
        <f>IF(OR(D437="",V437="辞退",V437="保留",P437="✅正式"),"",TRIM(IF(AND(U437&lt;&gt;"",U437&lt;TODAY()),"期日超過 ","")&amp;IF(AND(S437&lt;&gt;"",S437&gt;='設定'!$B$9),"放置"&amp;S437&amp;"日 ","")&amp;IF(AND(J437="CCS済",M437&lt;&gt;"✓"),"CCS後の申込待ち ","")&amp;IF(AND(M437="✓",N437&lt;&gt;"✓"),"振込待ち ","")&amp;IF(AND(N437="✓",O437&lt;&gt;"✓"),"同意書待ち ","")&amp;IF(T437="","次アクション未設定","")))</f>
        <v/>
      </c>
      <c r="X437" s="10" t="n"/>
      <c r="Y437" s="22" t="n"/>
    </row>
    <row r="438">
      <c r="A438" s="10">
        <f>IF(D438="","",ROW()-4)</f>
        <v/>
      </c>
      <c r="B438" s="22" t="n"/>
      <c r="C438" s="22" t="n"/>
      <c r="D438" s="22" t="n"/>
      <c r="E438" s="22" t="n"/>
      <c r="F438" s="22" t="n"/>
      <c r="G438" s="22" t="n"/>
      <c r="H438" s="22" t="n"/>
      <c r="I438" s="22" t="n"/>
      <c r="J438" s="23" t="n"/>
      <c r="K438" s="24" t="n"/>
      <c r="L438" s="22" t="n"/>
      <c r="M438" s="23" t="n"/>
      <c r="N438" s="23" t="n"/>
      <c r="O438" s="23" t="n"/>
      <c r="P438" s="10">
        <f>IF(D438="","",IF(AND(M438="✓",N438="✓",O438="✓"),"✅正式",IF(M438&amp;N438&amp;O438="","入会前","手続き中")))</f>
        <v/>
      </c>
      <c r="Q438" s="24" t="n"/>
      <c r="R438" s="24" t="n"/>
      <c r="S438" s="10">
        <f>IF(OR(D438="",R438=""),"",TODAY()-R438)</f>
        <v/>
      </c>
      <c r="T438" s="22" t="n"/>
      <c r="U438" s="24" t="n"/>
      <c r="V438" s="23" t="n"/>
      <c r="W438" s="14">
        <f>IF(OR(D438="",V438="辞退",V438="保留",P438="✅正式"),"",TRIM(IF(AND(U438&lt;&gt;"",U438&lt;TODAY()),"期日超過 ","")&amp;IF(AND(S438&lt;&gt;"",S438&gt;='設定'!$B$9),"放置"&amp;S438&amp;"日 ","")&amp;IF(AND(J438="CCS済",M438&lt;&gt;"✓"),"CCS後の申込待ち ","")&amp;IF(AND(M438="✓",N438&lt;&gt;"✓"),"振込待ち ","")&amp;IF(AND(N438="✓",O438&lt;&gt;"✓"),"同意書待ち ","")&amp;IF(T438="","次アクション未設定","")))</f>
        <v/>
      </c>
      <c r="X438" s="10" t="n"/>
      <c r="Y438" s="22" t="n"/>
    </row>
    <row r="439">
      <c r="A439" s="10">
        <f>IF(D439="","",ROW()-4)</f>
        <v/>
      </c>
      <c r="B439" s="22" t="n"/>
      <c r="C439" s="22" t="n"/>
      <c r="D439" s="22" t="n"/>
      <c r="E439" s="22" t="n"/>
      <c r="F439" s="22" t="n"/>
      <c r="G439" s="22" t="n"/>
      <c r="H439" s="22" t="n"/>
      <c r="I439" s="22" t="n"/>
      <c r="J439" s="23" t="n"/>
      <c r="K439" s="24" t="n"/>
      <c r="L439" s="22" t="n"/>
      <c r="M439" s="23" t="n"/>
      <c r="N439" s="23" t="n"/>
      <c r="O439" s="23" t="n"/>
      <c r="P439" s="10">
        <f>IF(D439="","",IF(AND(M439="✓",N439="✓",O439="✓"),"✅正式",IF(M439&amp;N439&amp;O439="","入会前","手続き中")))</f>
        <v/>
      </c>
      <c r="Q439" s="24" t="n"/>
      <c r="R439" s="24" t="n"/>
      <c r="S439" s="10">
        <f>IF(OR(D439="",R439=""),"",TODAY()-R439)</f>
        <v/>
      </c>
      <c r="T439" s="22" t="n"/>
      <c r="U439" s="24" t="n"/>
      <c r="V439" s="23" t="n"/>
      <c r="W439" s="14">
        <f>IF(OR(D439="",V439="辞退",V439="保留",P439="✅正式"),"",TRIM(IF(AND(U439&lt;&gt;"",U439&lt;TODAY()),"期日超過 ","")&amp;IF(AND(S439&lt;&gt;"",S439&gt;='設定'!$B$9),"放置"&amp;S439&amp;"日 ","")&amp;IF(AND(J439="CCS済",M439&lt;&gt;"✓"),"CCS後の申込待ち ","")&amp;IF(AND(M439="✓",N439&lt;&gt;"✓"),"振込待ち ","")&amp;IF(AND(N439="✓",O439&lt;&gt;"✓"),"同意書待ち ","")&amp;IF(T439="","次アクション未設定","")))</f>
        <v/>
      </c>
      <c r="X439" s="10" t="n"/>
      <c r="Y439" s="22" t="n"/>
    </row>
    <row r="440">
      <c r="A440" s="10">
        <f>IF(D440="","",ROW()-4)</f>
        <v/>
      </c>
      <c r="B440" s="22" t="n"/>
      <c r="C440" s="22" t="n"/>
      <c r="D440" s="22" t="n"/>
      <c r="E440" s="22" t="n"/>
      <c r="F440" s="22" t="n"/>
      <c r="G440" s="22" t="n"/>
      <c r="H440" s="22" t="n"/>
      <c r="I440" s="22" t="n"/>
      <c r="J440" s="23" t="n"/>
      <c r="K440" s="24" t="n"/>
      <c r="L440" s="22" t="n"/>
      <c r="M440" s="23" t="n"/>
      <c r="N440" s="23" t="n"/>
      <c r="O440" s="23" t="n"/>
      <c r="P440" s="10">
        <f>IF(D440="","",IF(AND(M440="✓",N440="✓",O440="✓"),"✅正式",IF(M440&amp;N440&amp;O440="","入会前","手続き中")))</f>
        <v/>
      </c>
      <c r="Q440" s="24" t="n"/>
      <c r="R440" s="24" t="n"/>
      <c r="S440" s="10">
        <f>IF(OR(D440="",R440=""),"",TODAY()-R440)</f>
        <v/>
      </c>
      <c r="T440" s="22" t="n"/>
      <c r="U440" s="24" t="n"/>
      <c r="V440" s="23" t="n"/>
      <c r="W440" s="14">
        <f>IF(OR(D440="",V440="辞退",V440="保留",P440="✅正式"),"",TRIM(IF(AND(U440&lt;&gt;"",U440&lt;TODAY()),"期日超過 ","")&amp;IF(AND(S440&lt;&gt;"",S440&gt;='設定'!$B$9),"放置"&amp;S440&amp;"日 ","")&amp;IF(AND(J440="CCS済",M440&lt;&gt;"✓"),"CCS後の申込待ち ","")&amp;IF(AND(M440="✓",N440&lt;&gt;"✓"),"振込待ち ","")&amp;IF(AND(N440="✓",O440&lt;&gt;"✓"),"同意書待ち ","")&amp;IF(T440="","次アクション未設定","")))</f>
        <v/>
      </c>
      <c r="X440" s="10" t="n"/>
      <c r="Y440" s="22" t="n"/>
    </row>
    <row r="441">
      <c r="A441" s="10">
        <f>IF(D441="","",ROW()-4)</f>
        <v/>
      </c>
      <c r="B441" s="22" t="n"/>
      <c r="C441" s="22" t="n"/>
      <c r="D441" s="22" t="n"/>
      <c r="E441" s="22" t="n"/>
      <c r="F441" s="22" t="n"/>
      <c r="G441" s="22" t="n"/>
      <c r="H441" s="22" t="n"/>
      <c r="I441" s="22" t="n"/>
      <c r="J441" s="23" t="n"/>
      <c r="K441" s="24" t="n"/>
      <c r="L441" s="22" t="n"/>
      <c r="M441" s="23" t="n"/>
      <c r="N441" s="23" t="n"/>
      <c r="O441" s="23" t="n"/>
      <c r="P441" s="10">
        <f>IF(D441="","",IF(AND(M441="✓",N441="✓",O441="✓"),"✅正式",IF(M441&amp;N441&amp;O441="","入会前","手続き中")))</f>
        <v/>
      </c>
      <c r="Q441" s="24" t="n"/>
      <c r="R441" s="24" t="n"/>
      <c r="S441" s="10">
        <f>IF(OR(D441="",R441=""),"",TODAY()-R441)</f>
        <v/>
      </c>
      <c r="T441" s="22" t="n"/>
      <c r="U441" s="24" t="n"/>
      <c r="V441" s="23" t="n"/>
      <c r="W441" s="14">
        <f>IF(OR(D441="",V441="辞退",V441="保留",P441="✅正式"),"",TRIM(IF(AND(U441&lt;&gt;"",U441&lt;TODAY()),"期日超過 ","")&amp;IF(AND(S441&lt;&gt;"",S441&gt;='設定'!$B$9),"放置"&amp;S441&amp;"日 ","")&amp;IF(AND(J441="CCS済",M441&lt;&gt;"✓"),"CCS後の申込待ち ","")&amp;IF(AND(M441="✓",N441&lt;&gt;"✓"),"振込待ち ","")&amp;IF(AND(N441="✓",O441&lt;&gt;"✓"),"同意書待ち ","")&amp;IF(T441="","次アクション未設定","")))</f>
        <v/>
      </c>
      <c r="X441" s="10" t="n"/>
      <c r="Y441" s="22" t="n"/>
    </row>
    <row r="442">
      <c r="A442" s="10">
        <f>IF(D442="","",ROW()-4)</f>
        <v/>
      </c>
      <c r="B442" s="22" t="n"/>
      <c r="C442" s="22" t="n"/>
      <c r="D442" s="22" t="n"/>
      <c r="E442" s="22" t="n"/>
      <c r="F442" s="22" t="n"/>
      <c r="G442" s="22" t="n"/>
      <c r="H442" s="22" t="n"/>
      <c r="I442" s="22" t="n"/>
      <c r="J442" s="23" t="n"/>
      <c r="K442" s="24" t="n"/>
      <c r="L442" s="22" t="n"/>
      <c r="M442" s="23" t="n"/>
      <c r="N442" s="23" t="n"/>
      <c r="O442" s="23" t="n"/>
      <c r="P442" s="10">
        <f>IF(D442="","",IF(AND(M442="✓",N442="✓",O442="✓"),"✅正式",IF(M442&amp;N442&amp;O442="","入会前","手続き中")))</f>
        <v/>
      </c>
      <c r="Q442" s="24" t="n"/>
      <c r="R442" s="24" t="n"/>
      <c r="S442" s="10">
        <f>IF(OR(D442="",R442=""),"",TODAY()-R442)</f>
        <v/>
      </c>
      <c r="T442" s="22" t="n"/>
      <c r="U442" s="24" t="n"/>
      <c r="V442" s="23" t="n"/>
      <c r="W442" s="14">
        <f>IF(OR(D442="",V442="辞退",V442="保留",P442="✅正式"),"",TRIM(IF(AND(U442&lt;&gt;"",U442&lt;TODAY()),"期日超過 ","")&amp;IF(AND(S442&lt;&gt;"",S442&gt;='設定'!$B$9),"放置"&amp;S442&amp;"日 ","")&amp;IF(AND(J442="CCS済",M442&lt;&gt;"✓"),"CCS後の申込待ち ","")&amp;IF(AND(M442="✓",N442&lt;&gt;"✓"),"振込待ち ","")&amp;IF(AND(N442="✓",O442&lt;&gt;"✓"),"同意書待ち ","")&amp;IF(T442="","次アクション未設定","")))</f>
        <v/>
      </c>
      <c r="X442" s="10" t="n"/>
      <c r="Y442" s="22" t="n"/>
    </row>
    <row r="443">
      <c r="A443" s="10">
        <f>IF(D443="","",ROW()-4)</f>
        <v/>
      </c>
      <c r="B443" s="22" t="n"/>
      <c r="C443" s="22" t="n"/>
      <c r="D443" s="22" t="n"/>
      <c r="E443" s="22" t="n"/>
      <c r="F443" s="22" t="n"/>
      <c r="G443" s="22" t="n"/>
      <c r="H443" s="22" t="n"/>
      <c r="I443" s="22" t="n"/>
      <c r="J443" s="23" t="n"/>
      <c r="K443" s="24" t="n"/>
      <c r="L443" s="22" t="n"/>
      <c r="M443" s="23" t="n"/>
      <c r="N443" s="23" t="n"/>
      <c r="O443" s="23" t="n"/>
      <c r="P443" s="10">
        <f>IF(D443="","",IF(AND(M443="✓",N443="✓",O443="✓"),"✅正式",IF(M443&amp;N443&amp;O443="","入会前","手続き中")))</f>
        <v/>
      </c>
      <c r="Q443" s="24" t="n"/>
      <c r="R443" s="24" t="n"/>
      <c r="S443" s="10">
        <f>IF(OR(D443="",R443=""),"",TODAY()-R443)</f>
        <v/>
      </c>
      <c r="T443" s="22" t="n"/>
      <c r="U443" s="24" t="n"/>
      <c r="V443" s="23" t="n"/>
      <c r="W443" s="14">
        <f>IF(OR(D443="",V443="辞退",V443="保留",P443="✅正式"),"",TRIM(IF(AND(U443&lt;&gt;"",U443&lt;TODAY()),"期日超過 ","")&amp;IF(AND(S443&lt;&gt;"",S443&gt;='設定'!$B$9),"放置"&amp;S443&amp;"日 ","")&amp;IF(AND(J443="CCS済",M443&lt;&gt;"✓"),"CCS後の申込待ち ","")&amp;IF(AND(M443="✓",N443&lt;&gt;"✓"),"振込待ち ","")&amp;IF(AND(N443="✓",O443&lt;&gt;"✓"),"同意書待ち ","")&amp;IF(T443="","次アクション未設定","")))</f>
        <v/>
      </c>
      <c r="X443" s="10" t="n"/>
      <c r="Y443" s="22" t="n"/>
    </row>
    <row r="444">
      <c r="A444" s="10">
        <f>IF(D444="","",ROW()-4)</f>
        <v/>
      </c>
      <c r="B444" s="22" t="n"/>
      <c r="C444" s="22" t="n"/>
      <c r="D444" s="22" t="n"/>
      <c r="E444" s="22" t="n"/>
      <c r="F444" s="22" t="n"/>
      <c r="G444" s="22" t="n"/>
      <c r="H444" s="22" t="n"/>
      <c r="I444" s="22" t="n"/>
      <c r="J444" s="23" t="n"/>
      <c r="K444" s="24" t="n"/>
      <c r="L444" s="22" t="n"/>
      <c r="M444" s="23" t="n"/>
      <c r="N444" s="23" t="n"/>
      <c r="O444" s="23" t="n"/>
      <c r="P444" s="10">
        <f>IF(D444="","",IF(AND(M444="✓",N444="✓",O444="✓"),"✅正式",IF(M444&amp;N444&amp;O444="","入会前","手続き中")))</f>
        <v/>
      </c>
      <c r="Q444" s="24" t="n"/>
      <c r="R444" s="24" t="n"/>
      <c r="S444" s="10">
        <f>IF(OR(D444="",R444=""),"",TODAY()-R444)</f>
        <v/>
      </c>
      <c r="T444" s="22" t="n"/>
      <c r="U444" s="24" t="n"/>
      <c r="V444" s="23" t="n"/>
      <c r="W444" s="14">
        <f>IF(OR(D444="",V444="辞退",V444="保留",P444="✅正式"),"",TRIM(IF(AND(U444&lt;&gt;"",U444&lt;TODAY()),"期日超過 ","")&amp;IF(AND(S444&lt;&gt;"",S444&gt;='設定'!$B$9),"放置"&amp;S444&amp;"日 ","")&amp;IF(AND(J444="CCS済",M444&lt;&gt;"✓"),"CCS後の申込待ち ","")&amp;IF(AND(M444="✓",N444&lt;&gt;"✓"),"振込待ち ","")&amp;IF(AND(N444="✓",O444&lt;&gt;"✓"),"同意書待ち ","")&amp;IF(T444="","次アクション未設定","")))</f>
        <v/>
      </c>
      <c r="X444" s="10" t="n"/>
      <c r="Y444" s="22" t="n"/>
    </row>
    <row r="445">
      <c r="A445" s="10">
        <f>IF(D445="","",ROW()-4)</f>
        <v/>
      </c>
      <c r="B445" s="22" t="n"/>
      <c r="C445" s="22" t="n"/>
      <c r="D445" s="22" t="n"/>
      <c r="E445" s="22" t="n"/>
      <c r="F445" s="22" t="n"/>
      <c r="G445" s="22" t="n"/>
      <c r="H445" s="22" t="n"/>
      <c r="I445" s="22" t="n"/>
      <c r="J445" s="23" t="n"/>
      <c r="K445" s="24" t="n"/>
      <c r="L445" s="22" t="n"/>
      <c r="M445" s="23" t="n"/>
      <c r="N445" s="23" t="n"/>
      <c r="O445" s="23" t="n"/>
      <c r="P445" s="10">
        <f>IF(D445="","",IF(AND(M445="✓",N445="✓",O445="✓"),"✅正式",IF(M445&amp;N445&amp;O445="","入会前","手続き中")))</f>
        <v/>
      </c>
      <c r="Q445" s="24" t="n"/>
      <c r="R445" s="24" t="n"/>
      <c r="S445" s="10">
        <f>IF(OR(D445="",R445=""),"",TODAY()-R445)</f>
        <v/>
      </c>
      <c r="T445" s="22" t="n"/>
      <c r="U445" s="24" t="n"/>
      <c r="V445" s="23" t="n"/>
      <c r="W445" s="14">
        <f>IF(OR(D445="",V445="辞退",V445="保留",P445="✅正式"),"",TRIM(IF(AND(U445&lt;&gt;"",U445&lt;TODAY()),"期日超過 ","")&amp;IF(AND(S445&lt;&gt;"",S445&gt;='設定'!$B$9),"放置"&amp;S445&amp;"日 ","")&amp;IF(AND(J445="CCS済",M445&lt;&gt;"✓"),"CCS後の申込待ち ","")&amp;IF(AND(M445="✓",N445&lt;&gt;"✓"),"振込待ち ","")&amp;IF(AND(N445="✓",O445&lt;&gt;"✓"),"同意書待ち ","")&amp;IF(T445="","次アクション未設定","")))</f>
        <v/>
      </c>
      <c r="X445" s="10" t="n"/>
      <c r="Y445" s="22" t="n"/>
    </row>
    <row r="446">
      <c r="A446" s="10">
        <f>IF(D446="","",ROW()-4)</f>
        <v/>
      </c>
      <c r="B446" s="22" t="n"/>
      <c r="C446" s="22" t="n"/>
      <c r="D446" s="22" t="n"/>
      <c r="E446" s="22" t="n"/>
      <c r="F446" s="22" t="n"/>
      <c r="G446" s="22" t="n"/>
      <c r="H446" s="22" t="n"/>
      <c r="I446" s="22" t="n"/>
      <c r="J446" s="23" t="n"/>
      <c r="K446" s="24" t="n"/>
      <c r="L446" s="22" t="n"/>
      <c r="M446" s="23" t="n"/>
      <c r="N446" s="23" t="n"/>
      <c r="O446" s="23" t="n"/>
      <c r="P446" s="10">
        <f>IF(D446="","",IF(AND(M446="✓",N446="✓",O446="✓"),"✅正式",IF(M446&amp;N446&amp;O446="","入会前","手続き中")))</f>
        <v/>
      </c>
      <c r="Q446" s="24" t="n"/>
      <c r="R446" s="24" t="n"/>
      <c r="S446" s="10">
        <f>IF(OR(D446="",R446=""),"",TODAY()-R446)</f>
        <v/>
      </c>
      <c r="T446" s="22" t="n"/>
      <c r="U446" s="24" t="n"/>
      <c r="V446" s="23" t="n"/>
      <c r="W446" s="14">
        <f>IF(OR(D446="",V446="辞退",V446="保留",P446="✅正式"),"",TRIM(IF(AND(U446&lt;&gt;"",U446&lt;TODAY()),"期日超過 ","")&amp;IF(AND(S446&lt;&gt;"",S446&gt;='設定'!$B$9),"放置"&amp;S446&amp;"日 ","")&amp;IF(AND(J446="CCS済",M446&lt;&gt;"✓"),"CCS後の申込待ち ","")&amp;IF(AND(M446="✓",N446&lt;&gt;"✓"),"振込待ち ","")&amp;IF(AND(N446="✓",O446&lt;&gt;"✓"),"同意書待ち ","")&amp;IF(T446="","次アクション未設定","")))</f>
        <v/>
      </c>
      <c r="X446" s="10" t="n"/>
      <c r="Y446" s="22" t="n"/>
    </row>
    <row r="447">
      <c r="A447" s="10">
        <f>IF(D447="","",ROW()-4)</f>
        <v/>
      </c>
      <c r="B447" s="22" t="n"/>
      <c r="C447" s="22" t="n"/>
      <c r="D447" s="22" t="n"/>
      <c r="E447" s="22" t="n"/>
      <c r="F447" s="22" t="n"/>
      <c r="G447" s="22" t="n"/>
      <c r="H447" s="22" t="n"/>
      <c r="I447" s="22" t="n"/>
      <c r="J447" s="23" t="n"/>
      <c r="K447" s="24" t="n"/>
      <c r="L447" s="22" t="n"/>
      <c r="M447" s="23" t="n"/>
      <c r="N447" s="23" t="n"/>
      <c r="O447" s="23" t="n"/>
      <c r="P447" s="10">
        <f>IF(D447="","",IF(AND(M447="✓",N447="✓",O447="✓"),"✅正式",IF(M447&amp;N447&amp;O447="","入会前","手続き中")))</f>
        <v/>
      </c>
      <c r="Q447" s="24" t="n"/>
      <c r="R447" s="24" t="n"/>
      <c r="S447" s="10">
        <f>IF(OR(D447="",R447=""),"",TODAY()-R447)</f>
        <v/>
      </c>
      <c r="T447" s="22" t="n"/>
      <c r="U447" s="24" t="n"/>
      <c r="V447" s="23" t="n"/>
      <c r="W447" s="14">
        <f>IF(OR(D447="",V447="辞退",V447="保留",P447="✅正式"),"",TRIM(IF(AND(U447&lt;&gt;"",U447&lt;TODAY()),"期日超過 ","")&amp;IF(AND(S447&lt;&gt;"",S447&gt;='設定'!$B$9),"放置"&amp;S447&amp;"日 ","")&amp;IF(AND(J447="CCS済",M447&lt;&gt;"✓"),"CCS後の申込待ち ","")&amp;IF(AND(M447="✓",N447&lt;&gt;"✓"),"振込待ち ","")&amp;IF(AND(N447="✓",O447&lt;&gt;"✓"),"同意書待ち ","")&amp;IF(T447="","次アクション未設定","")))</f>
        <v/>
      </c>
      <c r="X447" s="10" t="n"/>
      <c r="Y447" s="22" t="n"/>
    </row>
    <row r="448">
      <c r="A448" s="10">
        <f>IF(D448="","",ROW()-4)</f>
        <v/>
      </c>
      <c r="B448" s="22" t="n"/>
      <c r="C448" s="22" t="n"/>
      <c r="D448" s="22" t="n"/>
      <c r="E448" s="22" t="n"/>
      <c r="F448" s="22" t="n"/>
      <c r="G448" s="22" t="n"/>
      <c r="H448" s="22" t="n"/>
      <c r="I448" s="22" t="n"/>
      <c r="J448" s="23" t="n"/>
      <c r="K448" s="24" t="n"/>
      <c r="L448" s="22" t="n"/>
      <c r="M448" s="23" t="n"/>
      <c r="N448" s="23" t="n"/>
      <c r="O448" s="23" t="n"/>
      <c r="P448" s="10">
        <f>IF(D448="","",IF(AND(M448="✓",N448="✓",O448="✓"),"✅正式",IF(M448&amp;N448&amp;O448="","入会前","手続き中")))</f>
        <v/>
      </c>
      <c r="Q448" s="24" t="n"/>
      <c r="R448" s="24" t="n"/>
      <c r="S448" s="10">
        <f>IF(OR(D448="",R448=""),"",TODAY()-R448)</f>
        <v/>
      </c>
      <c r="T448" s="22" t="n"/>
      <c r="U448" s="24" t="n"/>
      <c r="V448" s="23" t="n"/>
      <c r="W448" s="14">
        <f>IF(OR(D448="",V448="辞退",V448="保留",P448="✅正式"),"",TRIM(IF(AND(U448&lt;&gt;"",U448&lt;TODAY()),"期日超過 ","")&amp;IF(AND(S448&lt;&gt;"",S448&gt;='設定'!$B$9),"放置"&amp;S448&amp;"日 ","")&amp;IF(AND(J448="CCS済",M448&lt;&gt;"✓"),"CCS後の申込待ち ","")&amp;IF(AND(M448="✓",N448&lt;&gt;"✓"),"振込待ち ","")&amp;IF(AND(N448="✓",O448&lt;&gt;"✓"),"同意書待ち ","")&amp;IF(T448="","次アクション未設定","")))</f>
        <v/>
      </c>
      <c r="X448" s="10" t="n"/>
      <c r="Y448" s="22" t="n"/>
    </row>
    <row r="449">
      <c r="A449" s="10">
        <f>IF(D449="","",ROW()-4)</f>
        <v/>
      </c>
      <c r="B449" s="22" t="n"/>
      <c r="C449" s="22" t="n"/>
      <c r="D449" s="22" t="n"/>
      <c r="E449" s="22" t="n"/>
      <c r="F449" s="22" t="n"/>
      <c r="G449" s="22" t="n"/>
      <c r="H449" s="22" t="n"/>
      <c r="I449" s="22" t="n"/>
      <c r="J449" s="23" t="n"/>
      <c r="K449" s="24" t="n"/>
      <c r="L449" s="22" t="n"/>
      <c r="M449" s="23" t="n"/>
      <c r="N449" s="23" t="n"/>
      <c r="O449" s="23" t="n"/>
      <c r="P449" s="10">
        <f>IF(D449="","",IF(AND(M449="✓",N449="✓",O449="✓"),"✅正式",IF(M449&amp;N449&amp;O449="","入会前","手続き中")))</f>
        <v/>
      </c>
      <c r="Q449" s="24" t="n"/>
      <c r="R449" s="24" t="n"/>
      <c r="S449" s="10">
        <f>IF(OR(D449="",R449=""),"",TODAY()-R449)</f>
        <v/>
      </c>
      <c r="T449" s="22" t="n"/>
      <c r="U449" s="24" t="n"/>
      <c r="V449" s="23" t="n"/>
      <c r="W449" s="14">
        <f>IF(OR(D449="",V449="辞退",V449="保留",P449="✅正式"),"",TRIM(IF(AND(U449&lt;&gt;"",U449&lt;TODAY()),"期日超過 ","")&amp;IF(AND(S449&lt;&gt;"",S449&gt;='設定'!$B$9),"放置"&amp;S449&amp;"日 ","")&amp;IF(AND(J449="CCS済",M449&lt;&gt;"✓"),"CCS後の申込待ち ","")&amp;IF(AND(M449="✓",N449&lt;&gt;"✓"),"振込待ち ","")&amp;IF(AND(N449="✓",O449&lt;&gt;"✓"),"同意書待ち ","")&amp;IF(T449="","次アクション未設定","")))</f>
        <v/>
      </c>
      <c r="X449" s="10" t="n"/>
      <c r="Y449" s="22" t="n"/>
    </row>
    <row r="450">
      <c r="A450" s="10">
        <f>IF(D450="","",ROW()-4)</f>
        <v/>
      </c>
      <c r="B450" s="22" t="n"/>
      <c r="C450" s="22" t="n"/>
      <c r="D450" s="22" t="n"/>
      <c r="E450" s="22" t="n"/>
      <c r="F450" s="22" t="n"/>
      <c r="G450" s="22" t="n"/>
      <c r="H450" s="22" t="n"/>
      <c r="I450" s="22" t="n"/>
      <c r="J450" s="23" t="n"/>
      <c r="K450" s="24" t="n"/>
      <c r="L450" s="22" t="n"/>
      <c r="M450" s="23" t="n"/>
      <c r="N450" s="23" t="n"/>
      <c r="O450" s="23" t="n"/>
      <c r="P450" s="10">
        <f>IF(D450="","",IF(AND(M450="✓",N450="✓",O450="✓"),"✅正式",IF(M450&amp;N450&amp;O450="","入会前","手続き中")))</f>
        <v/>
      </c>
      <c r="Q450" s="24" t="n"/>
      <c r="R450" s="24" t="n"/>
      <c r="S450" s="10">
        <f>IF(OR(D450="",R450=""),"",TODAY()-R450)</f>
        <v/>
      </c>
      <c r="T450" s="22" t="n"/>
      <c r="U450" s="24" t="n"/>
      <c r="V450" s="23" t="n"/>
      <c r="W450" s="14">
        <f>IF(OR(D450="",V450="辞退",V450="保留",P450="✅正式"),"",TRIM(IF(AND(U450&lt;&gt;"",U450&lt;TODAY()),"期日超過 ","")&amp;IF(AND(S450&lt;&gt;"",S450&gt;='設定'!$B$9),"放置"&amp;S450&amp;"日 ","")&amp;IF(AND(J450="CCS済",M450&lt;&gt;"✓"),"CCS後の申込待ち ","")&amp;IF(AND(M450="✓",N450&lt;&gt;"✓"),"振込待ち ","")&amp;IF(AND(N450="✓",O450&lt;&gt;"✓"),"同意書待ち ","")&amp;IF(T450="","次アクション未設定","")))</f>
        <v/>
      </c>
      <c r="X450" s="10" t="n"/>
      <c r="Y450" s="22" t="n"/>
    </row>
    <row r="451">
      <c r="A451" s="10">
        <f>IF(D451="","",ROW()-4)</f>
        <v/>
      </c>
      <c r="B451" s="22" t="n"/>
      <c r="C451" s="22" t="n"/>
      <c r="D451" s="22" t="n"/>
      <c r="E451" s="22" t="n"/>
      <c r="F451" s="22" t="n"/>
      <c r="G451" s="22" t="n"/>
      <c r="H451" s="22" t="n"/>
      <c r="I451" s="22" t="n"/>
      <c r="J451" s="23" t="n"/>
      <c r="K451" s="24" t="n"/>
      <c r="L451" s="22" t="n"/>
      <c r="M451" s="23" t="n"/>
      <c r="N451" s="23" t="n"/>
      <c r="O451" s="23" t="n"/>
      <c r="P451" s="10">
        <f>IF(D451="","",IF(AND(M451="✓",N451="✓",O451="✓"),"✅正式",IF(M451&amp;N451&amp;O451="","入会前","手続き中")))</f>
        <v/>
      </c>
      <c r="Q451" s="24" t="n"/>
      <c r="R451" s="24" t="n"/>
      <c r="S451" s="10">
        <f>IF(OR(D451="",R451=""),"",TODAY()-R451)</f>
        <v/>
      </c>
      <c r="T451" s="22" t="n"/>
      <c r="U451" s="24" t="n"/>
      <c r="V451" s="23" t="n"/>
      <c r="W451" s="14">
        <f>IF(OR(D451="",V451="辞退",V451="保留",P451="✅正式"),"",TRIM(IF(AND(U451&lt;&gt;"",U451&lt;TODAY()),"期日超過 ","")&amp;IF(AND(S451&lt;&gt;"",S451&gt;='設定'!$B$9),"放置"&amp;S451&amp;"日 ","")&amp;IF(AND(J451="CCS済",M451&lt;&gt;"✓"),"CCS後の申込待ち ","")&amp;IF(AND(M451="✓",N451&lt;&gt;"✓"),"振込待ち ","")&amp;IF(AND(N451="✓",O451&lt;&gt;"✓"),"同意書待ち ","")&amp;IF(T451="","次アクション未設定","")))</f>
        <v/>
      </c>
      <c r="X451" s="10" t="n"/>
      <c r="Y451" s="22" t="n"/>
    </row>
    <row r="452">
      <c r="A452" s="10">
        <f>IF(D452="","",ROW()-4)</f>
        <v/>
      </c>
      <c r="B452" s="22" t="n"/>
      <c r="C452" s="22" t="n"/>
      <c r="D452" s="22" t="n"/>
      <c r="E452" s="22" t="n"/>
      <c r="F452" s="22" t="n"/>
      <c r="G452" s="22" t="n"/>
      <c r="H452" s="22" t="n"/>
      <c r="I452" s="22" t="n"/>
      <c r="J452" s="23" t="n"/>
      <c r="K452" s="24" t="n"/>
      <c r="L452" s="22" t="n"/>
      <c r="M452" s="23" t="n"/>
      <c r="N452" s="23" t="n"/>
      <c r="O452" s="23" t="n"/>
      <c r="P452" s="10">
        <f>IF(D452="","",IF(AND(M452="✓",N452="✓",O452="✓"),"✅正式",IF(M452&amp;N452&amp;O452="","入会前","手続き中")))</f>
        <v/>
      </c>
      <c r="Q452" s="24" t="n"/>
      <c r="R452" s="24" t="n"/>
      <c r="S452" s="10">
        <f>IF(OR(D452="",R452=""),"",TODAY()-R452)</f>
        <v/>
      </c>
      <c r="T452" s="22" t="n"/>
      <c r="U452" s="24" t="n"/>
      <c r="V452" s="23" t="n"/>
      <c r="W452" s="14">
        <f>IF(OR(D452="",V452="辞退",V452="保留",P452="✅正式"),"",TRIM(IF(AND(U452&lt;&gt;"",U452&lt;TODAY()),"期日超過 ","")&amp;IF(AND(S452&lt;&gt;"",S452&gt;='設定'!$B$9),"放置"&amp;S452&amp;"日 ","")&amp;IF(AND(J452="CCS済",M452&lt;&gt;"✓"),"CCS後の申込待ち ","")&amp;IF(AND(M452="✓",N452&lt;&gt;"✓"),"振込待ち ","")&amp;IF(AND(N452="✓",O452&lt;&gt;"✓"),"同意書待ち ","")&amp;IF(T452="","次アクション未設定","")))</f>
        <v/>
      </c>
      <c r="X452" s="10" t="n"/>
      <c r="Y452" s="22" t="n"/>
    </row>
    <row r="453">
      <c r="A453" s="10">
        <f>IF(D453="","",ROW()-4)</f>
        <v/>
      </c>
      <c r="B453" s="22" t="n"/>
      <c r="C453" s="22" t="n"/>
      <c r="D453" s="22" t="n"/>
      <c r="E453" s="22" t="n"/>
      <c r="F453" s="22" t="n"/>
      <c r="G453" s="22" t="n"/>
      <c r="H453" s="22" t="n"/>
      <c r="I453" s="22" t="n"/>
      <c r="J453" s="23" t="n"/>
      <c r="K453" s="24" t="n"/>
      <c r="L453" s="22" t="n"/>
      <c r="M453" s="23" t="n"/>
      <c r="N453" s="23" t="n"/>
      <c r="O453" s="23" t="n"/>
      <c r="P453" s="10">
        <f>IF(D453="","",IF(AND(M453="✓",N453="✓",O453="✓"),"✅正式",IF(M453&amp;N453&amp;O453="","入会前","手続き中")))</f>
        <v/>
      </c>
      <c r="Q453" s="24" t="n"/>
      <c r="R453" s="24" t="n"/>
      <c r="S453" s="10">
        <f>IF(OR(D453="",R453=""),"",TODAY()-R453)</f>
        <v/>
      </c>
      <c r="T453" s="22" t="n"/>
      <c r="U453" s="24" t="n"/>
      <c r="V453" s="23" t="n"/>
      <c r="W453" s="14">
        <f>IF(OR(D453="",V453="辞退",V453="保留",P453="✅正式"),"",TRIM(IF(AND(U453&lt;&gt;"",U453&lt;TODAY()),"期日超過 ","")&amp;IF(AND(S453&lt;&gt;"",S453&gt;='設定'!$B$9),"放置"&amp;S453&amp;"日 ","")&amp;IF(AND(J453="CCS済",M453&lt;&gt;"✓"),"CCS後の申込待ち ","")&amp;IF(AND(M453="✓",N453&lt;&gt;"✓"),"振込待ち ","")&amp;IF(AND(N453="✓",O453&lt;&gt;"✓"),"同意書待ち ","")&amp;IF(T453="","次アクション未設定","")))</f>
        <v/>
      </c>
      <c r="X453" s="10" t="n"/>
      <c r="Y453" s="22" t="n"/>
    </row>
    <row r="454">
      <c r="A454" s="10">
        <f>IF(D454="","",ROW()-4)</f>
        <v/>
      </c>
      <c r="B454" s="22" t="n"/>
      <c r="C454" s="22" t="n"/>
      <c r="D454" s="22" t="n"/>
      <c r="E454" s="22" t="n"/>
      <c r="F454" s="22" t="n"/>
      <c r="G454" s="22" t="n"/>
      <c r="H454" s="22" t="n"/>
      <c r="I454" s="22" t="n"/>
      <c r="J454" s="23" t="n"/>
      <c r="K454" s="24" t="n"/>
      <c r="L454" s="22" t="n"/>
      <c r="M454" s="23" t="n"/>
      <c r="N454" s="23" t="n"/>
      <c r="O454" s="23" t="n"/>
      <c r="P454" s="10">
        <f>IF(D454="","",IF(AND(M454="✓",N454="✓",O454="✓"),"✅正式",IF(M454&amp;N454&amp;O454="","入会前","手続き中")))</f>
        <v/>
      </c>
      <c r="Q454" s="24" t="n"/>
      <c r="R454" s="24" t="n"/>
      <c r="S454" s="10">
        <f>IF(OR(D454="",R454=""),"",TODAY()-R454)</f>
        <v/>
      </c>
      <c r="T454" s="22" t="n"/>
      <c r="U454" s="24" t="n"/>
      <c r="V454" s="23" t="n"/>
      <c r="W454" s="14">
        <f>IF(OR(D454="",V454="辞退",V454="保留",P454="✅正式"),"",TRIM(IF(AND(U454&lt;&gt;"",U454&lt;TODAY()),"期日超過 ","")&amp;IF(AND(S454&lt;&gt;"",S454&gt;='設定'!$B$9),"放置"&amp;S454&amp;"日 ","")&amp;IF(AND(J454="CCS済",M454&lt;&gt;"✓"),"CCS後の申込待ち ","")&amp;IF(AND(M454="✓",N454&lt;&gt;"✓"),"振込待ち ","")&amp;IF(AND(N454="✓",O454&lt;&gt;"✓"),"同意書待ち ","")&amp;IF(T454="","次アクション未設定","")))</f>
        <v/>
      </c>
      <c r="X454" s="10" t="n"/>
      <c r="Y454" s="22" t="n"/>
    </row>
    <row r="455">
      <c r="A455" s="10">
        <f>IF(D455="","",ROW()-4)</f>
        <v/>
      </c>
      <c r="B455" s="22" t="n"/>
      <c r="C455" s="22" t="n"/>
      <c r="D455" s="22" t="n"/>
      <c r="E455" s="22" t="n"/>
      <c r="F455" s="22" t="n"/>
      <c r="G455" s="22" t="n"/>
      <c r="H455" s="22" t="n"/>
      <c r="I455" s="22" t="n"/>
      <c r="J455" s="23" t="n"/>
      <c r="K455" s="24" t="n"/>
      <c r="L455" s="22" t="n"/>
      <c r="M455" s="23" t="n"/>
      <c r="N455" s="23" t="n"/>
      <c r="O455" s="23" t="n"/>
      <c r="P455" s="10">
        <f>IF(D455="","",IF(AND(M455="✓",N455="✓",O455="✓"),"✅正式",IF(M455&amp;N455&amp;O455="","入会前","手続き中")))</f>
        <v/>
      </c>
      <c r="Q455" s="24" t="n"/>
      <c r="R455" s="24" t="n"/>
      <c r="S455" s="10">
        <f>IF(OR(D455="",R455=""),"",TODAY()-R455)</f>
        <v/>
      </c>
      <c r="T455" s="22" t="n"/>
      <c r="U455" s="24" t="n"/>
      <c r="V455" s="23" t="n"/>
      <c r="W455" s="14">
        <f>IF(OR(D455="",V455="辞退",V455="保留",P455="✅正式"),"",TRIM(IF(AND(U455&lt;&gt;"",U455&lt;TODAY()),"期日超過 ","")&amp;IF(AND(S455&lt;&gt;"",S455&gt;='設定'!$B$9),"放置"&amp;S455&amp;"日 ","")&amp;IF(AND(J455="CCS済",M455&lt;&gt;"✓"),"CCS後の申込待ち ","")&amp;IF(AND(M455="✓",N455&lt;&gt;"✓"),"振込待ち ","")&amp;IF(AND(N455="✓",O455&lt;&gt;"✓"),"同意書待ち ","")&amp;IF(T455="","次アクション未設定","")))</f>
        <v/>
      </c>
      <c r="X455" s="10" t="n"/>
      <c r="Y455" s="22" t="n"/>
    </row>
    <row r="456">
      <c r="A456" s="10">
        <f>IF(D456="","",ROW()-4)</f>
        <v/>
      </c>
      <c r="B456" s="22" t="n"/>
      <c r="C456" s="22" t="n"/>
      <c r="D456" s="22" t="n"/>
      <c r="E456" s="22" t="n"/>
      <c r="F456" s="22" t="n"/>
      <c r="G456" s="22" t="n"/>
      <c r="H456" s="22" t="n"/>
      <c r="I456" s="22" t="n"/>
      <c r="J456" s="23" t="n"/>
      <c r="K456" s="24" t="n"/>
      <c r="L456" s="22" t="n"/>
      <c r="M456" s="23" t="n"/>
      <c r="N456" s="23" t="n"/>
      <c r="O456" s="23" t="n"/>
      <c r="P456" s="10">
        <f>IF(D456="","",IF(AND(M456="✓",N456="✓",O456="✓"),"✅正式",IF(M456&amp;N456&amp;O456="","入会前","手続き中")))</f>
        <v/>
      </c>
      <c r="Q456" s="24" t="n"/>
      <c r="R456" s="24" t="n"/>
      <c r="S456" s="10">
        <f>IF(OR(D456="",R456=""),"",TODAY()-R456)</f>
        <v/>
      </c>
      <c r="T456" s="22" t="n"/>
      <c r="U456" s="24" t="n"/>
      <c r="V456" s="23" t="n"/>
      <c r="W456" s="14">
        <f>IF(OR(D456="",V456="辞退",V456="保留",P456="✅正式"),"",TRIM(IF(AND(U456&lt;&gt;"",U456&lt;TODAY()),"期日超過 ","")&amp;IF(AND(S456&lt;&gt;"",S456&gt;='設定'!$B$9),"放置"&amp;S456&amp;"日 ","")&amp;IF(AND(J456="CCS済",M456&lt;&gt;"✓"),"CCS後の申込待ち ","")&amp;IF(AND(M456="✓",N456&lt;&gt;"✓"),"振込待ち ","")&amp;IF(AND(N456="✓",O456&lt;&gt;"✓"),"同意書待ち ","")&amp;IF(T456="","次アクション未設定","")))</f>
        <v/>
      </c>
      <c r="X456" s="10" t="n"/>
      <c r="Y456" s="22" t="n"/>
    </row>
    <row r="457">
      <c r="A457" s="10">
        <f>IF(D457="","",ROW()-4)</f>
        <v/>
      </c>
      <c r="B457" s="22" t="n"/>
      <c r="C457" s="22" t="n"/>
      <c r="D457" s="22" t="n"/>
      <c r="E457" s="22" t="n"/>
      <c r="F457" s="22" t="n"/>
      <c r="G457" s="22" t="n"/>
      <c r="H457" s="22" t="n"/>
      <c r="I457" s="22" t="n"/>
      <c r="J457" s="23" t="n"/>
      <c r="K457" s="24" t="n"/>
      <c r="L457" s="22" t="n"/>
      <c r="M457" s="23" t="n"/>
      <c r="N457" s="23" t="n"/>
      <c r="O457" s="23" t="n"/>
      <c r="P457" s="10">
        <f>IF(D457="","",IF(AND(M457="✓",N457="✓",O457="✓"),"✅正式",IF(M457&amp;N457&amp;O457="","入会前","手続き中")))</f>
        <v/>
      </c>
      <c r="Q457" s="24" t="n"/>
      <c r="R457" s="24" t="n"/>
      <c r="S457" s="10">
        <f>IF(OR(D457="",R457=""),"",TODAY()-R457)</f>
        <v/>
      </c>
      <c r="T457" s="22" t="n"/>
      <c r="U457" s="24" t="n"/>
      <c r="V457" s="23" t="n"/>
      <c r="W457" s="14">
        <f>IF(OR(D457="",V457="辞退",V457="保留",P457="✅正式"),"",TRIM(IF(AND(U457&lt;&gt;"",U457&lt;TODAY()),"期日超過 ","")&amp;IF(AND(S457&lt;&gt;"",S457&gt;='設定'!$B$9),"放置"&amp;S457&amp;"日 ","")&amp;IF(AND(J457="CCS済",M457&lt;&gt;"✓"),"CCS後の申込待ち ","")&amp;IF(AND(M457="✓",N457&lt;&gt;"✓"),"振込待ち ","")&amp;IF(AND(N457="✓",O457&lt;&gt;"✓"),"同意書待ち ","")&amp;IF(T457="","次アクション未設定","")))</f>
        <v/>
      </c>
      <c r="X457" s="10" t="n"/>
      <c r="Y457" s="22" t="n"/>
    </row>
    <row r="458">
      <c r="A458" s="10">
        <f>IF(D458="","",ROW()-4)</f>
        <v/>
      </c>
      <c r="B458" s="22" t="n"/>
      <c r="C458" s="22" t="n"/>
      <c r="D458" s="22" t="n"/>
      <c r="E458" s="22" t="n"/>
      <c r="F458" s="22" t="n"/>
      <c r="G458" s="22" t="n"/>
      <c r="H458" s="22" t="n"/>
      <c r="I458" s="22" t="n"/>
      <c r="J458" s="23" t="n"/>
      <c r="K458" s="24" t="n"/>
      <c r="L458" s="22" t="n"/>
      <c r="M458" s="23" t="n"/>
      <c r="N458" s="23" t="n"/>
      <c r="O458" s="23" t="n"/>
      <c r="P458" s="10">
        <f>IF(D458="","",IF(AND(M458="✓",N458="✓",O458="✓"),"✅正式",IF(M458&amp;N458&amp;O458="","入会前","手続き中")))</f>
        <v/>
      </c>
      <c r="Q458" s="24" t="n"/>
      <c r="R458" s="24" t="n"/>
      <c r="S458" s="10">
        <f>IF(OR(D458="",R458=""),"",TODAY()-R458)</f>
        <v/>
      </c>
      <c r="T458" s="22" t="n"/>
      <c r="U458" s="24" t="n"/>
      <c r="V458" s="23" t="n"/>
      <c r="W458" s="14">
        <f>IF(OR(D458="",V458="辞退",V458="保留",P458="✅正式"),"",TRIM(IF(AND(U458&lt;&gt;"",U458&lt;TODAY()),"期日超過 ","")&amp;IF(AND(S458&lt;&gt;"",S458&gt;='設定'!$B$9),"放置"&amp;S458&amp;"日 ","")&amp;IF(AND(J458="CCS済",M458&lt;&gt;"✓"),"CCS後の申込待ち ","")&amp;IF(AND(M458="✓",N458&lt;&gt;"✓"),"振込待ち ","")&amp;IF(AND(N458="✓",O458&lt;&gt;"✓"),"同意書待ち ","")&amp;IF(T458="","次アクション未設定","")))</f>
        <v/>
      </c>
      <c r="X458" s="10" t="n"/>
      <c r="Y458" s="22" t="n"/>
    </row>
    <row r="459">
      <c r="A459" s="10">
        <f>IF(D459="","",ROW()-4)</f>
        <v/>
      </c>
      <c r="B459" s="22" t="n"/>
      <c r="C459" s="22" t="n"/>
      <c r="D459" s="22" t="n"/>
      <c r="E459" s="22" t="n"/>
      <c r="F459" s="22" t="n"/>
      <c r="G459" s="22" t="n"/>
      <c r="H459" s="22" t="n"/>
      <c r="I459" s="22" t="n"/>
      <c r="J459" s="23" t="n"/>
      <c r="K459" s="24" t="n"/>
      <c r="L459" s="22" t="n"/>
      <c r="M459" s="23" t="n"/>
      <c r="N459" s="23" t="n"/>
      <c r="O459" s="23" t="n"/>
      <c r="P459" s="10">
        <f>IF(D459="","",IF(AND(M459="✓",N459="✓",O459="✓"),"✅正式",IF(M459&amp;N459&amp;O459="","入会前","手続き中")))</f>
        <v/>
      </c>
      <c r="Q459" s="24" t="n"/>
      <c r="R459" s="24" t="n"/>
      <c r="S459" s="10">
        <f>IF(OR(D459="",R459=""),"",TODAY()-R459)</f>
        <v/>
      </c>
      <c r="T459" s="22" t="n"/>
      <c r="U459" s="24" t="n"/>
      <c r="V459" s="23" t="n"/>
      <c r="W459" s="14">
        <f>IF(OR(D459="",V459="辞退",V459="保留",P459="✅正式"),"",TRIM(IF(AND(U459&lt;&gt;"",U459&lt;TODAY()),"期日超過 ","")&amp;IF(AND(S459&lt;&gt;"",S459&gt;='設定'!$B$9),"放置"&amp;S459&amp;"日 ","")&amp;IF(AND(J459="CCS済",M459&lt;&gt;"✓"),"CCS後の申込待ち ","")&amp;IF(AND(M459="✓",N459&lt;&gt;"✓"),"振込待ち ","")&amp;IF(AND(N459="✓",O459&lt;&gt;"✓"),"同意書待ち ","")&amp;IF(T459="","次アクション未設定","")))</f>
        <v/>
      </c>
      <c r="X459" s="10" t="n"/>
      <c r="Y459" s="22" t="n"/>
    </row>
    <row r="460">
      <c r="A460" s="10">
        <f>IF(D460="","",ROW()-4)</f>
        <v/>
      </c>
      <c r="B460" s="22" t="n"/>
      <c r="C460" s="22" t="n"/>
      <c r="D460" s="22" t="n"/>
      <c r="E460" s="22" t="n"/>
      <c r="F460" s="22" t="n"/>
      <c r="G460" s="22" t="n"/>
      <c r="H460" s="22" t="n"/>
      <c r="I460" s="22" t="n"/>
      <c r="J460" s="23" t="n"/>
      <c r="K460" s="24" t="n"/>
      <c r="L460" s="22" t="n"/>
      <c r="M460" s="23" t="n"/>
      <c r="N460" s="23" t="n"/>
      <c r="O460" s="23" t="n"/>
      <c r="P460" s="10">
        <f>IF(D460="","",IF(AND(M460="✓",N460="✓",O460="✓"),"✅正式",IF(M460&amp;N460&amp;O460="","入会前","手続き中")))</f>
        <v/>
      </c>
      <c r="Q460" s="24" t="n"/>
      <c r="R460" s="24" t="n"/>
      <c r="S460" s="10">
        <f>IF(OR(D460="",R460=""),"",TODAY()-R460)</f>
        <v/>
      </c>
      <c r="T460" s="22" t="n"/>
      <c r="U460" s="24" t="n"/>
      <c r="V460" s="23" t="n"/>
      <c r="W460" s="14">
        <f>IF(OR(D460="",V460="辞退",V460="保留",P460="✅正式"),"",TRIM(IF(AND(U460&lt;&gt;"",U460&lt;TODAY()),"期日超過 ","")&amp;IF(AND(S460&lt;&gt;"",S460&gt;='設定'!$B$9),"放置"&amp;S460&amp;"日 ","")&amp;IF(AND(J460="CCS済",M460&lt;&gt;"✓"),"CCS後の申込待ち ","")&amp;IF(AND(M460="✓",N460&lt;&gt;"✓"),"振込待ち ","")&amp;IF(AND(N460="✓",O460&lt;&gt;"✓"),"同意書待ち ","")&amp;IF(T460="","次アクション未設定","")))</f>
        <v/>
      </c>
      <c r="X460" s="10" t="n"/>
      <c r="Y460" s="22" t="n"/>
    </row>
    <row r="461">
      <c r="A461" s="10">
        <f>IF(D461="","",ROW()-4)</f>
        <v/>
      </c>
      <c r="B461" s="22" t="n"/>
      <c r="C461" s="22" t="n"/>
      <c r="D461" s="22" t="n"/>
      <c r="E461" s="22" t="n"/>
      <c r="F461" s="22" t="n"/>
      <c r="G461" s="22" t="n"/>
      <c r="H461" s="22" t="n"/>
      <c r="I461" s="22" t="n"/>
      <c r="J461" s="23" t="n"/>
      <c r="K461" s="24" t="n"/>
      <c r="L461" s="22" t="n"/>
      <c r="M461" s="23" t="n"/>
      <c r="N461" s="23" t="n"/>
      <c r="O461" s="23" t="n"/>
      <c r="P461" s="10">
        <f>IF(D461="","",IF(AND(M461="✓",N461="✓",O461="✓"),"✅正式",IF(M461&amp;N461&amp;O461="","入会前","手続き中")))</f>
        <v/>
      </c>
      <c r="Q461" s="24" t="n"/>
      <c r="R461" s="24" t="n"/>
      <c r="S461" s="10">
        <f>IF(OR(D461="",R461=""),"",TODAY()-R461)</f>
        <v/>
      </c>
      <c r="T461" s="22" t="n"/>
      <c r="U461" s="24" t="n"/>
      <c r="V461" s="23" t="n"/>
      <c r="W461" s="14">
        <f>IF(OR(D461="",V461="辞退",V461="保留",P461="✅正式"),"",TRIM(IF(AND(U461&lt;&gt;"",U461&lt;TODAY()),"期日超過 ","")&amp;IF(AND(S461&lt;&gt;"",S461&gt;='設定'!$B$9),"放置"&amp;S461&amp;"日 ","")&amp;IF(AND(J461="CCS済",M461&lt;&gt;"✓"),"CCS後の申込待ち ","")&amp;IF(AND(M461="✓",N461&lt;&gt;"✓"),"振込待ち ","")&amp;IF(AND(N461="✓",O461&lt;&gt;"✓"),"同意書待ち ","")&amp;IF(T461="","次アクション未設定","")))</f>
        <v/>
      </c>
      <c r="X461" s="10" t="n"/>
      <c r="Y461" s="22" t="n"/>
    </row>
    <row r="462">
      <c r="A462" s="10">
        <f>IF(D462="","",ROW()-4)</f>
        <v/>
      </c>
      <c r="B462" s="22" t="n"/>
      <c r="C462" s="22" t="n"/>
      <c r="D462" s="22" t="n"/>
      <c r="E462" s="22" t="n"/>
      <c r="F462" s="22" t="n"/>
      <c r="G462" s="22" t="n"/>
      <c r="H462" s="22" t="n"/>
      <c r="I462" s="22" t="n"/>
      <c r="J462" s="23" t="n"/>
      <c r="K462" s="24" t="n"/>
      <c r="L462" s="22" t="n"/>
      <c r="M462" s="23" t="n"/>
      <c r="N462" s="23" t="n"/>
      <c r="O462" s="23" t="n"/>
      <c r="P462" s="10">
        <f>IF(D462="","",IF(AND(M462="✓",N462="✓",O462="✓"),"✅正式",IF(M462&amp;N462&amp;O462="","入会前","手続き中")))</f>
        <v/>
      </c>
      <c r="Q462" s="24" t="n"/>
      <c r="R462" s="24" t="n"/>
      <c r="S462" s="10">
        <f>IF(OR(D462="",R462=""),"",TODAY()-R462)</f>
        <v/>
      </c>
      <c r="T462" s="22" t="n"/>
      <c r="U462" s="24" t="n"/>
      <c r="V462" s="23" t="n"/>
      <c r="W462" s="14">
        <f>IF(OR(D462="",V462="辞退",V462="保留",P462="✅正式"),"",TRIM(IF(AND(U462&lt;&gt;"",U462&lt;TODAY()),"期日超過 ","")&amp;IF(AND(S462&lt;&gt;"",S462&gt;='設定'!$B$9),"放置"&amp;S462&amp;"日 ","")&amp;IF(AND(J462="CCS済",M462&lt;&gt;"✓"),"CCS後の申込待ち ","")&amp;IF(AND(M462="✓",N462&lt;&gt;"✓"),"振込待ち ","")&amp;IF(AND(N462="✓",O462&lt;&gt;"✓"),"同意書待ち ","")&amp;IF(T462="","次アクション未設定","")))</f>
        <v/>
      </c>
      <c r="X462" s="10" t="n"/>
      <c r="Y462" s="22" t="n"/>
    </row>
    <row r="463">
      <c r="A463" s="10">
        <f>IF(D463="","",ROW()-4)</f>
        <v/>
      </c>
      <c r="B463" s="22" t="n"/>
      <c r="C463" s="22" t="n"/>
      <c r="D463" s="22" t="n"/>
      <c r="E463" s="22" t="n"/>
      <c r="F463" s="22" t="n"/>
      <c r="G463" s="22" t="n"/>
      <c r="H463" s="22" t="n"/>
      <c r="I463" s="22" t="n"/>
      <c r="J463" s="23" t="n"/>
      <c r="K463" s="24" t="n"/>
      <c r="L463" s="22" t="n"/>
      <c r="M463" s="23" t="n"/>
      <c r="N463" s="23" t="n"/>
      <c r="O463" s="23" t="n"/>
      <c r="P463" s="10">
        <f>IF(D463="","",IF(AND(M463="✓",N463="✓",O463="✓"),"✅正式",IF(M463&amp;N463&amp;O463="","入会前","手続き中")))</f>
        <v/>
      </c>
      <c r="Q463" s="24" t="n"/>
      <c r="R463" s="24" t="n"/>
      <c r="S463" s="10">
        <f>IF(OR(D463="",R463=""),"",TODAY()-R463)</f>
        <v/>
      </c>
      <c r="T463" s="22" t="n"/>
      <c r="U463" s="24" t="n"/>
      <c r="V463" s="23" t="n"/>
      <c r="W463" s="14">
        <f>IF(OR(D463="",V463="辞退",V463="保留",P463="✅正式"),"",TRIM(IF(AND(U463&lt;&gt;"",U463&lt;TODAY()),"期日超過 ","")&amp;IF(AND(S463&lt;&gt;"",S463&gt;='設定'!$B$9),"放置"&amp;S463&amp;"日 ","")&amp;IF(AND(J463="CCS済",M463&lt;&gt;"✓"),"CCS後の申込待ち ","")&amp;IF(AND(M463="✓",N463&lt;&gt;"✓"),"振込待ち ","")&amp;IF(AND(N463="✓",O463&lt;&gt;"✓"),"同意書待ち ","")&amp;IF(T463="","次アクション未設定","")))</f>
        <v/>
      </c>
      <c r="X463" s="10" t="n"/>
      <c r="Y463" s="22" t="n"/>
    </row>
    <row r="464">
      <c r="A464" s="10">
        <f>IF(D464="","",ROW()-4)</f>
        <v/>
      </c>
      <c r="B464" s="22" t="n"/>
      <c r="C464" s="22" t="n"/>
      <c r="D464" s="22" t="n"/>
      <c r="E464" s="22" t="n"/>
      <c r="F464" s="22" t="n"/>
      <c r="G464" s="22" t="n"/>
      <c r="H464" s="22" t="n"/>
      <c r="I464" s="22" t="n"/>
      <c r="J464" s="23" t="n"/>
      <c r="K464" s="24" t="n"/>
      <c r="L464" s="22" t="n"/>
      <c r="M464" s="23" t="n"/>
      <c r="N464" s="23" t="n"/>
      <c r="O464" s="23" t="n"/>
      <c r="P464" s="10">
        <f>IF(D464="","",IF(AND(M464="✓",N464="✓",O464="✓"),"✅正式",IF(M464&amp;N464&amp;O464="","入会前","手続き中")))</f>
        <v/>
      </c>
      <c r="Q464" s="24" t="n"/>
      <c r="R464" s="24" t="n"/>
      <c r="S464" s="10">
        <f>IF(OR(D464="",R464=""),"",TODAY()-R464)</f>
        <v/>
      </c>
      <c r="T464" s="22" t="n"/>
      <c r="U464" s="24" t="n"/>
      <c r="V464" s="23" t="n"/>
      <c r="W464" s="14">
        <f>IF(OR(D464="",V464="辞退",V464="保留",P464="✅正式"),"",TRIM(IF(AND(U464&lt;&gt;"",U464&lt;TODAY()),"期日超過 ","")&amp;IF(AND(S464&lt;&gt;"",S464&gt;='設定'!$B$9),"放置"&amp;S464&amp;"日 ","")&amp;IF(AND(J464="CCS済",M464&lt;&gt;"✓"),"CCS後の申込待ち ","")&amp;IF(AND(M464="✓",N464&lt;&gt;"✓"),"振込待ち ","")&amp;IF(AND(N464="✓",O464&lt;&gt;"✓"),"同意書待ち ","")&amp;IF(T464="","次アクション未設定","")))</f>
        <v/>
      </c>
      <c r="X464" s="10" t="n"/>
      <c r="Y464" s="22" t="n"/>
    </row>
    <row r="465">
      <c r="A465" s="10">
        <f>IF(D465="","",ROW()-4)</f>
        <v/>
      </c>
      <c r="B465" s="22" t="n"/>
      <c r="C465" s="22" t="n"/>
      <c r="D465" s="22" t="n"/>
      <c r="E465" s="22" t="n"/>
      <c r="F465" s="22" t="n"/>
      <c r="G465" s="22" t="n"/>
      <c r="H465" s="22" t="n"/>
      <c r="I465" s="22" t="n"/>
      <c r="J465" s="23" t="n"/>
      <c r="K465" s="24" t="n"/>
      <c r="L465" s="22" t="n"/>
      <c r="M465" s="23" t="n"/>
      <c r="N465" s="23" t="n"/>
      <c r="O465" s="23" t="n"/>
      <c r="P465" s="10">
        <f>IF(D465="","",IF(AND(M465="✓",N465="✓",O465="✓"),"✅正式",IF(M465&amp;N465&amp;O465="","入会前","手続き中")))</f>
        <v/>
      </c>
      <c r="Q465" s="24" t="n"/>
      <c r="R465" s="24" t="n"/>
      <c r="S465" s="10">
        <f>IF(OR(D465="",R465=""),"",TODAY()-R465)</f>
        <v/>
      </c>
      <c r="T465" s="22" t="n"/>
      <c r="U465" s="24" t="n"/>
      <c r="V465" s="23" t="n"/>
      <c r="W465" s="14">
        <f>IF(OR(D465="",V465="辞退",V465="保留",P465="✅正式"),"",TRIM(IF(AND(U465&lt;&gt;"",U465&lt;TODAY()),"期日超過 ","")&amp;IF(AND(S465&lt;&gt;"",S465&gt;='設定'!$B$9),"放置"&amp;S465&amp;"日 ","")&amp;IF(AND(J465="CCS済",M465&lt;&gt;"✓"),"CCS後の申込待ち ","")&amp;IF(AND(M465="✓",N465&lt;&gt;"✓"),"振込待ち ","")&amp;IF(AND(N465="✓",O465&lt;&gt;"✓"),"同意書待ち ","")&amp;IF(T465="","次アクション未設定","")))</f>
        <v/>
      </c>
      <c r="X465" s="10" t="n"/>
      <c r="Y465" s="22" t="n"/>
    </row>
    <row r="466">
      <c r="A466" s="10">
        <f>IF(D466="","",ROW()-4)</f>
        <v/>
      </c>
      <c r="B466" s="22" t="n"/>
      <c r="C466" s="22" t="n"/>
      <c r="D466" s="22" t="n"/>
      <c r="E466" s="22" t="n"/>
      <c r="F466" s="22" t="n"/>
      <c r="G466" s="22" t="n"/>
      <c r="H466" s="22" t="n"/>
      <c r="I466" s="22" t="n"/>
      <c r="J466" s="23" t="n"/>
      <c r="K466" s="24" t="n"/>
      <c r="L466" s="22" t="n"/>
      <c r="M466" s="23" t="n"/>
      <c r="N466" s="23" t="n"/>
      <c r="O466" s="23" t="n"/>
      <c r="P466" s="10">
        <f>IF(D466="","",IF(AND(M466="✓",N466="✓",O466="✓"),"✅正式",IF(M466&amp;N466&amp;O466="","入会前","手続き中")))</f>
        <v/>
      </c>
      <c r="Q466" s="24" t="n"/>
      <c r="R466" s="24" t="n"/>
      <c r="S466" s="10">
        <f>IF(OR(D466="",R466=""),"",TODAY()-R466)</f>
        <v/>
      </c>
      <c r="T466" s="22" t="n"/>
      <c r="U466" s="24" t="n"/>
      <c r="V466" s="23" t="n"/>
      <c r="W466" s="14">
        <f>IF(OR(D466="",V466="辞退",V466="保留",P466="✅正式"),"",TRIM(IF(AND(U466&lt;&gt;"",U466&lt;TODAY()),"期日超過 ","")&amp;IF(AND(S466&lt;&gt;"",S466&gt;='設定'!$B$9),"放置"&amp;S466&amp;"日 ","")&amp;IF(AND(J466="CCS済",M466&lt;&gt;"✓"),"CCS後の申込待ち ","")&amp;IF(AND(M466="✓",N466&lt;&gt;"✓"),"振込待ち ","")&amp;IF(AND(N466="✓",O466&lt;&gt;"✓"),"同意書待ち ","")&amp;IF(T466="","次アクション未設定","")))</f>
        <v/>
      </c>
      <c r="X466" s="10" t="n"/>
      <c r="Y466" s="22" t="n"/>
    </row>
    <row r="467">
      <c r="A467" s="10">
        <f>IF(D467="","",ROW()-4)</f>
        <v/>
      </c>
      <c r="B467" s="22" t="n"/>
      <c r="C467" s="22" t="n"/>
      <c r="D467" s="22" t="n"/>
      <c r="E467" s="22" t="n"/>
      <c r="F467" s="22" t="n"/>
      <c r="G467" s="22" t="n"/>
      <c r="H467" s="22" t="n"/>
      <c r="I467" s="22" t="n"/>
      <c r="J467" s="23" t="n"/>
      <c r="K467" s="24" t="n"/>
      <c r="L467" s="22" t="n"/>
      <c r="M467" s="23" t="n"/>
      <c r="N467" s="23" t="n"/>
      <c r="O467" s="23" t="n"/>
      <c r="P467" s="10">
        <f>IF(D467="","",IF(AND(M467="✓",N467="✓",O467="✓"),"✅正式",IF(M467&amp;N467&amp;O467="","入会前","手続き中")))</f>
        <v/>
      </c>
      <c r="Q467" s="24" t="n"/>
      <c r="R467" s="24" t="n"/>
      <c r="S467" s="10">
        <f>IF(OR(D467="",R467=""),"",TODAY()-R467)</f>
        <v/>
      </c>
      <c r="T467" s="22" t="n"/>
      <c r="U467" s="24" t="n"/>
      <c r="V467" s="23" t="n"/>
      <c r="W467" s="14">
        <f>IF(OR(D467="",V467="辞退",V467="保留",P467="✅正式"),"",TRIM(IF(AND(U467&lt;&gt;"",U467&lt;TODAY()),"期日超過 ","")&amp;IF(AND(S467&lt;&gt;"",S467&gt;='設定'!$B$9),"放置"&amp;S467&amp;"日 ","")&amp;IF(AND(J467="CCS済",M467&lt;&gt;"✓"),"CCS後の申込待ち ","")&amp;IF(AND(M467="✓",N467&lt;&gt;"✓"),"振込待ち ","")&amp;IF(AND(N467="✓",O467&lt;&gt;"✓"),"同意書待ち ","")&amp;IF(T467="","次アクション未設定","")))</f>
        <v/>
      </c>
      <c r="X467" s="10" t="n"/>
      <c r="Y467" s="22" t="n"/>
    </row>
    <row r="468">
      <c r="A468" s="10">
        <f>IF(D468="","",ROW()-4)</f>
        <v/>
      </c>
      <c r="B468" s="22" t="n"/>
      <c r="C468" s="22" t="n"/>
      <c r="D468" s="22" t="n"/>
      <c r="E468" s="22" t="n"/>
      <c r="F468" s="22" t="n"/>
      <c r="G468" s="22" t="n"/>
      <c r="H468" s="22" t="n"/>
      <c r="I468" s="22" t="n"/>
      <c r="J468" s="23" t="n"/>
      <c r="K468" s="24" t="n"/>
      <c r="L468" s="22" t="n"/>
      <c r="M468" s="23" t="n"/>
      <c r="N468" s="23" t="n"/>
      <c r="O468" s="23" t="n"/>
      <c r="P468" s="10">
        <f>IF(D468="","",IF(AND(M468="✓",N468="✓",O468="✓"),"✅正式",IF(M468&amp;N468&amp;O468="","入会前","手続き中")))</f>
        <v/>
      </c>
      <c r="Q468" s="24" t="n"/>
      <c r="R468" s="24" t="n"/>
      <c r="S468" s="10">
        <f>IF(OR(D468="",R468=""),"",TODAY()-R468)</f>
        <v/>
      </c>
      <c r="T468" s="22" t="n"/>
      <c r="U468" s="24" t="n"/>
      <c r="V468" s="23" t="n"/>
      <c r="W468" s="14">
        <f>IF(OR(D468="",V468="辞退",V468="保留",P468="✅正式"),"",TRIM(IF(AND(U468&lt;&gt;"",U468&lt;TODAY()),"期日超過 ","")&amp;IF(AND(S468&lt;&gt;"",S468&gt;='設定'!$B$9),"放置"&amp;S468&amp;"日 ","")&amp;IF(AND(J468="CCS済",M468&lt;&gt;"✓"),"CCS後の申込待ち ","")&amp;IF(AND(M468="✓",N468&lt;&gt;"✓"),"振込待ち ","")&amp;IF(AND(N468="✓",O468&lt;&gt;"✓"),"同意書待ち ","")&amp;IF(T468="","次アクション未設定","")))</f>
        <v/>
      </c>
      <c r="X468" s="10" t="n"/>
      <c r="Y468" s="22" t="n"/>
    </row>
    <row r="469">
      <c r="A469" s="10">
        <f>IF(D469="","",ROW()-4)</f>
        <v/>
      </c>
      <c r="B469" s="22" t="n"/>
      <c r="C469" s="22" t="n"/>
      <c r="D469" s="22" t="n"/>
      <c r="E469" s="22" t="n"/>
      <c r="F469" s="22" t="n"/>
      <c r="G469" s="22" t="n"/>
      <c r="H469" s="22" t="n"/>
      <c r="I469" s="22" t="n"/>
      <c r="J469" s="23" t="n"/>
      <c r="K469" s="24" t="n"/>
      <c r="L469" s="22" t="n"/>
      <c r="M469" s="23" t="n"/>
      <c r="N469" s="23" t="n"/>
      <c r="O469" s="23" t="n"/>
      <c r="P469" s="10">
        <f>IF(D469="","",IF(AND(M469="✓",N469="✓",O469="✓"),"✅正式",IF(M469&amp;N469&amp;O469="","入会前","手続き中")))</f>
        <v/>
      </c>
      <c r="Q469" s="24" t="n"/>
      <c r="R469" s="24" t="n"/>
      <c r="S469" s="10">
        <f>IF(OR(D469="",R469=""),"",TODAY()-R469)</f>
        <v/>
      </c>
      <c r="T469" s="22" t="n"/>
      <c r="U469" s="24" t="n"/>
      <c r="V469" s="23" t="n"/>
      <c r="W469" s="14">
        <f>IF(OR(D469="",V469="辞退",V469="保留",P469="✅正式"),"",TRIM(IF(AND(U469&lt;&gt;"",U469&lt;TODAY()),"期日超過 ","")&amp;IF(AND(S469&lt;&gt;"",S469&gt;='設定'!$B$9),"放置"&amp;S469&amp;"日 ","")&amp;IF(AND(J469="CCS済",M469&lt;&gt;"✓"),"CCS後の申込待ち ","")&amp;IF(AND(M469="✓",N469&lt;&gt;"✓"),"振込待ち ","")&amp;IF(AND(N469="✓",O469&lt;&gt;"✓"),"同意書待ち ","")&amp;IF(T469="","次アクション未設定","")))</f>
        <v/>
      </c>
      <c r="X469" s="10" t="n"/>
      <c r="Y469" s="22" t="n"/>
    </row>
    <row r="470">
      <c r="A470" s="10">
        <f>IF(D470="","",ROW()-4)</f>
        <v/>
      </c>
      <c r="B470" s="22" t="n"/>
      <c r="C470" s="22" t="n"/>
      <c r="D470" s="22" t="n"/>
      <c r="E470" s="22" t="n"/>
      <c r="F470" s="22" t="n"/>
      <c r="G470" s="22" t="n"/>
      <c r="H470" s="22" t="n"/>
      <c r="I470" s="22" t="n"/>
      <c r="J470" s="23" t="n"/>
      <c r="K470" s="24" t="n"/>
      <c r="L470" s="22" t="n"/>
      <c r="M470" s="23" t="n"/>
      <c r="N470" s="23" t="n"/>
      <c r="O470" s="23" t="n"/>
      <c r="P470" s="10">
        <f>IF(D470="","",IF(AND(M470="✓",N470="✓",O470="✓"),"✅正式",IF(M470&amp;N470&amp;O470="","入会前","手続き中")))</f>
        <v/>
      </c>
      <c r="Q470" s="24" t="n"/>
      <c r="R470" s="24" t="n"/>
      <c r="S470" s="10">
        <f>IF(OR(D470="",R470=""),"",TODAY()-R470)</f>
        <v/>
      </c>
      <c r="T470" s="22" t="n"/>
      <c r="U470" s="24" t="n"/>
      <c r="V470" s="23" t="n"/>
      <c r="W470" s="14">
        <f>IF(OR(D470="",V470="辞退",V470="保留",P470="✅正式"),"",TRIM(IF(AND(U470&lt;&gt;"",U470&lt;TODAY()),"期日超過 ","")&amp;IF(AND(S470&lt;&gt;"",S470&gt;='設定'!$B$9),"放置"&amp;S470&amp;"日 ","")&amp;IF(AND(J470="CCS済",M470&lt;&gt;"✓"),"CCS後の申込待ち ","")&amp;IF(AND(M470="✓",N470&lt;&gt;"✓"),"振込待ち ","")&amp;IF(AND(N470="✓",O470&lt;&gt;"✓"),"同意書待ち ","")&amp;IF(T470="","次アクション未設定","")))</f>
        <v/>
      </c>
      <c r="X470" s="10" t="n"/>
      <c r="Y470" s="22" t="n"/>
    </row>
    <row r="471">
      <c r="A471" s="10">
        <f>IF(D471="","",ROW()-4)</f>
        <v/>
      </c>
      <c r="B471" s="22" t="n"/>
      <c r="C471" s="22" t="n"/>
      <c r="D471" s="22" t="n"/>
      <c r="E471" s="22" t="n"/>
      <c r="F471" s="22" t="n"/>
      <c r="G471" s="22" t="n"/>
      <c r="H471" s="22" t="n"/>
      <c r="I471" s="22" t="n"/>
      <c r="J471" s="23" t="n"/>
      <c r="K471" s="24" t="n"/>
      <c r="L471" s="22" t="n"/>
      <c r="M471" s="23" t="n"/>
      <c r="N471" s="23" t="n"/>
      <c r="O471" s="23" t="n"/>
      <c r="P471" s="10">
        <f>IF(D471="","",IF(AND(M471="✓",N471="✓",O471="✓"),"✅正式",IF(M471&amp;N471&amp;O471="","入会前","手続き中")))</f>
        <v/>
      </c>
      <c r="Q471" s="24" t="n"/>
      <c r="R471" s="24" t="n"/>
      <c r="S471" s="10">
        <f>IF(OR(D471="",R471=""),"",TODAY()-R471)</f>
        <v/>
      </c>
      <c r="T471" s="22" t="n"/>
      <c r="U471" s="24" t="n"/>
      <c r="V471" s="23" t="n"/>
      <c r="W471" s="14">
        <f>IF(OR(D471="",V471="辞退",V471="保留",P471="✅正式"),"",TRIM(IF(AND(U471&lt;&gt;"",U471&lt;TODAY()),"期日超過 ","")&amp;IF(AND(S471&lt;&gt;"",S471&gt;='設定'!$B$9),"放置"&amp;S471&amp;"日 ","")&amp;IF(AND(J471="CCS済",M471&lt;&gt;"✓"),"CCS後の申込待ち ","")&amp;IF(AND(M471="✓",N471&lt;&gt;"✓"),"振込待ち ","")&amp;IF(AND(N471="✓",O471&lt;&gt;"✓"),"同意書待ち ","")&amp;IF(T471="","次アクション未設定","")))</f>
        <v/>
      </c>
      <c r="X471" s="10" t="n"/>
      <c r="Y471" s="22" t="n"/>
    </row>
    <row r="472">
      <c r="A472" s="10">
        <f>IF(D472="","",ROW()-4)</f>
        <v/>
      </c>
      <c r="B472" s="22" t="n"/>
      <c r="C472" s="22" t="n"/>
      <c r="D472" s="22" t="n"/>
      <c r="E472" s="22" t="n"/>
      <c r="F472" s="22" t="n"/>
      <c r="G472" s="22" t="n"/>
      <c r="H472" s="22" t="n"/>
      <c r="I472" s="22" t="n"/>
      <c r="J472" s="23" t="n"/>
      <c r="K472" s="24" t="n"/>
      <c r="L472" s="22" t="n"/>
      <c r="M472" s="23" t="n"/>
      <c r="N472" s="23" t="n"/>
      <c r="O472" s="23" t="n"/>
      <c r="P472" s="10">
        <f>IF(D472="","",IF(AND(M472="✓",N472="✓",O472="✓"),"✅正式",IF(M472&amp;N472&amp;O472="","入会前","手続き中")))</f>
        <v/>
      </c>
      <c r="Q472" s="24" t="n"/>
      <c r="R472" s="24" t="n"/>
      <c r="S472" s="10">
        <f>IF(OR(D472="",R472=""),"",TODAY()-R472)</f>
        <v/>
      </c>
      <c r="T472" s="22" t="n"/>
      <c r="U472" s="24" t="n"/>
      <c r="V472" s="23" t="n"/>
      <c r="W472" s="14">
        <f>IF(OR(D472="",V472="辞退",V472="保留",P472="✅正式"),"",TRIM(IF(AND(U472&lt;&gt;"",U472&lt;TODAY()),"期日超過 ","")&amp;IF(AND(S472&lt;&gt;"",S472&gt;='設定'!$B$9),"放置"&amp;S472&amp;"日 ","")&amp;IF(AND(J472="CCS済",M472&lt;&gt;"✓"),"CCS後の申込待ち ","")&amp;IF(AND(M472="✓",N472&lt;&gt;"✓"),"振込待ち ","")&amp;IF(AND(N472="✓",O472&lt;&gt;"✓"),"同意書待ち ","")&amp;IF(T472="","次アクション未設定","")))</f>
        <v/>
      </c>
      <c r="X472" s="10" t="n"/>
      <c r="Y472" s="22" t="n"/>
    </row>
    <row r="473">
      <c r="A473" s="10">
        <f>IF(D473="","",ROW()-4)</f>
        <v/>
      </c>
      <c r="B473" s="22" t="n"/>
      <c r="C473" s="22" t="n"/>
      <c r="D473" s="22" t="n"/>
      <c r="E473" s="22" t="n"/>
      <c r="F473" s="22" t="n"/>
      <c r="G473" s="22" t="n"/>
      <c r="H473" s="22" t="n"/>
      <c r="I473" s="22" t="n"/>
      <c r="J473" s="23" t="n"/>
      <c r="K473" s="24" t="n"/>
      <c r="L473" s="22" t="n"/>
      <c r="M473" s="23" t="n"/>
      <c r="N473" s="23" t="n"/>
      <c r="O473" s="23" t="n"/>
      <c r="P473" s="10">
        <f>IF(D473="","",IF(AND(M473="✓",N473="✓",O473="✓"),"✅正式",IF(M473&amp;N473&amp;O473="","入会前","手続き中")))</f>
        <v/>
      </c>
      <c r="Q473" s="24" t="n"/>
      <c r="R473" s="24" t="n"/>
      <c r="S473" s="10">
        <f>IF(OR(D473="",R473=""),"",TODAY()-R473)</f>
        <v/>
      </c>
      <c r="T473" s="22" t="n"/>
      <c r="U473" s="24" t="n"/>
      <c r="V473" s="23" t="n"/>
      <c r="W473" s="14">
        <f>IF(OR(D473="",V473="辞退",V473="保留",P473="✅正式"),"",TRIM(IF(AND(U473&lt;&gt;"",U473&lt;TODAY()),"期日超過 ","")&amp;IF(AND(S473&lt;&gt;"",S473&gt;='設定'!$B$9),"放置"&amp;S473&amp;"日 ","")&amp;IF(AND(J473="CCS済",M473&lt;&gt;"✓"),"CCS後の申込待ち ","")&amp;IF(AND(M473="✓",N473&lt;&gt;"✓"),"振込待ち ","")&amp;IF(AND(N473="✓",O473&lt;&gt;"✓"),"同意書待ち ","")&amp;IF(T473="","次アクション未設定","")))</f>
        <v/>
      </c>
      <c r="X473" s="10" t="n"/>
      <c r="Y473" s="22" t="n"/>
    </row>
    <row r="474">
      <c r="A474" s="10">
        <f>IF(D474="","",ROW()-4)</f>
        <v/>
      </c>
      <c r="B474" s="22" t="n"/>
      <c r="C474" s="22" t="n"/>
      <c r="D474" s="22" t="n"/>
      <c r="E474" s="22" t="n"/>
      <c r="F474" s="22" t="n"/>
      <c r="G474" s="22" t="n"/>
      <c r="H474" s="22" t="n"/>
      <c r="I474" s="22" t="n"/>
      <c r="J474" s="23" t="n"/>
      <c r="K474" s="24" t="n"/>
      <c r="L474" s="22" t="n"/>
      <c r="M474" s="23" t="n"/>
      <c r="N474" s="23" t="n"/>
      <c r="O474" s="23" t="n"/>
      <c r="P474" s="10">
        <f>IF(D474="","",IF(AND(M474="✓",N474="✓",O474="✓"),"✅正式",IF(M474&amp;N474&amp;O474="","入会前","手続き中")))</f>
        <v/>
      </c>
      <c r="Q474" s="24" t="n"/>
      <c r="R474" s="24" t="n"/>
      <c r="S474" s="10">
        <f>IF(OR(D474="",R474=""),"",TODAY()-R474)</f>
        <v/>
      </c>
      <c r="T474" s="22" t="n"/>
      <c r="U474" s="24" t="n"/>
      <c r="V474" s="23" t="n"/>
      <c r="W474" s="14">
        <f>IF(OR(D474="",V474="辞退",V474="保留",P474="✅正式"),"",TRIM(IF(AND(U474&lt;&gt;"",U474&lt;TODAY()),"期日超過 ","")&amp;IF(AND(S474&lt;&gt;"",S474&gt;='設定'!$B$9),"放置"&amp;S474&amp;"日 ","")&amp;IF(AND(J474="CCS済",M474&lt;&gt;"✓"),"CCS後の申込待ち ","")&amp;IF(AND(M474="✓",N474&lt;&gt;"✓"),"振込待ち ","")&amp;IF(AND(N474="✓",O474&lt;&gt;"✓"),"同意書待ち ","")&amp;IF(T474="","次アクション未設定","")))</f>
        <v/>
      </c>
      <c r="X474" s="10" t="n"/>
      <c r="Y474" s="22" t="n"/>
    </row>
    <row r="475">
      <c r="A475" s="10">
        <f>IF(D475="","",ROW()-4)</f>
        <v/>
      </c>
      <c r="B475" s="22" t="n"/>
      <c r="C475" s="22" t="n"/>
      <c r="D475" s="22" t="n"/>
      <c r="E475" s="22" t="n"/>
      <c r="F475" s="22" t="n"/>
      <c r="G475" s="22" t="n"/>
      <c r="H475" s="22" t="n"/>
      <c r="I475" s="22" t="n"/>
      <c r="J475" s="23" t="n"/>
      <c r="K475" s="24" t="n"/>
      <c r="L475" s="22" t="n"/>
      <c r="M475" s="23" t="n"/>
      <c r="N475" s="23" t="n"/>
      <c r="O475" s="23" t="n"/>
      <c r="P475" s="10">
        <f>IF(D475="","",IF(AND(M475="✓",N475="✓",O475="✓"),"✅正式",IF(M475&amp;N475&amp;O475="","入会前","手続き中")))</f>
        <v/>
      </c>
      <c r="Q475" s="24" t="n"/>
      <c r="R475" s="24" t="n"/>
      <c r="S475" s="10">
        <f>IF(OR(D475="",R475=""),"",TODAY()-R475)</f>
        <v/>
      </c>
      <c r="T475" s="22" t="n"/>
      <c r="U475" s="24" t="n"/>
      <c r="V475" s="23" t="n"/>
      <c r="W475" s="14">
        <f>IF(OR(D475="",V475="辞退",V475="保留",P475="✅正式"),"",TRIM(IF(AND(U475&lt;&gt;"",U475&lt;TODAY()),"期日超過 ","")&amp;IF(AND(S475&lt;&gt;"",S475&gt;='設定'!$B$9),"放置"&amp;S475&amp;"日 ","")&amp;IF(AND(J475="CCS済",M475&lt;&gt;"✓"),"CCS後の申込待ち ","")&amp;IF(AND(M475="✓",N475&lt;&gt;"✓"),"振込待ち ","")&amp;IF(AND(N475="✓",O475&lt;&gt;"✓"),"同意書待ち ","")&amp;IF(T475="","次アクション未設定","")))</f>
        <v/>
      </c>
      <c r="X475" s="10" t="n"/>
      <c r="Y475" s="22" t="n"/>
    </row>
    <row r="476">
      <c r="A476" s="10">
        <f>IF(D476="","",ROW()-4)</f>
        <v/>
      </c>
      <c r="B476" s="22" t="n"/>
      <c r="C476" s="22" t="n"/>
      <c r="D476" s="22" t="n"/>
      <c r="E476" s="22" t="n"/>
      <c r="F476" s="22" t="n"/>
      <c r="G476" s="22" t="n"/>
      <c r="H476" s="22" t="n"/>
      <c r="I476" s="22" t="n"/>
      <c r="J476" s="23" t="n"/>
      <c r="K476" s="24" t="n"/>
      <c r="L476" s="22" t="n"/>
      <c r="M476" s="23" t="n"/>
      <c r="N476" s="23" t="n"/>
      <c r="O476" s="23" t="n"/>
      <c r="P476" s="10">
        <f>IF(D476="","",IF(AND(M476="✓",N476="✓",O476="✓"),"✅正式",IF(M476&amp;N476&amp;O476="","入会前","手続き中")))</f>
        <v/>
      </c>
      <c r="Q476" s="24" t="n"/>
      <c r="R476" s="24" t="n"/>
      <c r="S476" s="10">
        <f>IF(OR(D476="",R476=""),"",TODAY()-R476)</f>
        <v/>
      </c>
      <c r="T476" s="22" t="n"/>
      <c r="U476" s="24" t="n"/>
      <c r="V476" s="23" t="n"/>
      <c r="W476" s="14">
        <f>IF(OR(D476="",V476="辞退",V476="保留",P476="✅正式"),"",TRIM(IF(AND(U476&lt;&gt;"",U476&lt;TODAY()),"期日超過 ","")&amp;IF(AND(S476&lt;&gt;"",S476&gt;='設定'!$B$9),"放置"&amp;S476&amp;"日 ","")&amp;IF(AND(J476="CCS済",M476&lt;&gt;"✓"),"CCS後の申込待ち ","")&amp;IF(AND(M476="✓",N476&lt;&gt;"✓"),"振込待ち ","")&amp;IF(AND(N476="✓",O476&lt;&gt;"✓"),"同意書待ち ","")&amp;IF(T476="","次アクション未設定","")))</f>
        <v/>
      </c>
      <c r="X476" s="10" t="n"/>
      <c r="Y476" s="22" t="n"/>
    </row>
    <row r="477">
      <c r="A477" s="10">
        <f>IF(D477="","",ROW()-4)</f>
        <v/>
      </c>
      <c r="B477" s="22" t="n"/>
      <c r="C477" s="22" t="n"/>
      <c r="D477" s="22" t="n"/>
      <c r="E477" s="22" t="n"/>
      <c r="F477" s="22" t="n"/>
      <c r="G477" s="22" t="n"/>
      <c r="H477" s="22" t="n"/>
      <c r="I477" s="22" t="n"/>
      <c r="J477" s="23" t="n"/>
      <c r="K477" s="24" t="n"/>
      <c r="L477" s="22" t="n"/>
      <c r="M477" s="23" t="n"/>
      <c r="N477" s="23" t="n"/>
      <c r="O477" s="23" t="n"/>
      <c r="P477" s="10">
        <f>IF(D477="","",IF(AND(M477="✓",N477="✓",O477="✓"),"✅正式",IF(M477&amp;N477&amp;O477="","入会前","手続き中")))</f>
        <v/>
      </c>
      <c r="Q477" s="24" t="n"/>
      <c r="R477" s="24" t="n"/>
      <c r="S477" s="10">
        <f>IF(OR(D477="",R477=""),"",TODAY()-R477)</f>
        <v/>
      </c>
      <c r="T477" s="22" t="n"/>
      <c r="U477" s="24" t="n"/>
      <c r="V477" s="23" t="n"/>
      <c r="W477" s="14">
        <f>IF(OR(D477="",V477="辞退",V477="保留",P477="✅正式"),"",TRIM(IF(AND(U477&lt;&gt;"",U477&lt;TODAY()),"期日超過 ","")&amp;IF(AND(S477&lt;&gt;"",S477&gt;='設定'!$B$9),"放置"&amp;S477&amp;"日 ","")&amp;IF(AND(J477="CCS済",M477&lt;&gt;"✓"),"CCS後の申込待ち ","")&amp;IF(AND(M477="✓",N477&lt;&gt;"✓"),"振込待ち ","")&amp;IF(AND(N477="✓",O477&lt;&gt;"✓"),"同意書待ち ","")&amp;IF(T477="","次アクション未設定","")))</f>
        <v/>
      </c>
      <c r="X477" s="10" t="n"/>
      <c r="Y477" s="22" t="n"/>
    </row>
    <row r="478">
      <c r="A478" s="10">
        <f>IF(D478="","",ROW()-4)</f>
        <v/>
      </c>
      <c r="B478" s="22" t="n"/>
      <c r="C478" s="22" t="n"/>
      <c r="D478" s="22" t="n"/>
      <c r="E478" s="22" t="n"/>
      <c r="F478" s="22" t="n"/>
      <c r="G478" s="22" t="n"/>
      <c r="H478" s="22" t="n"/>
      <c r="I478" s="22" t="n"/>
      <c r="J478" s="23" t="n"/>
      <c r="K478" s="24" t="n"/>
      <c r="L478" s="22" t="n"/>
      <c r="M478" s="23" t="n"/>
      <c r="N478" s="23" t="n"/>
      <c r="O478" s="23" t="n"/>
      <c r="P478" s="10">
        <f>IF(D478="","",IF(AND(M478="✓",N478="✓",O478="✓"),"✅正式",IF(M478&amp;N478&amp;O478="","入会前","手続き中")))</f>
        <v/>
      </c>
      <c r="Q478" s="24" t="n"/>
      <c r="R478" s="24" t="n"/>
      <c r="S478" s="10">
        <f>IF(OR(D478="",R478=""),"",TODAY()-R478)</f>
        <v/>
      </c>
      <c r="T478" s="22" t="n"/>
      <c r="U478" s="24" t="n"/>
      <c r="V478" s="23" t="n"/>
      <c r="W478" s="14">
        <f>IF(OR(D478="",V478="辞退",V478="保留",P478="✅正式"),"",TRIM(IF(AND(U478&lt;&gt;"",U478&lt;TODAY()),"期日超過 ","")&amp;IF(AND(S478&lt;&gt;"",S478&gt;='設定'!$B$9),"放置"&amp;S478&amp;"日 ","")&amp;IF(AND(J478="CCS済",M478&lt;&gt;"✓"),"CCS後の申込待ち ","")&amp;IF(AND(M478="✓",N478&lt;&gt;"✓"),"振込待ち ","")&amp;IF(AND(N478="✓",O478&lt;&gt;"✓"),"同意書待ち ","")&amp;IF(T478="","次アクション未設定","")))</f>
        <v/>
      </c>
      <c r="X478" s="10" t="n"/>
      <c r="Y478" s="22" t="n"/>
    </row>
    <row r="479">
      <c r="A479" s="10">
        <f>IF(D479="","",ROW()-4)</f>
        <v/>
      </c>
      <c r="B479" s="22" t="n"/>
      <c r="C479" s="22" t="n"/>
      <c r="D479" s="22" t="n"/>
      <c r="E479" s="22" t="n"/>
      <c r="F479" s="22" t="n"/>
      <c r="G479" s="22" t="n"/>
      <c r="H479" s="22" t="n"/>
      <c r="I479" s="22" t="n"/>
      <c r="J479" s="23" t="n"/>
      <c r="K479" s="24" t="n"/>
      <c r="L479" s="22" t="n"/>
      <c r="M479" s="23" t="n"/>
      <c r="N479" s="23" t="n"/>
      <c r="O479" s="23" t="n"/>
      <c r="P479" s="10">
        <f>IF(D479="","",IF(AND(M479="✓",N479="✓",O479="✓"),"✅正式",IF(M479&amp;N479&amp;O479="","入会前","手続き中")))</f>
        <v/>
      </c>
      <c r="Q479" s="24" t="n"/>
      <c r="R479" s="24" t="n"/>
      <c r="S479" s="10">
        <f>IF(OR(D479="",R479=""),"",TODAY()-R479)</f>
        <v/>
      </c>
      <c r="T479" s="22" t="n"/>
      <c r="U479" s="24" t="n"/>
      <c r="V479" s="23" t="n"/>
      <c r="W479" s="14">
        <f>IF(OR(D479="",V479="辞退",V479="保留",P479="✅正式"),"",TRIM(IF(AND(U479&lt;&gt;"",U479&lt;TODAY()),"期日超過 ","")&amp;IF(AND(S479&lt;&gt;"",S479&gt;='設定'!$B$9),"放置"&amp;S479&amp;"日 ","")&amp;IF(AND(J479="CCS済",M479&lt;&gt;"✓"),"CCS後の申込待ち ","")&amp;IF(AND(M479="✓",N479&lt;&gt;"✓"),"振込待ち ","")&amp;IF(AND(N479="✓",O479&lt;&gt;"✓"),"同意書待ち ","")&amp;IF(T479="","次アクション未設定","")))</f>
        <v/>
      </c>
      <c r="X479" s="10" t="n"/>
      <c r="Y479" s="22" t="n"/>
    </row>
    <row r="480">
      <c r="A480" s="10">
        <f>IF(D480="","",ROW()-4)</f>
        <v/>
      </c>
      <c r="B480" s="22" t="n"/>
      <c r="C480" s="22" t="n"/>
      <c r="D480" s="22" t="n"/>
      <c r="E480" s="22" t="n"/>
      <c r="F480" s="22" t="n"/>
      <c r="G480" s="22" t="n"/>
      <c r="H480" s="22" t="n"/>
      <c r="I480" s="22" t="n"/>
      <c r="J480" s="23" t="n"/>
      <c r="K480" s="24" t="n"/>
      <c r="L480" s="22" t="n"/>
      <c r="M480" s="23" t="n"/>
      <c r="N480" s="23" t="n"/>
      <c r="O480" s="23" t="n"/>
      <c r="P480" s="10">
        <f>IF(D480="","",IF(AND(M480="✓",N480="✓",O480="✓"),"✅正式",IF(M480&amp;N480&amp;O480="","入会前","手続き中")))</f>
        <v/>
      </c>
      <c r="Q480" s="24" t="n"/>
      <c r="R480" s="24" t="n"/>
      <c r="S480" s="10">
        <f>IF(OR(D480="",R480=""),"",TODAY()-R480)</f>
        <v/>
      </c>
      <c r="T480" s="22" t="n"/>
      <c r="U480" s="24" t="n"/>
      <c r="V480" s="23" t="n"/>
      <c r="W480" s="14">
        <f>IF(OR(D480="",V480="辞退",V480="保留",P480="✅正式"),"",TRIM(IF(AND(U480&lt;&gt;"",U480&lt;TODAY()),"期日超過 ","")&amp;IF(AND(S480&lt;&gt;"",S480&gt;='設定'!$B$9),"放置"&amp;S480&amp;"日 ","")&amp;IF(AND(J480="CCS済",M480&lt;&gt;"✓"),"CCS後の申込待ち ","")&amp;IF(AND(M480="✓",N480&lt;&gt;"✓"),"振込待ち ","")&amp;IF(AND(N480="✓",O480&lt;&gt;"✓"),"同意書待ち ","")&amp;IF(T480="","次アクション未設定","")))</f>
        <v/>
      </c>
      <c r="X480" s="10" t="n"/>
      <c r="Y480" s="22" t="n"/>
    </row>
    <row r="481">
      <c r="A481" s="10">
        <f>IF(D481="","",ROW()-4)</f>
        <v/>
      </c>
      <c r="B481" s="22" t="n"/>
      <c r="C481" s="22" t="n"/>
      <c r="D481" s="22" t="n"/>
      <c r="E481" s="22" t="n"/>
      <c r="F481" s="22" t="n"/>
      <c r="G481" s="22" t="n"/>
      <c r="H481" s="22" t="n"/>
      <c r="I481" s="22" t="n"/>
      <c r="J481" s="23" t="n"/>
      <c r="K481" s="24" t="n"/>
      <c r="L481" s="22" t="n"/>
      <c r="M481" s="23" t="n"/>
      <c r="N481" s="23" t="n"/>
      <c r="O481" s="23" t="n"/>
      <c r="P481" s="10">
        <f>IF(D481="","",IF(AND(M481="✓",N481="✓",O481="✓"),"✅正式",IF(M481&amp;N481&amp;O481="","入会前","手続き中")))</f>
        <v/>
      </c>
      <c r="Q481" s="24" t="n"/>
      <c r="R481" s="24" t="n"/>
      <c r="S481" s="10">
        <f>IF(OR(D481="",R481=""),"",TODAY()-R481)</f>
        <v/>
      </c>
      <c r="T481" s="22" t="n"/>
      <c r="U481" s="24" t="n"/>
      <c r="V481" s="23" t="n"/>
      <c r="W481" s="14">
        <f>IF(OR(D481="",V481="辞退",V481="保留",P481="✅正式"),"",TRIM(IF(AND(U481&lt;&gt;"",U481&lt;TODAY()),"期日超過 ","")&amp;IF(AND(S481&lt;&gt;"",S481&gt;='設定'!$B$9),"放置"&amp;S481&amp;"日 ","")&amp;IF(AND(J481="CCS済",M481&lt;&gt;"✓"),"CCS後の申込待ち ","")&amp;IF(AND(M481="✓",N481&lt;&gt;"✓"),"振込待ち ","")&amp;IF(AND(N481="✓",O481&lt;&gt;"✓"),"同意書待ち ","")&amp;IF(T481="","次アクション未設定","")))</f>
        <v/>
      </c>
      <c r="X481" s="10" t="n"/>
      <c r="Y481" s="22" t="n"/>
    </row>
    <row r="482">
      <c r="A482" s="10">
        <f>IF(D482="","",ROW()-4)</f>
        <v/>
      </c>
      <c r="B482" s="22" t="n"/>
      <c r="C482" s="22" t="n"/>
      <c r="D482" s="22" t="n"/>
      <c r="E482" s="22" t="n"/>
      <c r="F482" s="22" t="n"/>
      <c r="G482" s="22" t="n"/>
      <c r="H482" s="22" t="n"/>
      <c r="I482" s="22" t="n"/>
      <c r="J482" s="23" t="n"/>
      <c r="K482" s="24" t="n"/>
      <c r="L482" s="22" t="n"/>
      <c r="M482" s="23" t="n"/>
      <c r="N482" s="23" t="n"/>
      <c r="O482" s="23" t="n"/>
      <c r="P482" s="10">
        <f>IF(D482="","",IF(AND(M482="✓",N482="✓",O482="✓"),"✅正式",IF(M482&amp;N482&amp;O482="","入会前","手続き中")))</f>
        <v/>
      </c>
      <c r="Q482" s="24" t="n"/>
      <c r="R482" s="24" t="n"/>
      <c r="S482" s="10">
        <f>IF(OR(D482="",R482=""),"",TODAY()-R482)</f>
        <v/>
      </c>
      <c r="T482" s="22" t="n"/>
      <c r="U482" s="24" t="n"/>
      <c r="V482" s="23" t="n"/>
      <c r="W482" s="14">
        <f>IF(OR(D482="",V482="辞退",V482="保留",P482="✅正式"),"",TRIM(IF(AND(U482&lt;&gt;"",U482&lt;TODAY()),"期日超過 ","")&amp;IF(AND(S482&lt;&gt;"",S482&gt;='設定'!$B$9),"放置"&amp;S482&amp;"日 ","")&amp;IF(AND(J482="CCS済",M482&lt;&gt;"✓"),"CCS後の申込待ち ","")&amp;IF(AND(M482="✓",N482&lt;&gt;"✓"),"振込待ち ","")&amp;IF(AND(N482="✓",O482&lt;&gt;"✓"),"同意書待ち ","")&amp;IF(T482="","次アクション未設定","")))</f>
        <v/>
      </c>
      <c r="X482" s="10" t="n"/>
      <c r="Y482" s="22" t="n"/>
    </row>
    <row r="483">
      <c r="A483" s="10">
        <f>IF(D483="","",ROW()-4)</f>
        <v/>
      </c>
      <c r="B483" s="22" t="n"/>
      <c r="C483" s="22" t="n"/>
      <c r="D483" s="22" t="n"/>
      <c r="E483" s="22" t="n"/>
      <c r="F483" s="22" t="n"/>
      <c r="G483" s="22" t="n"/>
      <c r="H483" s="22" t="n"/>
      <c r="I483" s="22" t="n"/>
      <c r="J483" s="23" t="n"/>
      <c r="K483" s="24" t="n"/>
      <c r="L483" s="22" t="n"/>
      <c r="M483" s="23" t="n"/>
      <c r="N483" s="23" t="n"/>
      <c r="O483" s="23" t="n"/>
      <c r="P483" s="10">
        <f>IF(D483="","",IF(AND(M483="✓",N483="✓",O483="✓"),"✅正式",IF(M483&amp;N483&amp;O483="","入会前","手続き中")))</f>
        <v/>
      </c>
      <c r="Q483" s="24" t="n"/>
      <c r="R483" s="24" t="n"/>
      <c r="S483" s="10">
        <f>IF(OR(D483="",R483=""),"",TODAY()-R483)</f>
        <v/>
      </c>
      <c r="T483" s="22" t="n"/>
      <c r="U483" s="24" t="n"/>
      <c r="V483" s="23" t="n"/>
      <c r="W483" s="14">
        <f>IF(OR(D483="",V483="辞退",V483="保留",P483="✅正式"),"",TRIM(IF(AND(U483&lt;&gt;"",U483&lt;TODAY()),"期日超過 ","")&amp;IF(AND(S483&lt;&gt;"",S483&gt;='設定'!$B$9),"放置"&amp;S483&amp;"日 ","")&amp;IF(AND(J483="CCS済",M483&lt;&gt;"✓"),"CCS後の申込待ち ","")&amp;IF(AND(M483="✓",N483&lt;&gt;"✓"),"振込待ち ","")&amp;IF(AND(N483="✓",O483&lt;&gt;"✓"),"同意書待ち ","")&amp;IF(T483="","次アクション未設定","")))</f>
        <v/>
      </c>
      <c r="X483" s="10" t="n"/>
      <c r="Y483" s="22" t="n"/>
    </row>
    <row r="484">
      <c r="A484" s="10">
        <f>IF(D484="","",ROW()-4)</f>
        <v/>
      </c>
      <c r="B484" s="22" t="n"/>
      <c r="C484" s="22" t="n"/>
      <c r="D484" s="22" t="n"/>
      <c r="E484" s="22" t="n"/>
      <c r="F484" s="22" t="n"/>
      <c r="G484" s="22" t="n"/>
      <c r="H484" s="22" t="n"/>
      <c r="I484" s="22" t="n"/>
      <c r="J484" s="23" t="n"/>
      <c r="K484" s="24" t="n"/>
      <c r="L484" s="22" t="n"/>
      <c r="M484" s="23" t="n"/>
      <c r="N484" s="23" t="n"/>
      <c r="O484" s="23" t="n"/>
      <c r="P484" s="10">
        <f>IF(D484="","",IF(AND(M484="✓",N484="✓",O484="✓"),"✅正式",IF(M484&amp;N484&amp;O484="","入会前","手続き中")))</f>
        <v/>
      </c>
      <c r="Q484" s="24" t="n"/>
      <c r="R484" s="24" t="n"/>
      <c r="S484" s="10">
        <f>IF(OR(D484="",R484=""),"",TODAY()-R484)</f>
        <v/>
      </c>
      <c r="T484" s="22" t="n"/>
      <c r="U484" s="24" t="n"/>
      <c r="V484" s="23" t="n"/>
      <c r="W484" s="14">
        <f>IF(OR(D484="",V484="辞退",V484="保留",P484="✅正式"),"",TRIM(IF(AND(U484&lt;&gt;"",U484&lt;TODAY()),"期日超過 ","")&amp;IF(AND(S484&lt;&gt;"",S484&gt;='設定'!$B$9),"放置"&amp;S484&amp;"日 ","")&amp;IF(AND(J484="CCS済",M484&lt;&gt;"✓"),"CCS後の申込待ち ","")&amp;IF(AND(M484="✓",N484&lt;&gt;"✓"),"振込待ち ","")&amp;IF(AND(N484="✓",O484&lt;&gt;"✓"),"同意書待ち ","")&amp;IF(T484="","次アクション未設定","")))</f>
        <v/>
      </c>
      <c r="X484" s="10" t="n"/>
      <c r="Y484" s="22" t="n"/>
    </row>
    <row r="485">
      <c r="A485" s="10">
        <f>IF(D485="","",ROW()-4)</f>
        <v/>
      </c>
      <c r="B485" s="22" t="n"/>
      <c r="C485" s="22" t="n"/>
      <c r="D485" s="22" t="n"/>
      <c r="E485" s="22" t="n"/>
      <c r="F485" s="22" t="n"/>
      <c r="G485" s="22" t="n"/>
      <c r="H485" s="22" t="n"/>
      <c r="I485" s="22" t="n"/>
      <c r="J485" s="23" t="n"/>
      <c r="K485" s="24" t="n"/>
      <c r="L485" s="22" t="n"/>
      <c r="M485" s="23" t="n"/>
      <c r="N485" s="23" t="n"/>
      <c r="O485" s="23" t="n"/>
      <c r="P485" s="10">
        <f>IF(D485="","",IF(AND(M485="✓",N485="✓",O485="✓"),"✅正式",IF(M485&amp;N485&amp;O485="","入会前","手続き中")))</f>
        <v/>
      </c>
      <c r="Q485" s="24" t="n"/>
      <c r="R485" s="24" t="n"/>
      <c r="S485" s="10">
        <f>IF(OR(D485="",R485=""),"",TODAY()-R485)</f>
        <v/>
      </c>
      <c r="T485" s="22" t="n"/>
      <c r="U485" s="24" t="n"/>
      <c r="V485" s="23" t="n"/>
      <c r="W485" s="14">
        <f>IF(OR(D485="",V485="辞退",V485="保留",P485="✅正式"),"",TRIM(IF(AND(U485&lt;&gt;"",U485&lt;TODAY()),"期日超過 ","")&amp;IF(AND(S485&lt;&gt;"",S485&gt;='設定'!$B$9),"放置"&amp;S485&amp;"日 ","")&amp;IF(AND(J485="CCS済",M485&lt;&gt;"✓"),"CCS後の申込待ち ","")&amp;IF(AND(M485="✓",N485&lt;&gt;"✓"),"振込待ち ","")&amp;IF(AND(N485="✓",O485&lt;&gt;"✓"),"同意書待ち ","")&amp;IF(T485="","次アクション未設定","")))</f>
        <v/>
      </c>
      <c r="X485" s="10" t="n"/>
      <c r="Y485" s="22" t="n"/>
    </row>
    <row r="486">
      <c r="A486" s="10">
        <f>IF(D486="","",ROW()-4)</f>
        <v/>
      </c>
      <c r="B486" s="22" t="n"/>
      <c r="C486" s="22" t="n"/>
      <c r="D486" s="22" t="n"/>
      <c r="E486" s="22" t="n"/>
      <c r="F486" s="22" t="n"/>
      <c r="G486" s="22" t="n"/>
      <c r="H486" s="22" t="n"/>
      <c r="I486" s="22" t="n"/>
      <c r="J486" s="23" t="n"/>
      <c r="K486" s="24" t="n"/>
      <c r="L486" s="22" t="n"/>
      <c r="M486" s="23" t="n"/>
      <c r="N486" s="23" t="n"/>
      <c r="O486" s="23" t="n"/>
      <c r="P486" s="10">
        <f>IF(D486="","",IF(AND(M486="✓",N486="✓",O486="✓"),"✅正式",IF(M486&amp;N486&amp;O486="","入会前","手続き中")))</f>
        <v/>
      </c>
      <c r="Q486" s="24" t="n"/>
      <c r="R486" s="24" t="n"/>
      <c r="S486" s="10">
        <f>IF(OR(D486="",R486=""),"",TODAY()-R486)</f>
        <v/>
      </c>
      <c r="T486" s="22" t="n"/>
      <c r="U486" s="24" t="n"/>
      <c r="V486" s="23" t="n"/>
      <c r="W486" s="14">
        <f>IF(OR(D486="",V486="辞退",V486="保留",P486="✅正式"),"",TRIM(IF(AND(U486&lt;&gt;"",U486&lt;TODAY()),"期日超過 ","")&amp;IF(AND(S486&lt;&gt;"",S486&gt;='設定'!$B$9),"放置"&amp;S486&amp;"日 ","")&amp;IF(AND(J486="CCS済",M486&lt;&gt;"✓"),"CCS後の申込待ち ","")&amp;IF(AND(M486="✓",N486&lt;&gt;"✓"),"振込待ち ","")&amp;IF(AND(N486="✓",O486&lt;&gt;"✓"),"同意書待ち ","")&amp;IF(T486="","次アクション未設定","")))</f>
        <v/>
      </c>
      <c r="X486" s="10" t="n"/>
      <c r="Y486" s="22" t="n"/>
    </row>
    <row r="487">
      <c r="A487" s="10">
        <f>IF(D487="","",ROW()-4)</f>
        <v/>
      </c>
      <c r="B487" s="22" t="n"/>
      <c r="C487" s="22" t="n"/>
      <c r="D487" s="22" t="n"/>
      <c r="E487" s="22" t="n"/>
      <c r="F487" s="22" t="n"/>
      <c r="G487" s="22" t="n"/>
      <c r="H487" s="22" t="n"/>
      <c r="I487" s="22" t="n"/>
      <c r="J487" s="23" t="n"/>
      <c r="K487" s="24" t="n"/>
      <c r="L487" s="22" t="n"/>
      <c r="M487" s="23" t="n"/>
      <c r="N487" s="23" t="n"/>
      <c r="O487" s="23" t="n"/>
      <c r="P487" s="10">
        <f>IF(D487="","",IF(AND(M487="✓",N487="✓",O487="✓"),"✅正式",IF(M487&amp;N487&amp;O487="","入会前","手続き中")))</f>
        <v/>
      </c>
      <c r="Q487" s="24" t="n"/>
      <c r="R487" s="24" t="n"/>
      <c r="S487" s="10">
        <f>IF(OR(D487="",R487=""),"",TODAY()-R487)</f>
        <v/>
      </c>
      <c r="T487" s="22" t="n"/>
      <c r="U487" s="24" t="n"/>
      <c r="V487" s="23" t="n"/>
      <c r="W487" s="14">
        <f>IF(OR(D487="",V487="辞退",V487="保留",P487="✅正式"),"",TRIM(IF(AND(U487&lt;&gt;"",U487&lt;TODAY()),"期日超過 ","")&amp;IF(AND(S487&lt;&gt;"",S487&gt;='設定'!$B$9),"放置"&amp;S487&amp;"日 ","")&amp;IF(AND(J487="CCS済",M487&lt;&gt;"✓"),"CCS後の申込待ち ","")&amp;IF(AND(M487="✓",N487&lt;&gt;"✓"),"振込待ち ","")&amp;IF(AND(N487="✓",O487&lt;&gt;"✓"),"同意書待ち ","")&amp;IF(T487="","次アクション未設定","")))</f>
        <v/>
      </c>
      <c r="X487" s="10" t="n"/>
      <c r="Y487" s="22" t="n"/>
    </row>
    <row r="488">
      <c r="A488" s="10">
        <f>IF(D488="","",ROW()-4)</f>
        <v/>
      </c>
      <c r="B488" s="22" t="n"/>
      <c r="C488" s="22" t="n"/>
      <c r="D488" s="22" t="n"/>
      <c r="E488" s="22" t="n"/>
      <c r="F488" s="22" t="n"/>
      <c r="G488" s="22" t="n"/>
      <c r="H488" s="22" t="n"/>
      <c r="I488" s="22" t="n"/>
      <c r="J488" s="23" t="n"/>
      <c r="K488" s="24" t="n"/>
      <c r="L488" s="22" t="n"/>
      <c r="M488" s="23" t="n"/>
      <c r="N488" s="23" t="n"/>
      <c r="O488" s="23" t="n"/>
      <c r="P488" s="10">
        <f>IF(D488="","",IF(AND(M488="✓",N488="✓",O488="✓"),"✅正式",IF(M488&amp;N488&amp;O488="","入会前","手続き中")))</f>
        <v/>
      </c>
      <c r="Q488" s="24" t="n"/>
      <c r="R488" s="24" t="n"/>
      <c r="S488" s="10">
        <f>IF(OR(D488="",R488=""),"",TODAY()-R488)</f>
        <v/>
      </c>
      <c r="T488" s="22" t="n"/>
      <c r="U488" s="24" t="n"/>
      <c r="V488" s="23" t="n"/>
      <c r="W488" s="14">
        <f>IF(OR(D488="",V488="辞退",V488="保留",P488="✅正式"),"",TRIM(IF(AND(U488&lt;&gt;"",U488&lt;TODAY()),"期日超過 ","")&amp;IF(AND(S488&lt;&gt;"",S488&gt;='設定'!$B$9),"放置"&amp;S488&amp;"日 ","")&amp;IF(AND(J488="CCS済",M488&lt;&gt;"✓"),"CCS後の申込待ち ","")&amp;IF(AND(M488="✓",N488&lt;&gt;"✓"),"振込待ち ","")&amp;IF(AND(N488="✓",O488&lt;&gt;"✓"),"同意書待ち ","")&amp;IF(T488="","次アクション未設定","")))</f>
        <v/>
      </c>
      <c r="X488" s="10" t="n"/>
      <c r="Y488" s="22" t="n"/>
    </row>
    <row r="489">
      <c r="A489" s="10">
        <f>IF(D489="","",ROW()-4)</f>
        <v/>
      </c>
      <c r="B489" s="22" t="n"/>
      <c r="C489" s="22" t="n"/>
      <c r="D489" s="22" t="n"/>
      <c r="E489" s="22" t="n"/>
      <c r="F489" s="22" t="n"/>
      <c r="G489" s="22" t="n"/>
      <c r="H489" s="22" t="n"/>
      <c r="I489" s="22" t="n"/>
      <c r="J489" s="23" t="n"/>
      <c r="K489" s="24" t="n"/>
      <c r="L489" s="22" t="n"/>
      <c r="M489" s="23" t="n"/>
      <c r="N489" s="23" t="n"/>
      <c r="O489" s="23" t="n"/>
      <c r="P489" s="10">
        <f>IF(D489="","",IF(AND(M489="✓",N489="✓",O489="✓"),"✅正式",IF(M489&amp;N489&amp;O489="","入会前","手続き中")))</f>
        <v/>
      </c>
      <c r="Q489" s="24" t="n"/>
      <c r="R489" s="24" t="n"/>
      <c r="S489" s="10">
        <f>IF(OR(D489="",R489=""),"",TODAY()-R489)</f>
        <v/>
      </c>
      <c r="T489" s="22" t="n"/>
      <c r="U489" s="24" t="n"/>
      <c r="V489" s="23" t="n"/>
      <c r="W489" s="14">
        <f>IF(OR(D489="",V489="辞退",V489="保留",P489="✅正式"),"",TRIM(IF(AND(U489&lt;&gt;"",U489&lt;TODAY()),"期日超過 ","")&amp;IF(AND(S489&lt;&gt;"",S489&gt;='設定'!$B$9),"放置"&amp;S489&amp;"日 ","")&amp;IF(AND(J489="CCS済",M489&lt;&gt;"✓"),"CCS後の申込待ち ","")&amp;IF(AND(M489="✓",N489&lt;&gt;"✓"),"振込待ち ","")&amp;IF(AND(N489="✓",O489&lt;&gt;"✓"),"同意書待ち ","")&amp;IF(T489="","次アクション未設定","")))</f>
        <v/>
      </c>
      <c r="X489" s="10" t="n"/>
      <c r="Y489" s="22" t="n"/>
    </row>
    <row r="490">
      <c r="A490" s="10">
        <f>IF(D490="","",ROW()-4)</f>
        <v/>
      </c>
      <c r="B490" s="22" t="n"/>
      <c r="C490" s="22" t="n"/>
      <c r="D490" s="22" t="n"/>
      <c r="E490" s="22" t="n"/>
      <c r="F490" s="22" t="n"/>
      <c r="G490" s="22" t="n"/>
      <c r="H490" s="22" t="n"/>
      <c r="I490" s="22" t="n"/>
      <c r="J490" s="23" t="n"/>
      <c r="K490" s="24" t="n"/>
      <c r="L490" s="22" t="n"/>
      <c r="M490" s="23" t="n"/>
      <c r="N490" s="23" t="n"/>
      <c r="O490" s="23" t="n"/>
      <c r="P490" s="10">
        <f>IF(D490="","",IF(AND(M490="✓",N490="✓",O490="✓"),"✅正式",IF(M490&amp;N490&amp;O490="","入会前","手続き中")))</f>
        <v/>
      </c>
      <c r="Q490" s="24" t="n"/>
      <c r="R490" s="24" t="n"/>
      <c r="S490" s="10">
        <f>IF(OR(D490="",R490=""),"",TODAY()-R490)</f>
        <v/>
      </c>
      <c r="T490" s="22" t="n"/>
      <c r="U490" s="24" t="n"/>
      <c r="V490" s="23" t="n"/>
      <c r="W490" s="14">
        <f>IF(OR(D490="",V490="辞退",V490="保留",P490="✅正式"),"",TRIM(IF(AND(U490&lt;&gt;"",U490&lt;TODAY()),"期日超過 ","")&amp;IF(AND(S490&lt;&gt;"",S490&gt;='設定'!$B$9),"放置"&amp;S490&amp;"日 ","")&amp;IF(AND(J490="CCS済",M490&lt;&gt;"✓"),"CCS後の申込待ち ","")&amp;IF(AND(M490="✓",N490&lt;&gt;"✓"),"振込待ち ","")&amp;IF(AND(N490="✓",O490&lt;&gt;"✓"),"同意書待ち ","")&amp;IF(T490="","次アクション未設定","")))</f>
        <v/>
      </c>
      <c r="X490" s="10" t="n"/>
      <c r="Y490" s="22" t="n"/>
    </row>
    <row r="491">
      <c r="A491" s="10">
        <f>IF(D491="","",ROW()-4)</f>
        <v/>
      </c>
      <c r="B491" s="22" t="n"/>
      <c r="C491" s="22" t="n"/>
      <c r="D491" s="22" t="n"/>
      <c r="E491" s="22" t="n"/>
      <c r="F491" s="22" t="n"/>
      <c r="G491" s="22" t="n"/>
      <c r="H491" s="22" t="n"/>
      <c r="I491" s="22" t="n"/>
      <c r="J491" s="23" t="n"/>
      <c r="K491" s="24" t="n"/>
      <c r="L491" s="22" t="n"/>
      <c r="M491" s="23" t="n"/>
      <c r="N491" s="23" t="n"/>
      <c r="O491" s="23" t="n"/>
      <c r="P491" s="10">
        <f>IF(D491="","",IF(AND(M491="✓",N491="✓",O491="✓"),"✅正式",IF(M491&amp;N491&amp;O491="","入会前","手続き中")))</f>
        <v/>
      </c>
      <c r="Q491" s="24" t="n"/>
      <c r="R491" s="24" t="n"/>
      <c r="S491" s="10">
        <f>IF(OR(D491="",R491=""),"",TODAY()-R491)</f>
        <v/>
      </c>
      <c r="T491" s="22" t="n"/>
      <c r="U491" s="24" t="n"/>
      <c r="V491" s="23" t="n"/>
      <c r="W491" s="14">
        <f>IF(OR(D491="",V491="辞退",V491="保留",P491="✅正式"),"",TRIM(IF(AND(U491&lt;&gt;"",U491&lt;TODAY()),"期日超過 ","")&amp;IF(AND(S491&lt;&gt;"",S491&gt;='設定'!$B$9),"放置"&amp;S491&amp;"日 ","")&amp;IF(AND(J491="CCS済",M491&lt;&gt;"✓"),"CCS後の申込待ち ","")&amp;IF(AND(M491="✓",N491&lt;&gt;"✓"),"振込待ち ","")&amp;IF(AND(N491="✓",O491&lt;&gt;"✓"),"同意書待ち ","")&amp;IF(T491="","次アクション未設定","")))</f>
        <v/>
      </c>
      <c r="X491" s="10" t="n"/>
      <c r="Y491" s="22" t="n"/>
    </row>
    <row r="492">
      <c r="A492" s="10">
        <f>IF(D492="","",ROW()-4)</f>
        <v/>
      </c>
      <c r="B492" s="22" t="n"/>
      <c r="C492" s="22" t="n"/>
      <c r="D492" s="22" t="n"/>
      <c r="E492" s="22" t="n"/>
      <c r="F492" s="22" t="n"/>
      <c r="G492" s="22" t="n"/>
      <c r="H492" s="22" t="n"/>
      <c r="I492" s="22" t="n"/>
      <c r="J492" s="23" t="n"/>
      <c r="K492" s="24" t="n"/>
      <c r="L492" s="22" t="n"/>
      <c r="M492" s="23" t="n"/>
      <c r="N492" s="23" t="n"/>
      <c r="O492" s="23" t="n"/>
      <c r="P492" s="10">
        <f>IF(D492="","",IF(AND(M492="✓",N492="✓",O492="✓"),"✅正式",IF(M492&amp;N492&amp;O492="","入会前","手続き中")))</f>
        <v/>
      </c>
      <c r="Q492" s="24" t="n"/>
      <c r="R492" s="24" t="n"/>
      <c r="S492" s="10">
        <f>IF(OR(D492="",R492=""),"",TODAY()-R492)</f>
        <v/>
      </c>
      <c r="T492" s="22" t="n"/>
      <c r="U492" s="24" t="n"/>
      <c r="V492" s="23" t="n"/>
      <c r="W492" s="14">
        <f>IF(OR(D492="",V492="辞退",V492="保留",P492="✅正式"),"",TRIM(IF(AND(U492&lt;&gt;"",U492&lt;TODAY()),"期日超過 ","")&amp;IF(AND(S492&lt;&gt;"",S492&gt;='設定'!$B$9),"放置"&amp;S492&amp;"日 ","")&amp;IF(AND(J492="CCS済",M492&lt;&gt;"✓"),"CCS後の申込待ち ","")&amp;IF(AND(M492="✓",N492&lt;&gt;"✓"),"振込待ち ","")&amp;IF(AND(N492="✓",O492&lt;&gt;"✓"),"同意書待ち ","")&amp;IF(T492="","次アクション未設定","")))</f>
        <v/>
      </c>
      <c r="X492" s="10" t="n"/>
      <c r="Y492" s="22" t="n"/>
    </row>
    <row r="493">
      <c r="A493" s="10">
        <f>IF(D493="","",ROW()-4)</f>
        <v/>
      </c>
      <c r="B493" s="22" t="n"/>
      <c r="C493" s="22" t="n"/>
      <c r="D493" s="22" t="n"/>
      <c r="E493" s="22" t="n"/>
      <c r="F493" s="22" t="n"/>
      <c r="G493" s="22" t="n"/>
      <c r="H493" s="22" t="n"/>
      <c r="I493" s="22" t="n"/>
      <c r="J493" s="23" t="n"/>
      <c r="K493" s="24" t="n"/>
      <c r="L493" s="22" t="n"/>
      <c r="M493" s="23" t="n"/>
      <c r="N493" s="23" t="n"/>
      <c r="O493" s="23" t="n"/>
      <c r="P493" s="10">
        <f>IF(D493="","",IF(AND(M493="✓",N493="✓",O493="✓"),"✅正式",IF(M493&amp;N493&amp;O493="","入会前","手続き中")))</f>
        <v/>
      </c>
      <c r="Q493" s="24" t="n"/>
      <c r="R493" s="24" t="n"/>
      <c r="S493" s="10">
        <f>IF(OR(D493="",R493=""),"",TODAY()-R493)</f>
        <v/>
      </c>
      <c r="T493" s="22" t="n"/>
      <c r="U493" s="24" t="n"/>
      <c r="V493" s="23" t="n"/>
      <c r="W493" s="14">
        <f>IF(OR(D493="",V493="辞退",V493="保留",P493="✅正式"),"",TRIM(IF(AND(U493&lt;&gt;"",U493&lt;TODAY()),"期日超過 ","")&amp;IF(AND(S493&lt;&gt;"",S493&gt;='設定'!$B$9),"放置"&amp;S493&amp;"日 ","")&amp;IF(AND(J493="CCS済",M493&lt;&gt;"✓"),"CCS後の申込待ち ","")&amp;IF(AND(M493="✓",N493&lt;&gt;"✓"),"振込待ち ","")&amp;IF(AND(N493="✓",O493&lt;&gt;"✓"),"同意書待ち ","")&amp;IF(T493="","次アクション未設定","")))</f>
        <v/>
      </c>
      <c r="X493" s="10" t="n"/>
      <c r="Y493" s="22" t="n"/>
    </row>
    <row r="494">
      <c r="A494" s="10">
        <f>IF(D494="","",ROW()-4)</f>
        <v/>
      </c>
      <c r="B494" s="22" t="n"/>
      <c r="C494" s="22" t="n"/>
      <c r="D494" s="22" t="n"/>
      <c r="E494" s="22" t="n"/>
      <c r="F494" s="22" t="n"/>
      <c r="G494" s="22" t="n"/>
      <c r="H494" s="22" t="n"/>
      <c r="I494" s="22" t="n"/>
      <c r="J494" s="23" t="n"/>
      <c r="K494" s="24" t="n"/>
      <c r="L494" s="22" t="n"/>
      <c r="M494" s="23" t="n"/>
      <c r="N494" s="23" t="n"/>
      <c r="O494" s="23" t="n"/>
      <c r="P494" s="10">
        <f>IF(D494="","",IF(AND(M494="✓",N494="✓",O494="✓"),"✅正式",IF(M494&amp;N494&amp;O494="","入会前","手続き中")))</f>
        <v/>
      </c>
      <c r="Q494" s="24" t="n"/>
      <c r="R494" s="24" t="n"/>
      <c r="S494" s="10">
        <f>IF(OR(D494="",R494=""),"",TODAY()-R494)</f>
        <v/>
      </c>
      <c r="T494" s="22" t="n"/>
      <c r="U494" s="24" t="n"/>
      <c r="V494" s="23" t="n"/>
      <c r="W494" s="14">
        <f>IF(OR(D494="",V494="辞退",V494="保留",P494="✅正式"),"",TRIM(IF(AND(U494&lt;&gt;"",U494&lt;TODAY()),"期日超過 ","")&amp;IF(AND(S494&lt;&gt;"",S494&gt;='設定'!$B$9),"放置"&amp;S494&amp;"日 ","")&amp;IF(AND(J494="CCS済",M494&lt;&gt;"✓"),"CCS後の申込待ち ","")&amp;IF(AND(M494="✓",N494&lt;&gt;"✓"),"振込待ち ","")&amp;IF(AND(N494="✓",O494&lt;&gt;"✓"),"同意書待ち ","")&amp;IF(T494="","次アクション未設定","")))</f>
        <v/>
      </c>
      <c r="X494" s="10" t="n"/>
      <c r="Y494" s="22" t="n"/>
    </row>
    <row r="495">
      <c r="A495" s="10">
        <f>IF(D495="","",ROW()-4)</f>
        <v/>
      </c>
      <c r="B495" s="22" t="n"/>
      <c r="C495" s="22" t="n"/>
      <c r="D495" s="22" t="n"/>
      <c r="E495" s="22" t="n"/>
      <c r="F495" s="22" t="n"/>
      <c r="G495" s="22" t="n"/>
      <c r="H495" s="22" t="n"/>
      <c r="I495" s="22" t="n"/>
      <c r="J495" s="23" t="n"/>
      <c r="K495" s="24" t="n"/>
      <c r="L495" s="22" t="n"/>
      <c r="M495" s="23" t="n"/>
      <c r="N495" s="23" t="n"/>
      <c r="O495" s="23" t="n"/>
      <c r="P495" s="10">
        <f>IF(D495="","",IF(AND(M495="✓",N495="✓",O495="✓"),"✅正式",IF(M495&amp;N495&amp;O495="","入会前","手続き中")))</f>
        <v/>
      </c>
      <c r="Q495" s="24" t="n"/>
      <c r="R495" s="24" t="n"/>
      <c r="S495" s="10">
        <f>IF(OR(D495="",R495=""),"",TODAY()-R495)</f>
        <v/>
      </c>
      <c r="T495" s="22" t="n"/>
      <c r="U495" s="24" t="n"/>
      <c r="V495" s="23" t="n"/>
      <c r="W495" s="14">
        <f>IF(OR(D495="",V495="辞退",V495="保留",P495="✅正式"),"",TRIM(IF(AND(U495&lt;&gt;"",U495&lt;TODAY()),"期日超過 ","")&amp;IF(AND(S495&lt;&gt;"",S495&gt;='設定'!$B$9),"放置"&amp;S495&amp;"日 ","")&amp;IF(AND(J495="CCS済",M495&lt;&gt;"✓"),"CCS後の申込待ち ","")&amp;IF(AND(M495="✓",N495&lt;&gt;"✓"),"振込待ち ","")&amp;IF(AND(N495="✓",O495&lt;&gt;"✓"),"同意書待ち ","")&amp;IF(T495="","次アクション未設定","")))</f>
        <v/>
      </c>
      <c r="X495" s="10" t="n"/>
      <c r="Y495" s="22" t="n"/>
    </row>
    <row r="496">
      <c r="A496" s="10">
        <f>IF(D496="","",ROW()-4)</f>
        <v/>
      </c>
      <c r="B496" s="22" t="n"/>
      <c r="C496" s="22" t="n"/>
      <c r="D496" s="22" t="n"/>
      <c r="E496" s="22" t="n"/>
      <c r="F496" s="22" t="n"/>
      <c r="G496" s="22" t="n"/>
      <c r="H496" s="22" t="n"/>
      <c r="I496" s="22" t="n"/>
      <c r="J496" s="23" t="n"/>
      <c r="K496" s="24" t="n"/>
      <c r="L496" s="22" t="n"/>
      <c r="M496" s="23" t="n"/>
      <c r="N496" s="23" t="n"/>
      <c r="O496" s="23" t="n"/>
      <c r="P496" s="10">
        <f>IF(D496="","",IF(AND(M496="✓",N496="✓",O496="✓"),"✅正式",IF(M496&amp;N496&amp;O496="","入会前","手続き中")))</f>
        <v/>
      </c>
      <c r="Q496" s="24" t="n"/>
      <c r="R496" s="24" t="n"/>
      <c r="S496" s="10">
        <f>IF(OR(D496="",R496=""),"",TODAY()-R496)</f>
        <v/>
      </c>
      <c r="T496" s="22" t="n"/>
      <c r="U496" s="24" t="n"/>
      <c r="V496" s="23" t="n"/>
      <c r="W496" s="14">
        <f>IF(OR(D496="",V496="辞退",V496="保留",P496="✅正式"),"",TRIM(IF(AND(U496&lt;&gt;"",U496&lt;TODAY()),"期日超過 ","")&amp;IF(AND(S496&lt;&gt;"",S496&gt;='設定'!$B$9),"放置"&amp;S496&amp;"日 ","")&amp;IF(AND(J496="CCS済",M496&lt;&gt;"✓"),"CCS後の申込待ち ","")&amp;IF(AND(M496="✓",N496&lt;&gt;"✓"),"振込待ち ","")&amp;IF(AND(N496="✓",O496&lt;&gt;"✓"),"同意書待ち ","")&amp;IF(T496="","次アクション未設定","")))</f>
        <v/>
      </c>
      <c r="X496" s="10" t="n"/>
      <c r="Y496" s="22" t="n"/>
    </row>
    <row r="497">
      <c r="A497" s="10">
        <f>IF(D497="","",ROW()-4)</f>
        <v/>
      </c>
      <c r="B497" s="22" t="n"/>
      <c r="C497" s="22" t="n"/>
      <c r="D497" s="22" t="n"/>
      <c r="E497" s="22" t="n"/>
      <c r="F497" s="22" t="n"/>
      <c r="G497" s="22" t="n"/>
      <c r="H497" s="22" t="n"/>
      <c r="I497" s="22" t="n"/>
      <c r="J497" s="23" t="n"/>
      <c r="K497" s="24" t="n"/>
      <c r="L497" s="22" t="n"/>
      <c r="M497" s="23" t="n"/>
      <c r="N497" s="23" t="n"/>
      <c r="O497" s="23" t="n"/>
      <c r="P497" s="10">
        <f>IF(D497="","",IF(AND(M497="✓",N497="✓",O497="✓"),"✅正式",IF(M497&amp;N497&amp;O497="","入会前","手続き中")))</f>
        <v/>
      </c>
      <c r="Q497" s="24" t="n"/>
      <c r="R497" s="24" t="n"/>
      <c r="S497" s="10">
        <f>IF(OR(D497="",R497=""),"",TODAY()-R497)</f>
        <v/>
      </c>
      <c r="T497" s="22" t="n"/>
      <c r="U497" s="24" t="n"/>
      <c r="V497" s="23" t="n"/>
      <c r="W497" s="14">
        <f>IF(OR(D497="",V497="辞退",V497="保留",P497="✅正式"),"",TRIM(IF(AND(U497&lt;&gt;"",U497&lt;TODAY()),"期日超過 ","")&amp;IF(AND(S497&lt;&gt;"",S497&gt;='設定'!$B$9),"放置"&amp;S497&amp;"日 ","")&amp;IF(AND(J497="CCS済",M497&lt;&gt;"✓"),"CCS後の申込待ち ","")&amp;IF(AND(M497="✓",N497&lt;&gt;"✓"),"振込待ち ","")&amp;IF(AND(N497="✓",O497&lt;&gt;"✓"),"同意書待ち ","")&amp;IF(T497="","次アクション未設定","")))</f>
        <v/>
      </c>
      <c r="X497" s="10" t="n"/>
      <c r="Y497" s="22" t="n"/>
    </row>
    <row r="498">
      <c r="A498" s="10">
        <f>IF(D498="","",ROW()-4)</f>
        <v/>
      </c>
      <c r="B498" s="22" t="n"/>
      <c r="C498" s="22" t="n"/>
      <c r="D498" s="22" t="n"/>
      <c r="E498" s="22" t="n"/>
      <c r="F498" s="22" t="n"/>
      <c r="G498" s="22" t="n"/>
      <c r="H498" s="22" t="n"/>
      <c r="I498" s="22" t="n"/>
      <c r="J498" s="23" t="n"/>
      <c r="K498" s="24" t="n"/>
      <c r="L498" s="22" t="n"/>
      <c r="M498" s="23" t="n"/>
      <c r="N498" s="23" t="n"/>
      <c r="O498" s="23" t="n"/>
      <c r="P498" s="10">
        <f>IF(D498="","",IF(AND(M498="✓",N498="✓",O498="✓"),"✅正式",IF(M498&amp;N498&amp;O498="","入会前","手続き中")))</f>
        <v/>
      </c>
      <c r="Q498" s="24" t="n"/>
      <c r="R498" s="24" t="n"/>
      <c r="S498" s="10">
        <f>IF(OR(D498="",R498=""),"",TODAY()-R498)</f>
        <v/>
      </c>
      <c r="T498" s="22" t="n"/>
      <c r="U498" s="24" t="n"/>
      <c r="V498" s="23" t="n"/>
      <c r="W498" s="14">
        <f>IF(OR(D498="",V498="辞退",V498="保留",P498="✅正式"),"",TRIM(IF(AND(U498&lt;&gt;"",U498&lt;TODAY()),"期日超過 ","")&amp;IF(AND(S498&lt;&gt;"",S498&gt;='設定'!$B$9),"放置"&amp;S498&amp;"日 ","")&amp;IF(AND(J498="CCS済",M498&lt;&gt;"✓"),"CCS後の申込待ち ","")&amp;IF(AND(M498="✓",N498&lt;&gt;"✓"),"振込待ち ","")&amp;IF(AND(N498="✓",O498&lt;&gt;"✓"),"同意書待ち ","")&amp;IF(T498="","次アクション未設定","")))</f>
        <v/>
      </c>
      <c r="X498" s="10" t="n"/>
      <c r="Y498" s="22" t="n"/>
    </row>
    <row r="499">
      <c r="A499" s="10">
        <f>IF(D499="","",ROW()-4)</f>
        <v/>
      </c>
      <c r="B499" s="22" t="n"/>
      <c r="C499" s="22" t="n"/>
      <c r="D499" s="22" t="n"/>
      <c r="E499" s="22" t="n"/>
      <c r="F499" s="22" t="n"/>
      <c r="G499" s="22" t="n"/>
      <c r="H499" s="22" t="n"/>
      <c r="I499" s="22" t="n"/>
      <c r="J499" s="23" t="n"/>
      <c r="K499" s="24" t="n"/>
      <c r="L499" s="22" t="n"/>
      <c r="M499" s="23" t="n"/>
      <c r="N499" s="23" t="n"/>
      <c r="O499" s="23" t="n"/>
      <c r="P499" s="10">
        <f>IF(D499="","",IF(AND(M499="✓",N499="✓",O499="✓"),"✅正式",IF(M499&amp;N499&amp;O499="","入会前","手続き中")))</f>
        <v/>
      </c>
      <c r="Q499" s="24" t="n"/>
      <c r="R499" s="24" t="n"/>
      <c r="S499" s="10">
        <f>IF(OR(D499="",R499=""),"",TODAY()-R499)</f>
        <v/>
      </c>
      <c r="T499" s="22" t="n"/>
      <c r="U499" s="24" t="n"/>
      <c r="V499" s="23" t="n"/>
      <c r="W499" s="14">
        <f>IF(OR(D499="",V499="辞退",V499="保留",P499="✅正式"),"",TRIM(IF(AND(U499&lt;&gt;"",U499&lt;TODAY()),"期日超過 ","")&amp;IF(AND(S499&lt;&gt;"",S499&gt;='設定'!$B$9),"放置"&amp;S499&amp;"日 ","")&amp;IF(AND(J499="CCS済",M499&lt;&gt;"✓"),"CCS後の申込待ち ","")&amp;IF(AND(M499="✓",N499&lt;&gt;"✓"),"振込待ち ","")&amp;IF(AND(N499="✓",O499&lt;&gt;"✓"),"同意書待ち ","")&amp;IF(T499="","次アクション未設定","")))</f>
        <v/>
      </c>
      <c r="X499" s="10" t="n"/>
      <c r="Y499" s="22" t="n"/>
    </row>
    <row r="500">
      <c r="A500" s="10">
        <f>IF(D500="","",ROW()-4)</f>
        <v/>
      </c>
      <c r="B500" s="22" t="n"/>
      <c r="C500" s="22" t="n"/>
      <c r="D500" s="22" t="n"/>
      <c r="E500" s="22" t="n"/>
      <c r="F500" s="22" t="n"/>
      <c r="G500" s="22" t="n"/>
      <c r="H500" s="22" t="n"/>
      <c r="I500" s="22" t="n"/>
      <c r="J500" s="23" t="n"/>
      <c r="K500" s="24" t="n"/>
      <c r="L500" s="22" t="n"/>
      <c r="M500" s="23" t="n"/>
      <c r="N500" s="23" t="n"/>
      <c r="O500" s="23" t="n"/>
      <c r="P500" s="10">
        <f>IF(D500="","",IF(AND(M500="✓",N500="✓",O500="✓"),"✅正式",IF(M500&amp;N500&amp;O500="","入会前","手続き中")))</f>
        <v/>
      </c>
      <c r="Q500" s="24" t="n"/>
      <c r="R500" s="24" t="n"/>
      <c r="S500" s="10">
        <f>IF(OR(D500="",R500=""),"",TODAY()-R500)</f>
        <v/>
      </c>
      <c r="T500" s="22" t="n"/>
      <c r="U500" s="24" t="n"/>
      <c r="V500" s="23" t="n"/>
      <c r="W500" s="14">
        <f>IF(OR(D500="",V500="辞退",V500="保留",P500="✅正式"),"",TRIM(IF(AND(U500&lt;&gt;"",U500&lt;TODAY()),"期日超過 ","")&amp;IF(AND(S500&lt;&gt;"",S500&gt;='設定'!$B$9),"放置"&amp;S500&amp;"日 ","")&amp;IF(AND(J500="CCS済",M500&lt;&gt;"✓"),"CCS後の申込待ち ","")&amp;IF(AND(M500="✓",N500&lt;&gt;"✓"),"振込待ち ","")&amp;IF(AND(N500="✓",O500&lt;&gt;"✓"),"同意書待ち ","")&amp;IF(T500="","次アクション未設定","")))</f>
        <v/>
      </c>
      <c r="X500" s="10" t="n"/>
      <c r="Y500" s="22" t="n"/>
    </row>
    <row r="501">
      <c r="A501" s="10">
        <f>IF(D501="","",ROW()-4)</f>
        <v/>
      </c>
      <c r="B501" s="22" t="n"/>
      <c r="C501" s="22" t="n"/>
      <c r="D501" s="22" t="n"/>
      <c r="E501" s="22" t="n"/>
      <c r="F501" s="22" t="n"/>
      <c r="G501" s="22" t="n"/>
      <c r="H501" s="22" t="n"/>
      <c r="I501" s="22" t="n"/>
      <c r="J501" s="23" t="n"/>
      <c r="K501" s="24" t="n"/>
      <c r="L501" s="22" t="n"/>
      <c r="M501" s="23" t="n"/>
      <c r="N501" s="23" t="n"/>
      <c r="O501" s="23" t="n"/>
      <c r="P501" s="10">
        <f>IF(D501="","",IF(AND(M501="✓",N501="✓",O501="✓"),"✅正式",IF(M501&amp;N501&amp;O501="","入会前","手続き中")))</f>
        <v/>
      </c>
      <c r="Q501" s="24" t="n"/>
      <c r="R501" s="24" t="n"/>
      <c r="S501" s="10">
        <f>IF(OR(D501="",R501=""),"",TODAY()-R501)</f>
        <v/>
      </c>
      <c r="T501" s="22" t="n"/>
      <c r="U501" s="24" t="n"/>
      <c r="V501" s="23" t="n"/>
      <c r="W501" s="14">
        <f>IF(OR(D501="",V501="辞退",V501="保留",P501="✅正式"),"",TRIM(IF(AND(U501&lt;&gt;"",U501&lt;TODAY()),"期日超過 ","")&amp;IF(AND(S501&lt;&gt;"",S501&gt;='設定'!$B$9),"放置"&amp;S501&amp;"日 ","")&amp;IF(AND(J501="CCS済",M501&lt;&gt;"✓"),"CCS後の申込待ち ","")&amp;IF(AND(M501="✓",N501&lt;&gt;"✓"),"振込待ち ","")&amp;IF(AND(N501="✓",O501&lt;&gt;"✓"),"同意書待ち ","")&amp;IF(T501="","次アクション未設定","")))</f>
        <v/>
      </c>
      <c r="X501" s="10" t="n"/>
      <c r="Y501" s="22" t="n"/>
    </row>
    <row r="502">
      <c r="A502" s="10">
        <f>IF(D502="","",ROW()-4)</f>
        <v/>
      </c>
      <c r="B502" s="22" t="n"/>
      <c r="C502" s="22" t="n"/>
      <c r="D502" s="22" t="n"/>
      <c r="E502" s="22" t="n"/>
      <c r="F502" s="22" t="n"/>
      <c r="G502" s="22" t="n"/>
      <c r="H502" s="22" t="n"/>
      <c r="I502" s="22" t="n"/>
      <c r="J502" s="23" t="n"/>
      <c r="K502" s="24" t="n"/>
      <c r="L502" s="22" t="n"/>
      <c r="M502" s="23" t="n"/>
      <c r="N502" s="23" t="n"/>
      <c r="O502" s="23" t="n"/>
      <c r="P502" s="10">
        <f>IF(D502="","",IF(AND(M502="✓",N502="✓",O502="✓"),"✅正式",IF(M502&amp;N502&amp;O502="","入会前","手続き中")))</f>
        <v/>
      </c>
      <c r="Q502" s="24" t="n"/>
      <c r="R502" s="24" t="n"/>
      <c r="S502" s="10">
        <f>IF(OR(D502="",R502=""),"",TODAY()-R502)</f>
        <v/>
      </c>
      <c r="T502" s="22" t="n"/>
      <c r="U502" s="24" t="n"/>
      <c r="V502" s="23" t="n"/>
      <c r="W502" s="14">
        <f>IF(OR(D502="",V502="辞退",V502="保留",P502="✅正式"),"",TRIM(IF(AND(U502&lt;&gt;"",U502&lt;TODAY()),"期日超過 ","")&amp;IF(AND(S502&lt;&gt;"",S502&gt;='設定'!$B$9),"放置"&amp;S502&amp;"日 ","")&amp;IF(AND(J502="CCS済",M502&lt;&gt;"✓"),"CCS後の申込待ち ","")&amp;IF(AND(M502="✓",N502&lt;&gt;"✓"),"振込待ち ","")&amp;IF(AND(N502="✓",O502&lt;&gt;"✓"),"同意書待ち ","")&amp;IF(T502="","次アクション未設定","")))</f>
        <v/>
      </c>
      <c r="X502" s="10" t="n"/>
      <c r="Y502" s="22" t="n"/>
    </row>
    <row r="503">
      <c r="A503" s="10">
        <f>IF(D503="","",ROW()-4)</f>
        <v/>
      </c>
      <c r="B503" s="22" t="n"/>
      <c r="C503" s="22" t="n"/>
      <c r="D503" s="22" t="n"/>
      <c r="E503" s="22" t="n"/>
      <c r="F503" s="22" t="n"/>
      <c r="G503" s="22" t="n"/>
      <c r="H503" s="22" t="n"/>
      <c r="I503" s="22" t="n"/>
      <c r="J503" s="23" t="n"/>
      <c r="K503" s="24" t="n"/>
      <c r="L503" s="22" t="n"/>
      <c r="M503" s="23" t="n"/>
      <c r="N503" s="23" t="n"/>
      <c r="O503" s="23" t="n"/>
      <c r="P503" s="10">
        <f>IF(D503="","",IF(AND(M503="✓",N503="✓",O503="✓"),"✅正式",IF(M503&amp;N503&amp;O503="","入会前","手続き中")))</f>
        <v/>
      </c>
      <c r="Q503" s="24" t="n"/>
      <c r="R503" s="24" t="n"/>
      <c r="S503" s="10">
        <f>IF(OR(D503="",R503=""),"",TODAY()-R503)</f>
        <v/>
      </c>
      <c r="T503" s="22" t="n"/>
      <c r="U503" s="24" t="n"/>
      <c r="V503" s="23" t="n"/>
      <c r="W503" s="14">
        <f>IF(OR(D503="",V503="辞退",V503="保留",P503="✅正式"),"",TRIM(IF(AND(U503&lt;&gt;"",U503&lt;TODAY()),"期日超過 ","")&amp;IF(AND(S503&lt;&gt;"",S503&gt;='設定'!$B$9),"放置"&amp;S503&amp;"日 ","")&amp;IF(AND(J503="CCS済",M503&lt;&gt;"✓"),"CCS後の申込待ち ","")&amp;IF(AND(M503="✓",N503&lt;&gt;"✓"),"振込待ち ","")&amp;IF(AND(N503="✓",O503&lt;&gt;"✓"),"同意書待ち ","")&amp;IF(T503="","次アクション未設定","")))</f>
        <v/>
      </c>
      <c r="X503" s="10" t="n"/>
      <c r="Y503" s="22" t="n"/>
    </row>
    <row r="504">
      <c r="A504" s="10">
        <f>IF(D504="","",ROW()-4)</f>
        <v/>
      </c>
      <c r="B504" s="22" t="n"/>
      <c r="C504" s="22" t="n"/>
      <c r="D504" s="22" t="n"/>
      <c r="E504" s="22" t="n"/>
      <c r="F504" s="22" t="n"/>
      <c r="G504" s="22" t="n"/>
      <c r="H504" s="22" t="n"/>
      <c r="I504" s="22" t="n"/>
      <c r="J504" s="23" t="n"/>
      <c r="K504" s="24" t="n"/>
      <c r="L504" s="22" t="n"/>
      <c r="M504" s="23" t="n"/>
      <c r="N504" s="23" t="n"/>
      <c r="O504" s="23" t="n"/>
      <c r="P504" s="10">
        <f>IF(D504="","",IF(AND(M504="✓",N504="✓",O504="✓"),"✅正式",IF(M504&amp;N504&amp;O504="","入会前","手続き中")))</f>
        <v/>
      </c>
      <c r="Q504" s="24" t="n"/>
      <c r="R504" s="24" t="n"/>
      <c r="S504" s="10">
        <f>IF(OR(D504="",R504=""),"",TODAY()-R504)</f>
        <v/>
      </c>
      <c r="T504" s="22" t="n"/>
      <c r="U504" s="24" t="n"/>
      <c r="V504" s="23" t="n"/>
      <c r="W504" s="14">
        <f>IF(OR(D504="",V504="辞退",V504="保留",P504="✅正式"),"",TRIM(IF(AND(U504&lt;&gt;"",U504&lt;TODAY()),"期日超過 ","")&amp;IF(AND(S504&lt;&gt;"",S504&gt;='設定'!$B$9),"放置"&amp;S504&amp;"日 ","")&amp;IF(AND(J504="CCS済",M504&lt;&gt;"✓"),"CCS後の申込待ち ","")&amp;IF(AND(M504="✓",N504&lt;&gt;"✓"),"振込待ち ","")&amp;IF(AND(N504="✓",O504&lt;&gt;"✓"),"同意書待ち ","")&amp;IF(T504="","次アクション未設定","")))</f>
        <v/>
      </c>
      <c r="X504" s="10" t="n"/>
      <c r="Y504" s="22" t="n"/>
    </row>
  </sheetData>
  <autoFilter ref="A4:Y504"/>
  <conditionalFormatting sqref="P5:P504">
    <cfRule type="expression" priority="1" dxfId="2">
      <formula>$P5="✅正式"</formula>
    </cfRule>
  </conditionalFormatting>
  <conditionalFormatting sqref="J5:J504">
    <cfRule type="expression" priority="2" dxfId="8">
      <formula>$J5="CCS済"</formula>
    </cfRule>
  </conditionalFormatting>
  <conditionalFormatting sqref="U5:U504">
    <cfRule type="expression" priority="3" dxfId="5">
      <formula>AND($U5&lt;&gt;"",$U5&lt;TODAY(),$P5&lt;&gt;"✅正式",$V5&lt;&gt;"辞退")</formula>
    </cfRule>
  </conditionalFormatting>
  <conditionalFormatting sqref="W5:W504">
    <cfRule type="expression" priority="4" dxfId="9">
      <formula>$W5&lt;&gt;""</formula>
    </cfRule>
  </conditionalFormatting>
  <conditionalFormatting sqref="A5:Y504">
    <cfRule type="expression" priority="5" dxfId="10">
      <formula>$V5="辞退"</formula>
    </cfRule>
  </conditionalFormatting>
  <dataValidations count="4">
    <dataValidation sqref="B5:B504" showDropDown="0" showInputMessage="0" showErrorMessage="0" allowBlank="1" type="list">
      <formula1>='設定'!$I$4:$I$23</formula1>
    </dataValidation>
    <dataValidation sqref="J5:J504" showDropDown="0" showInputMessage="0" showErrorMessage="0" allowBlank="1" type="list">
      <formula1>='設定'!$J$4:$J$23</formula1>
    </dataValidation>
    <dataValidation sqref="M5:O504" showDropDown="0" showInputMessage="0" showErrorMessage="0" allowBlank="1" type="list">
      <formula1>"✓"</formula1>
    </dataValidation>
    <dataValidation sqref="V5:V504" showDropDown="0" showInputMessage="0" showErrorMessage="0" allowBlank="1" type="list">
      <formula1>='設定'!$G$4:$G$23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担当別CCS状況（ローンチ × 担当メンバー）</t>
        </is>
      </c>
    </row>
    <row r="2">
      <c r="A2" s="2" t="inlineStr">
        <is>
          <t>メニュー「🚀ローンチ管理」→「入会者の行動リストを作成・同期」で作成／自動実行ONなら毎日自動更新。誰が何人をCCSにつないだかが分かります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5" customWidth="1" min="3" max="3"/>
    <col width="30" customWidth="1" min="4" max="4"/>
    <col width="7" customWidth="1" min="5" max="5"/>
    <col width="13" customWidth="1" min="6" max="6"/>
    <col width="11" customWidth="1" min="7" max="7"/>
    <col width="6" customWidth="1" min="8" max="8"/>
    <col width="11" customWidth="1" min="9" max="9"/>
    <col width="10" customWidth="1" min="10" max="10"/>
    <col width="26" customWidth="1" min="11" max="11"/>
    <col width="18" customWidth="1" min="12" max="12"/>
  </cols>
  <sheetData>
    <row r="1">
      <c r="A1" s="1" t="inlineStr">
        <is>
          <t>入会後行動リスト（本人のタスク＋DNAのタスク）</t>
        </is>
      </c>
    </row>
    <row r="2">
      <c r="A2" s="2" t="inlineStr">
        <is>
          <t>正式化されるとGASが行動マスタから自動作成。完了したら✓（完了日は自動）。担当者・期限は手で変えてOK</t>
        </is>
      </c>
    </row>
    <row r="4">
      <c r="A4" s="8" t="inlineStr">
        <is>
          <t>氏名</t>
        </is>
      </c>
      <c r="B4" s="8" t="inlineStr">
        <is>
          <t>ローンチ（LD名）</t>
        </is>
      </c>
      <c r="C4" s="8" t="inlineStr">
        <is>
          <t>順</t>
        </is>
      </c>
      <c r="D4" s="8" t="inlineStr">
        <is>
          <t>タスク</t>
        </is>
      </c>
      <c r="E4" s="8" t="inlineStr">
        <is>
          <t>区分</t>
        </is>
      </c>
      <c r="F4" s="8" t="inlineStr">
        <is>
          <t>担当者</t>
        </is>
      </c>
      <c r="G4" s="8" t="inlineStr">
        <is>
          <t>期限</t>
        </is>
      </c>
      <c r="H4" s="8" t="inlineStr">
        <is>
          <t>完了</t>
        </is>
      </c>
      <c r="I4" s="8" t="inlineStr">
        <is>
          <t>完了日</t>
        </is>
      </c>
      <c r="J4" s="8" t="inlineStr">
        <is>
          <t>状況</t>
        </is>
      </c>
      <c r="K4" s="8" t="inlineStr">
        <is>
          <t>メモ</t>
        </is>
      </c>
      <c r="L4" s="8" t="inlineStr">
        <is>
          <t>キー</t>
        </is>
      </c>
    </row>
    <row r="5">
      <c r="A5" s="11" t="n"/>
      <c r="B5" s="11" t="n"/>
      <c r="C5" s="10" t="n"/>
      <c r="D5" s="11" t="n"/>
      <c r="E5" s="10" t="n"/>
      <c r="F5" s="22" t="n"/>
      <c r="G5" s="24" t="n"/>
      <c r="H5" s="23" t="n"/>
      <c r="I5" s="25" t="n"/>
      <c r="J5" s="10">
        <f>IF(D5="","",IF(H5="✓","完了",IF(G5="","",IF(G5&lt;TODAY(),"期限超過",IF(G5=TODAY(),"今日まで","予定")))))</f>
        <v/>
      </c>
      <c r="K5" s="22" t="n"/>
      <c r="L5" s="26" t="n"/>
    </row>
    <row r="6">
      <c r="A6" s="11" t="n"/>
      <c r="B6" s="11" t="n"/>
      <c r="C6" s="10" t="n"/>
      <c r="D6" s="11" t="n"/>
      <c r="E6" s="10" t="n"/>
      <c r="F6" s="22" t="n"/>
      <c r="G6" s="24" t="n"/>
      <c r="H6" s="23" t="n"/>
      <c r="I6" s="25" t="n"/>
      <c r="J6" s="10">
        <f>IF(D6="","",IF(H6="✓","完了",IF(G6="","",IF(G6&lt;TODAY(),"期限超過",IF(G6=TODAY(),"今日まで","予定")))))</f>
        <v/>
      </c>
      <c r="K6" s="22" t="n"/>
      <c r="L6" s="26" t="n"/>
    </row>
    <row r="7">
      <c r="A7" s="11" t="n"/>
      <c r="B7" s="11" t="n"/>
      <c r="C7" s="10" t="n"/>
      <c r="D7" s="11" t="n"/>
      <c r="E7" s="10" t="n"/>
      <c r="F7" s="22" t="n"/>
      <c r="G7" s="24" t="n"/>
      <c r="H7" s="23" t="n"/>
      <c r="I7" s="25" t="n"/>
      <c r="J7" s="10">
        <f>IF(D7="","",IF(H7="✓","完了",IF(G7="","",IF(G7&lt;TODAY(),"期限超過",IF(G7=TODAY(),"今日まで","予定")))))</f>
        <v/>
      </c>
      <c r="K7" s="22" t="n"/>
      <c r="L7" s="26" t="n"/>
    </row>
    <row r="8">
      <c r="A8" s="11" t="n"/>
      <c r="B8" s="11" t="n"/>
      <c r="C8" s="10" t="n"/>
      <c r="D8" s="11" t="n"/>
      <c r="E8" s="10" t="n"/>
      <c r="F8" s="22" t="n"/>
      <c r="G8" s="24" t="n"/>
      <c r="H8" s="23" t="n"/>
      <c r="I8" s="25" t="n"/>
      <c r="J8" s="10">
        <f>IF(D8="","",IF(H8="✓","完了",IF(G8="","",IF(G8&lt;TODAY(),"期限超過",IF(G8=TODAY(),"今日まで","予定")))))</f>
        <v/>
      </c>
      <c r="K8" s="22" t="n"/>
      <c r="L8" s="26" t="n"/>
    </row>
    <row r="9">
      <c r="A9" s="11" t="n"/>
      <c r="B9" s="11" t="n"/>
      <c r="C9" s="10" t="n"/>
      <c r="D9" s="11" t="n"/>
      <c r="E9" s="10" t="n"/>
      <c r="F9" s="22" t="n"/>
      <c r="G9" s="24" t="n"/>
      <c r="H9" s="23" t="n"/>
      <c r="I9" s="25" t="n"/>
      <c r="J9" s="10">
        <f>IF(D9="","",IF(H9="✓","完了",IF(G9="","",IF(G9&lt;TODAY(),"期限超過",IF(G9=TODAY(),"今日まで","予定")))))</f>
        <v/>
      </c>
      <c r="K9" s="22" t="n"/>
      <c r="L9" s="26" t="n"/>
    </row>
    <row r="10">
      <c r="A10" s="11" t="n"/>
      <c r="B10" s="11" t="n"/>
      <c r="C10" s="10" t="n"/>
      <c r="D10" s="11" t="n"/>
      <c r="E10" s="10" t="n"/>
      <c r="F10" s="22" t="n"/>
      <c r="G10" s="24" t="n"/>
      <c r="H10" s="23" t="n"/>
      <c r="I10" s="25" t="n"/>
      <c r="J10" s="10">
        <f>IF(D10="","",IF(H10="✓","完了",IF(G10="","",IF(G10&lt;TODAY(),"期限超過",IF(G10=TODAY(),"今日まで","予定")))))</f>
        <v/>
      </c>
      <c r="K10" s="22" t="n"/>
      <c r="L10" s="26" t="n"/>
    </row>
    <row r="11">
      <c r="A11" s="11" t="n"/>
      <c r="B11" s="11" t="n"/>
      <c r="C11" s="10" t="n"/>
      <c r="D11" s="11" t="n"/>
      <c r="E11" s="10" t="n"/>
      <c r="F11" s="22" t="n"/>
      <c r="G11" s="24" t="n"/>
      <c r="H11" s="23" t="n"/>
      <c r="I11" s="25" t="n"/>
      <c r="J11" s="10">
        <f>IF(D11="","",IF(H11="✓","完了",IF(G11="","",IF(G11&lt;TODAY(),"期限超過",IF(G11=TODAY(),"今日まで","予定")))))</f>
        <v/>
      </c>
      <c r="K11" s="22" t="n"/>
      <c r="L11" s="26" t="n"/>
    </row>
    <row r="12">
      <c r="A12" s="11" t="n"/>
      <c r="B12" s="11" t="n"/>
      <c r="C12" s="10" t="n"/>
      <c r="D12" s="11" t="n"/>
      <c r="E12" s="10" t="n"/>
      <c r="F12" s="22" t="n"/>
      <c r="G12" s="24" t="n"/>
      <c r="H12" s="23" t="n"/>
      <c r="I12" s="25" t="n"/>
      <c r="J12" s="10">
        <f>IF(D12="","",IF(H12="✓","完了",IF(G12="","",IF(G12&lt;TODAY(),"期限超過",IF(G12=TODAY(),"今日まで","予定")))))</f>
        <v/>
      </c>
      <c r="K12" s="22" t="n"/>
      <c r="L12" s="26" t="n"/>
    </row>
    <row r="13">
      <c r="A13" s="11" t="n"/>
      <c r="B13" s="11" t="n"/>
      <c r="C13" s="10" t="n"/>
      <c r="D13" s="11" t="n"/>
      <c r="E13" s="10" t="n"/>
      <c r="F13" s="22" t="n"/>
      <c r="G13" s="24" t="n"/>
      <c r="H13" s="23" t="n"/>
      <c r="I13" s="25" t="n"/>
      <c r="J13" s="10">
        <f>IF(D13="","",IF(H13="✓","完了",IF(G13="","",IF(G13&lt;TODAY(),"期限超過",IF(G13=TODAY(),"今日まで","予定")))))</f>
        <v/>
      </c>
      <c r="K13" s="22" t="n"/>
      <c r="L13" s="26" t="n"/>
    </row>
    <row r="14">
      <c r="A14" s="11" t="n"/>
      <c r="B14" s="11" t="n"/>
      <c r="C14" s="10" t="n"/>
      <c r="D14" s="11" t="n"/>
      <c r="E14" s="10" t="n"/>
      <c r="F14" s="22" t="n"/>
      <c r="G14" s="24" t="n"/>
      <c r="H14" s="23" t="n"/>
      <c r="I14" s="25" t="n"/>
      <c r="J14" s="10">
        <f>IF(D14="","",IF(H14="✓","完了",IF(G14="","",IF(G14&lt;TODAY(),"期限超過",IF(G14=TODAY(),"今日まで","予定")))))</f>
        <v/>
      </c>
      <c r="K14" s="22" t="n"/>
      <c r="L14" s="26" t="n"/>
    </row>
    <row r="15">
      <c r="A15" s="11" t="n"/>
      <c r="B15" s="11" t="n"/>
      <c r="C15" s="10" t="n"/>
      <c r="D15" s="11" t="n"/>
      <c r="E15" s="10" t="n"/>
      <c r="F15" s="22" t="n"/>
      <c r="G15" s="24" t="n"/>
      <c r="H15" s="23" t="n"/>
      <c r="I15" s="25" t="n"/>
      <c r="J15" s="10">
        <f>IF(D15="","",IF(H15="✓","完了",IF(G15="","",IF(G15&lt;TODAY(),"期限超過",IF(G15=TODAY(),"今日まで","予定")))))</f>
        <v/>
      </c>
      <c r="K15" s="22" t="n"/>
      <c r="L15" s="26" t="n"/>
    </row>
    <row r="16">
      <c r="A16" s="11" t="n"/>
      <c r="B16" s="11" t="n"/>
      <c r="C16" s="10" t="n"/>
      <c r="D16" s="11" t="n"/>
      <c r="E16" s="10" t="n"/>
      <c r="F16" s="22" t="n"/>
      <c r="G16" s="24" t="n"/>
      <c r="H16" s="23" t="n"/>
      <c r="I16" s="25" t="n"/>
      <c r="J16" s="10">
        <f>IF(D16="","",IF(H16="✓","完了",IF(G16="","",IF(G16&lt;TODAY(),"期限超過",IF(G16=TODAY(),"今日まで","予定")))))</f>
        <v/>
      </c>
      <c r="K16" s="22" t="n"/>
      <c r="L16" s="26" t="n"/>
    </row>
    <row r="17">
      <c r="A17" s="11" t="n"/>
      <c r="B17" s="11" t="n"/>
      <c r="C17" s="10" t="n"/>
      <c r="D17" s="11" t="n"/>
      <c r="E17" s="10" t="n"/>
      <c r="F17" s="22" t="n"/>
      <c r="G17" s="24" t="n"/>
      <c r="H17" s="23" t="n"/>
      <c r="I17" s="25" t="n"/>
      <c r="J17" s="10">
        <f>IF(D17="","",IF(H17="✓","完了",IF(G17="","",IF(G17&lt;TODAY(),"期限超過",IF(G17=TODAY(),"今日まで","予定")))))</f>
        <v/>
      </c>
      <c r="K17" s="22" t="n"/>
      <c r="L17" s="26" t="n"/>
    </row>
    <row r="18">
      <c r="A18" s="11" t="n"/>
      <c r="B18" s="11" t="n"/>
      <c r="C18" s="10" t="n"/>
      <c r="D18" s="11" t="n"/>
      <c r="E18" s="10" t="n"/>
      <c r="F18" s="22" t="n"/>
      <c r="G18" s="24" t="n"/>
      <c r="H18" s="23" t="n"/>
      <c r="I18" s="25" t="n"/>
      <c r="J18" s="10">
        <f>IF(D18="","",IF(H18="✓","完了",IF(G18="","",IF(G18&lt;TODAY(),"期限超過",IF(G18=TODAY(),"今日まで","予定")))))</f>
        <v/>
      </c>
      <c r="K18" s="22" t="n"/>
      <c r="L18" s="26" t="n"/>
    </row>
    <row r="19">
      <c r="A19" s="11" t="n"/>
      <c r="B19" s="11" t="n"/>
      <c r="C19" s="10" t="n"/>
      <c r="D19" s="11" t="n"/>
      <c r="E19" s="10" t="n"/>
      <c r="F19" s="22" t="n"/>
      <c r="G19" s="24" t="n"/>
      <c r="H19" s="23" t="n"/>
      <c r="I19" s="25" t="n"/>
      <c r="J19" s="10">
        <f>IF(D19="","",IF(H19="✓","完了",IF(G19="","",IF(G19&lt;TODAY(),"期限超過",IF(G19=TODAY(),"今日まで","予定")))))</f>
        <v/>
      </c>
      <c r="K19" s="22" t="n"/>
      <c r="L19" s="26" t="n"/>
    </row>
    <row r="20">
      <c r="A20" s="11" t="n"/>
      <c r="B20" s="11" t="n"/>
      <c r="C20" s="10" t="n"/>
      <c r="D20" s="11" t="n"/>
      <c r="E20" s="10" t="n"/>
      <c r="F20" s="22" t="n"/>
      <c r="G20" s="24" t="n"/>
      <c r="H20" s="23" t="n"/>
      <c r="I20" s="25" t="n"/>
      <c r="J20" s="10">
        <f>IF(D20="","",IF(H20="✓","完了",IF(G20="","",IF(G20&lt;TODAY(),"期限超過",IF(G20=TODAY(),"今日まで","予定")))))</f>
        <v/>
      </c>
      <c r="K20" s="22" t="n"/>
      <c r="L20" s="26" t="n"/>
    </row>
    <row r="21">
      <c r="A21" s="11" t="n"/>
      <c r="B21" s="11" t="n"/>
      <c r="C21" s="10" t="n"/>
      <c r="D21" s="11" t="n"/>
      <c r="E21" s="10" t="n"/>
      <c r="F21" s="22" t="n"/>
      <c r="G21" s="24" t="n"/>
      <c r="H21" s="23" t="n"/>
      <c r="I21" s="25" t="n"/>
      <c r="J21" s="10">
        <f>IF(D21="","",IF(H21="✓","完了",IF(G21="","",IF(G21&lt;TODAY(),"期限超過",IF(G21=TODAY(),"今日まで","予定")))))</f>
        <v/>
      </c>
      <c r="K21" s="22" t="n"/>
      <c r="L21" s="26" t="n"/>
    </row>
    <row r="22">
      <c r="A22" s="11" t="n"/>
      <c r="B22" s="11" t="n"/>
      <c r="C22" s="10" t="n"/>
      <c r="D22" s="11" t="n"/>
      <c r="E22" s="10" t="n"/>
      <c r="F22" s="22" t="n"/>
      <c r="G22" s="24" t="n"/>
      <c r="H22" s="23" t="n"/>
      <c r="I22" s="25" t="n"/>
      <c r="J22" s="10">
        <f>IF(D22="","",IF(H22="✓","完了",IF(G22="","",IF(G22&lt;TODAY(),"期限超過",IF(G22=TODAY(),"今日まで","予定")))))</f>
        <v/>
      </c>
      <c r="K22" s="22" t="n"/>
      <c r="L22" s="26" t="n"/>
    </row>
    <row r="23">
      <c r="A23" s="11" t="n"/>
      <c r="B23" s="11" t="n"/>
      <c r="C23" s="10" t="n"/>
      <c r="D23" s="11" t="n"/>
      <c r="E23" s="10" t="n"/>
      <c r="F23" s="22" t="n"/>
      <c r="G23" s="24" t="n"/>
      <c r="H23" s="23" t="n"/>
      <c r="I23" s="25" t="n"/>
      <c r="J23" s="10">
        <f>IF(D23="","",IF(H23="✓","完了",IF(G23="","",IF(G23&lt;TODAY(),"期限超過",IF(G23=TODAY(),"今日まで","予定")))))</f>
        <v/>
      </c>
      <c r="K23" s="22" t="n"/>
      <c r="L23" s="26" t="n"/>
    </row>
    <row r="24">
      <c r="A24" s="11" t="n"/>
      <c r="B24" s="11" t="n"/>
      <c r="C24" s="10" t="n"/>
      <c r="D24" s="11" t="n"/>
      <c r="E24" s="10" t="n"/>
      <c r="F24" s="22" t="n"/>
      <c r="G24" s="24" t="n"/>
      <c r="H24" s="23" t="n"/>
      <c r="I24" s="25" t="n"/>
      <c r="J24" s="10">
        <f>IF(D24="","",IF(H24="✓","完了",IF(G24="","",IF(G24&lt;TODAY(),"期限超過",IF(G24=TODAY(),"今日まで","予定")))))</f>
        <v/>
      </c>
      <c r="K24" s="22" t="n"/>
      <c r="L24" s="26" t="n"/>
    </row>
    <row r="25">
      <c r="A25" s="11" t="n"/>
      <c r="B25" s="11" t="n"/>
      <c r="C25" s="10" t="n"/>
      <c r="D25" s="11" t="n"/>
      <c r="E25" s="10" t="n"/>
      <c r="F25" s="22" t="n"/>
      <c r="G25" s="24" t="n"/>
      <c r="H25" s="23" t="n"/>
      <c r="I25" s="25" t="n"/>
      <c r="J25" s="10">
        <f>IF(D25="","",IF(H25="✓","完了",IF(G25="","",IF(G25&lt;TODAY(),"期限超過",IF(G25=TODAY(),"今日まで","予定")))))</f>
        <v/>
      </c>
      <c r="K25" s="22" t="n"/>
      <c r="L25" s="26" t="n"/>
    </row>
    <row r="26">
      <c r="A26" s="11" t="n"/>
      <c r="B26" s="11" t="n"/>
      <c r="C26" s="10" t="n"/>
      <c r="D26" s="11" t="n"/>
      <c r="E26" s="10" t="n"/>
      <c r="F26" s="22" t="n"/>
      <c r="G26" s="24" t="n"/>
      <c r="H26" s="23" t="n"/>
      <c r="I26" s="25" t="n"/>
      <c r="J26" s="10">
        <f>IF(D26="","",IF(H26="✓","完了",IF(G26="","",IF(G26&lt;TODAY(),"期限超過",IF(G26=TODAY(),"今日まで","予定")))))</f>
        <v/>
      </c>
      <c r="K26" s="22" t="n"/>
      <c r="L26" s="26" t="n"/>
    </row>
    <row r="27">
      <c r="A27" s="11" t="n"/>
      <c r="B27" s="11" t="n"/>
      <c r="C27" s="10" t="n"/>
      <c r="D27" s="11" t="n"/>
      <c r="E27" s="10" t="n"/>
      <c r="F27" s="22" t="n"/>
      <c r="G27" s="24" t="n"/>
      <c r="H27" s="23" t="n"/>
      <c r="I27" s="25" t="n"/>
      <c r="J27" s="10">
        <f>IF(D27="","",IF(H27="✓","完了",IF(G27="","",IF(G27&lt;TODAY(),"期限超過",IF(G27=TODAY(),"今日まで","予定")))))</f>
        <v/>
      </c>
      <c r="K27" s="22" t="n"/>
      <c r="L27" s="26" t="n"/>
    </row>
    <row r="28">
      <c r="A28" s="11" t="n"/>
      <c r="B28" s="11" t="n"/>
      <c r="C28" s="10" t="n"/>
      <c r="D28" s="11" t="n"/>
      <c r="E28" s="10" t="n"/>
      <c r="F28" s="22" t="n"/>
      <c r="G28" s="24" t="n"/>
      <c r="H28" s="23" t="n"/>
      <c r="I28" s="25" t="n"/>
      <c r="J28" s="10">
        <f>IF(D28="","",IF(H28="✓","完了",IF(G28="","",IF(G28&lt;TODAY(),"期限超過",IF(G28=TODAY(),"今日まで","予定")))))</f>
        <v/>
      </c>
      <c r="K28" s="22" t="n"/>
      <c r="L28" s="26" t="n"/>
    </row>
    <row r="29">
      <c r="A29" s="11" t="n"/>
      <c r="B29" s="11" t="n"/>
      <c r="C29" s="10" t="n"/>
      <c r="D29" s="11" t="n"/>
      <c r="E29" s="10" t="n"/>
      <c r="F29" s="22" t="n"/>
      <c r="G29" s="24" t="n"/>
      <c r="H29" s="23" t="n"/>
      <c r="I29" s="25" t="n"/>
      <c r="J29" s="10">
        <f>IF(D29="","",IF(H29="✓","完了",IF(G29="","",IF(G29&lt;TODAY(),"期限超過",IF(G29=TODAY(),"今日まで","予定")))))</f>
        <v/>
      </c>
      <c r="K29" s="22" t="n"/>
      <c r="L29" s="26" t="n"/>
    </row>
    <row r="30">
      <c r="A30" s="11" t="n"/>
      <c r="B30" s="11" t="n"/>
      <c r="C30" s="10" t="n"/>
      <c r="D30" s="11" t="n"/>
      <c r="E30" s="10" t="n"/>
      <c r="F30" s="22" t="n"/>
      <c r="G30" s="24" t="n"/>
      <c r="H30" s="23" t="n"/>
      <c r="I30" s="25" t="n"/>
      <c r="J30" s="10">
        <f>IF(D30="","",IF(H30="✓","完了",IF(G30="","",IF(G30&lt;TODAY(),"期限超過",IF(G30=TODAY(),"今日まで","予定")))))</f>
        <v/>
      </c>
      <c r="K30" s="22" t="n"/>
      <c r="L30" s="26" t="n"/>
    </row>
    <row r="31">
      <c r="A31" s="11" t="n"/>
      <c r="B31" s="11" t="n"/>
      <c r="C31" s="10" t="n"/>
      <c r="D31" s="11" t="n"/>
      <c r="E31" s="10" t="n"/>
      <c r="F31" s="22" t="n"/>
      <c r="G31" s="24" t="n"/>
      <c r="H31" s="23" t="n"/>
      <c r="I31" s="25" t="n"/>
      <c r="J31" s="10">
        <f>IF(D31="","",IF(H31="✓","完了",IF(G31="","",IF(G31&lt;TODAY(),"期限超過",IF(G31=TODAY(),"今日まで","予定")))))</f>
        <v/>
      </c>
      <c r="K31" s="22" t="n"/>
      <c r="L31" s="26" t="n"/>
    </row>
    <row r="32">
      <c r="A32" s="11" t="n"/>
      <c r="B32" s="11" t="n"/>
      <c r="C32" s="10" t="n"/>
      <c r="D32" s="11" t="n"/>
      <c r="E32" s="10" t="n"/>
      <c r="F32" s="22" t="n"/>
      <c r="G32" s="24" t="n"/>
      <c r="H32" s="23" t="n"/>
      <c r="I32" s="25" t="n"/>
      <c r="J32" s="10">
        <f>IF(D32="","",IF(H32="✓","完了",IF(G32="","",IF(G32&lt;TODAY(),"期限超過",IF(G32=TODAY(),"今日まで","予定")))))</f>
        <v/>
      </c>
      <c r="K32" s="22" t="n"/>
      <c r="L32" s="26" t="n"/>
    </row>
    <row r="33">
      <c r="A33" s="11" t="n"/>
      <c r="B33" s="11" t="n"/>
      <c r="C33" s="10" t="n"/>
      <c r="D33" s="11" t="n"/>
      <c r="E33" s="10" t="n"/>
      <c r="F33" s="22" t="n"/>
      <c r="G33" s="24" t="n"/>
      <c r="H33" s="23" t="n"/>
      <c r="I33" s="25" t="n"/>
      <c r="J33" s="10">
        <f>IF(D33="","",IF(H33="✓","完了",IF(G33="","",IF(G33&lt;TODAY(),"期限超過",IF(G33=TODAY(),"今日まで","予定")))))</f>
        <v/>
      </c>
      <c r="K33" s="22" t="n"/>
      <c r="L33" s="26" t="n"/>
    </row>
    <row r="34">
      <c r="A34" s="11" t="n"/>
      <c r="B34" s="11" t="n"/>
      <c r="C34" s="10" t="n"/>
      <c r="D34" s="11" t="n"/>
      <c r="E34" s="10" t="n"/>
      <c r="F34" s="22" t="n"/>
      <c r="G34" s="24" t="n"/>
      <c r="H34" s="23" t="n"/>
      <c r="I34" s="25" t="n"/>
      <c r="J34" s="10">
        <f>IF(D34="","",IF(H34="✓","完了",IF(G34="","",IF(G34&lt;TODAY(),"期限超過",IF(G34=TODAY(),"今日まで","予定")))))</f>
        <v/>
      </c>
      <c r="K34" s="22" t="n"/>
      <c r="L34" s="26" t="n"/>
    </row>
    <row r="35">
      <c r="A35" s="11" t="n"/>
      <c r="B35" s="11" t="n"/>
      <c r="C35" s="10" t="n"/>
      <c r="D35" s="11" t="n"/>
      <c r="E35" s="10" t="n"/>
      <c r="F35" s="22" t="n"/>
      <c r="G35" s="24" t="n"/>
      <c r="H35" s="23" t="n"/>
      <c r="I35" s="25" t="n"/>
      <c r="J35" s="10">
        <f>IF(D35="","",IF(H35="✓","完了",IF(G35="","",IF(G35&lt;TODAY(),"期限超過",IF(G35=TODAY(),"今日まで","予定")))))</f>
        <v/>
      </c>
      <c r="K35" s="22" t="n"/>
      <c r="L35" s="26" t="n"/>
    </row>
    <row r="36">
      <c r="A36" s="11" t="n"/>
      <c r="B36" s="11" t="n"/>
      <c r="C36" s="10" t="n"/>
      <c r="D36" s="11" t="n"/>
      <c r="E36" s="10" t="n"/>
      <c r="F36" s="22" t="n"/>
      <c r="G36" s="24" t="n"/>
      <c r="H36" s="23" t="n"/>
      <c r="I36" s="25" t="n"/>
      <c r="J36" s="10">
        <f>IF(D36="","",IF(H36="✓","完了",IF(G36="","",IF(G36&lt;TODAY(),"期限超過",IF(G36=TODAY(),"今日まで","予定")))))</f>
        <v/>
      </c>
      <c r="K36" s="22" t="n"/>
      <c r="L36" s="26" t="n"/>
    </row>
    <row r="37">
      <c r="A37" s="11" t="n"/>
      <c r="B37" s="11" t="n"/>
      <c r="C37" s="10" t="n"/>
      <c r="D37" s="11" t="n"/>
      <c r="E37" s="10" t="n"/>
      <c r="F37" s="22" t="n"/>
      <c r="G37" s="24" t="n"/>
      <c r="H37" s="23" t="n"/>
      <c r="I37" s="25" t="n"/>
      <c r="J37" s="10">
        <f>IF(D37="","",IF(H37="✓","完了",IF(G37="","",IF(G37&lt;TODAY(),"期限超過",IF(G37=TODAY(),"今日まで","予定")))))</f>
        <v/>
      </c>
      <c r="K37" s="22" t="n"/>
      <c r="L37" s="26" t="n"/>
    </row>
    <row r="38">
      <c r="A38" s="11" t="n"/>
      <c r="B38" s="11" t="n"/>
      <c r="C38" s="10" t="n"/>
      <c r="D38" s="11" t="n"/>
      <c r="E38" s="10" t="n"/>
      <c r="F38" s="22" t="n"/>
      <c r="G38" s="24" t="n"/>
      <c r="H38" s="23" t="n"/>
      <c r="I38" s="25" t="n"/>
      <c r="J38" s="10">
        <f>IF(D38="","",IF(H38="✓","完了",IF(G38="","",IF(G38&lt;TODAY(),"期限超過",IF(G38=TODAY(),"今日まで","予定")))))</f>
        <v/>
      </c>
      <c r="K38" s="22" t="n"/>
      <c r="L38" s="26" t="n"/>
    </row>
    <row r="39">
      <c r="A39" s="11" t="n"/>
      <c r="B39" s="11" t="n"/>
      <c r="C39" s="10" t="n"/>
      <c r="D39" s="11" t="n"/>
      <c r="E39" s="10" t="n"/>
      <c r="F39" s="22" t="n"/>
      <c r="G39" s="24" t="n"/>
      <c r="H39" s="23" t="n"/>
      <c r="I39" s="25" t="n"/>
      <c r="J39" s="10">
        <f>IF(D39="","",IF(H39="✓","完了",IF(G39="","",IF(G39&lt;TODAY(),"期限超過",IF(G39=TODAY(),"今日まで","予定")))))</f>
        <v/>
      </c>
      <c r="K39" s="22" t="n"/>
      <c r="L39" s="26" t="n"/>
    </row>
    <row r="40">
      <c r="A40" s="11" t="n"/>
      <c r="B40" s="11" t="n"/>
      <c r="C40" s="10" t="n"/>
      <c r="D40" s="11" t="n"/>
      <c r="E40" s="10" t="n"/>
      <c r="F40" s="22" t="n"/>
      <c r="G40" s="24" t="n"/>
      <c r="H40" s="23" t="n"/>
      <c r="I40" s="25" t="n"/>
      <c r="J40" s="10">
        <f>IF(D40="","",IF(H40="✓","完了",IF(G40="","",IF(G40&lt;TODAY(),"期限超過",IF(G40=TODAY(),"今日まで","予定")))))</f>
        <v/>
      </c>
      <c r="K40" s="22" t="n"/>
      <c r="L40" s="26" t="n"/>
    </row>
    <row r="41">
      <c r="A41" s="11" t="n"/>
      <c r="B41" s="11" t="n"/>
      <c r="C41" s="10" t="n"/>
      <c r="D41" s="11" t="n"/>
      <c r="E41" s="10" t="n"/>
      <c r="F41" s="22" t="n"/>
      <c r="G41" s="24" t="n"/>
      <c r="H41" s="23" t="n"/>
      <c r="I41" s="25" t="n"/>
      <c r="J41" s="10">
        <f>IF(D41="","",IF(H41="✓","完了",IF(G41="","",IF(G41&lt;TODAY(),"期限超過",IF(G41=TODAY(),"今日まで","予定")))))</f>
        <v/>
      </c>
      <c r="K41" s="22" t="n"/>
      <c r="L41" s="26" t="n"/>
    </row>
    <row r="42">
      <c r="A42" s="11" t="n"/>
      <c r="B42" s="11" t="n"/>
      <c r="C42" s="10" t="n"/>
      <c r="D42" s="11" t="n"/>
      <c r="E42" s="10" t="n"/>
      <c r="F42" s="22" t="n"/>
      <c r="G42" s="24" t="n"/>
      <c r="H42" s="23" t="n"/>
      <c r="I42" s="25" t="n"/>
      <c r="J42" s="10">
        <f>IF(D42="","",IF(H42="✓","完了",IF(G42="","",IF(G42&lt;TODAY(),"期限超過",IF(G42=TODAY(),"今日まで","予定")))))</f>
        <v/>
      </c>
      <c r="K42" s="22" t="n"/>
      <c r="L42" s="26" t="n"/>
    </row>
    <row r="43">
      <c r="A43" s="11" t="n"/>
      <c r="B43" s="11" t="n"/>
      <c r="C43" s="10" t="n"/>
      <c r="D43" s="11" t="n"/>
      <c r="E43" s="10" t="n"/>
      <c r="F43" s="22" t="n"/>
      <c r="G43" s="24" t="n"/>
      <c r="H43" s="23" t="n"/>
      <c r="I43" s="25" t="n"/>
      <c r="J43" s="10">
        <f>IF(D43="","",IF(H43="✓","完了",IF(G43="","",IF(G43&lt;TODAY(),"期限超過",IF(G43=TODAY(),"今日まで","予定")))))</f>
        <v/>
      </c>
      <c r="K43" s="22" t="n"/>
      <c r="L43" s="26" t="n"/>
    </row>
    <row r="44">
      <c r="A44" s="11" t="n"/>
      <c r="B44" s="11" t="n"/>
      <c r="C44" s="10" t="n"/>
      <c r="D44" s="11" t="n"/>
      <c r="E44" s="10" t="n"/>
      <c r="F44" s="22" t="n"/>
      <c r="G44" s="24" t="n"/>
      <c r="H44" s="23" t="n"/>
      <c r="I44" s="25" t="n"/>
      <c r="J44" s="10">
        <f>IF(D44="","",IF(H44="✓","完了",IF(G44="","",IF(G44&lt;TODAY(),"期限超過",IF(G44=TODAY(),"今日まで","予定")))))</f>
        <v/>
      </c>
      <c r="K44" s="22" t="n"/>
      <c r="L44" s="26" t="n"/>
    </row>
    <row r="45">
      <c r="A45" s="11" t="n"/>
      <c r="B45" s="11" t="n"/>
      <c r="C45" s="10" t="n"/>
      <c r="D45" s="11" t="n"/>
      <c r="E45" s="10" t="n"/>
      <c r="F45" s="22" t="n"/>
      <c r="G45" s="24" t="n"/>
      <c r="H45" s="23" t="n"/>
      <c r="I45" s="25" t="n"/>
      <c r="J45" s="10">
        <f>IF(D45="","",IF(H45="✓","完了",IF(G45="","",IF(G45&lt;TODAY(),"期限超過",IF(G45=TODAY(),"今日まで","予定")))))</f>
        <v/>
      </c>
      <c r="K45" s="22" t="n"/>
      <c r="L45" s="26" t="n"/>
    </row>
    <row r="46">
      <c r="A46" s="11" t="n"/>
      <c r="B46" s="11" t="n"/>
      <c r="C46" s="10" t="n"/>
      <c r="D46" s="11" t="n"/>
      <c r="E46" s="10" t="n"/>
      <c r="F46" s="22" t="n"/>
      <c r="G46" s="24" t="n"/>
      <c r="H46" s="23" t="n"/>
      <c r="I46" s="25" t="n"/>
      <c r="J46" s="10">
        <f>IF(D46="","",IF(H46="✓","完了",IF(G46="","",IF(G46&lt;TODAY(),"期限超過",IF(G46=TODAY(),"今日まで","予定")))))</f>
        <v/>
      </c>
      <c r="K46" s="22" t="n"/>
      <c r="L46" s="26" t="n"/>
    </row>
    <row r="47">
      <c r="A47" s="11" t="n"/>
      <c r="B47" s="11" t="n"/>
      <c r="C47" s="10" t="n"/>
      <c r="D47" s="11" t="n"/>
      <c r="E47" s="10" t="n"/>
      <c r="F47" s="22" t="n"/>
      <c r="G47" s="24" t="n"/>
      <c r="H47" s="23" t="n"/>
      <c r="I47" s="25" t="n"/>
      <c r="J47" s="10">
        <f>IF(D47="","",IF(H47="✓","完了",IF(G47="","",IF(G47&lt;TODAY(),"期限超過",IF(G47=TODAY(),"今日まで","予定")))))</f>
        <v/>
      </c>
      <c r="K47" s="22" t="n"/>
      <c r="L47" s="26" t="n"/>
    </row>
    <row r="48">
      <c r="A48" s="11" t="n"/>
      <c r="B48" s="11" t="n"/>
      <c r="C48" s="10" t="n"/>
      <c r="D48" s="11" t="n"/>
      <c r="E48" s="10" t="n"/>
      <c r="F48" s="22" t="n"/>
      <c r="G48" s="24" t="n"/>
      <c r="H48" s="23" t="n"/>
      <c r="I48" s="25" t="n"/>
      <c r="J48" s="10">
        <f>IF(D48="","",IF(H48="✓","完了",IF(G48="","",IF(G48&lt;TODAY(),"期限超過",IF(G48=TODAY(),"今日まで","予定")))))</f>
        <v/>
      </c>
      <c r="K48" s="22" t="n"/>
      <c r="L48" s="26" t="n"/>
    </row>
    <row r="49">
      <c r="A49" s="11" t="n"/>
      <c r="B49" s="11" t="n"/>
      <c r="C49" s="10" t="n"/>
      <c r="D49" s="11" t="n"/>
      <c r="E49" s="10" t="n"/>
      <c r="F49" s="22" t="n"/>
      <c r="G49" s="24" t="n"/>
      <c r="H49" s="23" t="n"/>
      <c r="I49" s="25" t="n"/>
      <c r="J49" s="10">
        <f>IF(D49="","",IF(H49="✓","完了",IF(G49="","",IF(G49&lt;TODAY(),"期限超過",IF(G49=TODAY(),"今日まで","予定")))))</f>
        <v/>
      </c>
      <c r="K49" s="22" t="n"/>
      <c r="L49" s="26" t="n"/>
    </row>
    <row r="50">
      <c r="A50" s="11" t="n"/>
      <c r="B50" s="11" t="n"/>
      <c r="C50" s="10" t="n"/>
      <c r="D50" s="11" t="n"/>
      <c r="E50" s="10" t="n"/>
      <c r="F50" s="22" t="n"/>
      <c r="G50" s="24" t="n"/>
      <c r="H50" s="23" t="n"/>
      <c r="I50" s="25" t="n"/>
      <c r="J50" s="10">
        <f>IF(D50="","",IF(H50="✓","完了",IF(G50="","",IF(G50&lt;TODAY(),"期限超過",IF(G50=TODAY(),"今日まで","予定")))))</f>
        <v/>
      </c>
      <c r="K50" s="22" t="n"/>
      <c r="L50" s="26" t="n"/>
    </row>
    <row r="51">
      <c r="A51" s="11" t="n"/>
      <c r="B51" s="11" t="n"/>
      <c r="C51" s="10" t="n"/>
      <c r="D51" s="11" t="n"/>
      <c r="E51" s="10" t="n"/>
      <c r="F51" s="22" t="n"/>
      <c r="G51" s="24" t="n"/>
      <c r="H51" s="23" t="n"/>
      <c r="I51" s="25" t="n"/>
      <c r="J51" s="10">
        <f>IF(D51="","",IF(H51="✓","完了",IF(G51="","",IF(G51&lt;TODAY(),"期限超過",IF(G51=TODAY(),"今日まで","予定")))))</f>
        <v/>
      </c>
      <c r="K51" s="22" t="n"/>
      <c r="L51" s="26" t="n"/>
    </row>
    <row r="52">
      <c r="A52" s="11" t="n"/>
      <c r="B52" s="11" t="n"/>
      <c r="C52" s="10" t="n"/>
      <c r="D52" s="11" t="n"/>
      <c r="E52" s="10" t="n"/>
      <c r="F52" s="22" t="n"/>
      <c r="G52" s="24" t="n"/>
      <c r="H52" s="23" t="n"/>
      <c r="I52" s="25" t="n"/>
      <c r="J52" s="10">
        <f>IF(D52="","",IF(H52="✓","完了",IF(G52="","",IF(G52&lt;TODAY(),"期限超過",IF(G52=TODAY(),"今日まで","予定")))))</f>
        <v/>
      </c>
      <c r="K52" s="22" t="n"/>
      <c r="L52" s="26" t="n"/>
    </row>
    <row r="53">
      <c r="A53" s="11" t="n"/>
      <c r="B53" s="11" t="n"/>
      <c r="C53" s="10" t="n"/>
      <c r="D53" s="11" t="n"/>
      <c r="E53" s="10" t="n"/>
      <c r="F53" s="22" t="n"/>
      <c r="G53" s="24" t="n"/>
      <c r="H53" s="23" t="n"/>
      <c r="I53" s="25" t="n"/>
      <c r="J53" s="10">
        <f>IF(D53="","",IF(H53="✓","完了",IF(G53="","",IF(G53&lt;TODAY(),"期限超過",IF(G53=TODAY(),"今日まで","予定")))))</f>
        <v/>
      </c>
      <c r="K53" s="22" t="n"/>
      <c r="L53" s="26" t="n"/>
    </row>
    <row r="54">
      <c r="A54" s="11" t="n"/>
      <c r="B54" s="11" t="n"/>
      <c r="C54" s="10" t="n"/>
      <c r="D54" s="11" t="n"/>
      <c r="E54" s="10" t="n"/>
      <c r="F54" s="22" t="n"/>
      <c r="G54" s="24" t="n"/>
      <c r="H54" s="23" t="n"/>
      <c r="I54" s="25" t="n"/>
      <c r="J54" s="10">
        <f>IF(D54="","",IF(H54="✓","完了",IF(G54="","",IF(G54&lt;TODAY(),"期限超過",IF(G54=TODAY(),"今日まで","予定")))))</f>
        <v/>
      </c>
      <c r="K54" s="22" t="n"/>
      <c r="L54" s="26" t="n"/>
    </row>
    <row r="55">
      <c r="A55" s="11" t="n"/>
      <c r="B55" s="11" t="n"/>
      <c r="C55" s="10" t="n"/>
      <c r="D55" s="11" t="n"/>
      <c r="E55" s="10" t="n"/>
      <c r="F55" s="22" t="n"/>
      <c r="G55" s="24" t="n"/>
      <c r="H55" s="23" t="n"/>
      <c r="I55" s="25" t="n"/>
      <c r="J55" s="10">
        <f>IF(D55="","",IF(H55="✓","完了",IF(G55="","",IF(G55&lt;TODAY(),"期限超過",IF(G55=TODAY(),"今日まで","予定")))))</f>
        <v/>
      </c>
      <c r="K55" s="22" t="n"/>
      <c r="L55" s="26" t="n"/>
    </row>
    <row r="56">
      <c r="A56" s="11" t="n"/>
      <c r="B56" s="11" t="n"/>
      <c r="C56" s="10" t="n"/>
      <c r="D56" s="11" t="n"/>
      <c r="E56" s="10" t="n"/>
      <c r="F56" s="22" t="n"/>
      <c r="G56" s="24" t="n"/>
      <c r="H56" s="23" t="n"/>
      <c r="I56" s="25" t="n"/>
      <c r="J56" s="10">
        <f>IF(D56="","",IF(H56="✓","完了",IF(G56="","",IF(G56&lt;TODAY(),"期限超過",IF(G56=TODAY(),"今日まで","予定")))))</f>
        <v/>
      </c>
      <c r="K56" s="22" t="n"/>
      <c r="L56" s="26" t="n"/>
    </row>
    <row r="57">
      <c r="A57" s="11" t="n"/>
      <c r="B57" s="11" t="n"/>
      <c r="C57" s="10" t="n"/>
      <c r="D57" s="11" t="n"/>
      <c r="E57" s="10" t="n"/>
      <c r="F57" s="22" t="n"/>
      <c r="G57" s="24" t="n"/>
      <c r="H57" s="23" t="n"/>
      <c r="I57" s="25" t="n"/>
      <c r="J57" s="10">
        <f>IF(D57="","",IF(H57="✓","完了",IF(G57="","",IF(G57&lt;TODAY(),"期限超過",IF(G57=TODAY(),"今日まで","予定")))))</f>
        <v/>
      </c>
      <c r="K57" s="22" t="n"/>
      <c r="L57" s="26" t="n"/>
    </row>
    <row r="58">
      <c r="A58" s="11" t="n"/>
      <c r="B58" s="11" t="n"/>
      <c r="C58" s="10" t="n"/>
      <c r="D58" s="11" t="n"/>
      <c r="E58" s="10" t="n"/>
      <c r="F58" s="22" t="n"/>
      <c r="G58" s="24" t="n"/>
      <c r="H58" s="23" t="n"/>
      <c r="I58" s="25" t="n"/>
      <c r="J58" s="10">
        <f>IF(D58="","",IF(H58="✓","完了",IF(G58="","",IF(G58&lt;TODAY(),"期限超過",IF(G58=TODAY(),"今日まで","予定")))))</f>
        <v/>
      </c>
      <c r="K58" s="22" t="n"/>
      <c r="L58" s="26" t="n"/>
    </row>
    <row r="59">
      <c r="A59" s="11" t="n"/>
      <c r="B59" s="11" t="n"/>
      <c r="C59" s="10" t="n"/>
      <c r="D59" s="11" t="n"/>
      <c r="E59" s="10" t="n"/>
      <c r="F59" s="22" t="n"/>
      <c r="G59" s="24" t="n"/>
      <c r="H59" s="23" t="n"/>
      <c r="I59" s="25" t="n"/>
      <c r="J59" s="10">
        <f>IF(D59="","",IF(H59="✓","完了",IF(G59="","",IF(G59&lt;TODAY(),"期限超過",IF(G59=TODAY(),"今日まで","予定")))))</f>
        <v/>
      </c>
      <c r="K59" s="22" t="n"/>
      <c r="L59" s="26" t="n"/>
    </row>
    <row r="60">
      <c r="A60" s="11" t="n"/>
      <c r="B60" s="11" t="n"/>
      <c r="C60" s="10" t="n"/>
      <c r="D60" s="11" t="n"/>
      <c r="E60" s="10" t="n"/>
      <c r="F60" s="22" t="n"/>
      <c r="G60" s="24" t="n"/>
      <c r="H60" s="23" t="n"/>
      <c r="I60" s="25" t="n"/>
      <c r="J60" s="10">
        <f>IF(D60="","",IF(H60="✓","完了",IF(G60="","",IF(G60&lt;TODAY(),"期限超過",IF(G60=TODAY(),"今日まで","予定")))))</f>
        <v/>
      </c>
      <c r="K60" s="22" t="n"/>
      <c r="L60" s="26" t="n"/>
    </row>
    <row r="61">
      <c r="A61" s="11" t="n"/>
      <c r="B61" s="11" t="n"/>
      <c r="C61" s="10" t="n"/>
      <c r="D61" s="11" t="n"/>
      <c r="E61" s="10" t="n"/>
      <c r="F61" s="22" t="n"/>
      <c r="G61" s="24" t="n"/>
      <c r="H61" s="23" t="n"/>
      <c r="I61" s="25" t="n"/>
      <c r="J61" s="10">
        <f>IF(D61="","",IF(H61="✓","完了",IF(G61="","",IF(G61&lt;TODAY(),"期限超過",IF(G61=TODAY(),"今日まで","予定")))))</f>
        <v/>
      </c>
      <c r="K61" s="22" t="n"/>
      <c r="L61" s="26" t="n"/>
    </row>
    <row r="62">
      <c r="A62" s="11" t="n"/>
      <c r="B62" s="11" t="n"/>
      <c r="C62" s="10" t="n"/>
      <c r="D62" s="11" t="n"/>
      <c r="E62" s="10" t="n"/>
      <c r="F62" s="22" t="n"/>
      <c r="G62" s="24" t="n"/>
      <c r="H62" s="23" t="n"/>
      <c r="I62" s="25" t="n"/>
      <c r="J62" s="10">
        <f>IF(D62="","",IF(H62="✓","完了",IF(G62="","",IF(G62&lt;TODAY(),"期限超過",IF(G62=TODAY(),"今日まで","予定")))))</f>
        <v/>
      </c>
      <c r="K62" s="22" t="n"/>
      <c r="L62" s="26" t="n"/>
    </row>
    <row r="63">
      <c r="A63" s="11" t="n"/>
      <c r="B63" s="11" t="n"/>
      <c r="C63" s="10" t="n"/>
      <c r="D63" s="11" t="n"/>
      <c r="E63" s="10" t="n"/>
      <c r="F63" s="22" t="n"/>
      <c r="G63" s="24" t="n"/>
      <c r="H63" s="23" t="n"/>
      <c r="I63" s="25" t="n"/>
      <c r="J63" s="10">
        <f>IF(D63="","",IF(H63="✓","完了",IF(G63="","",IF(G63&lt;TODAY(),"期限超過",IF(G63=TODAY(),"今日まで","予定")))))</f>
        <v/>
      </c>
      <c r="K63" s="22" t="n"/>
      <c r="L63" s="26" t="n"/>
    </row>
    <row r="64">
      <c r="A64" s="11" t="n"/>
      <c r="B64" s="11" t="n"/>
      <c r="C64" s="10" t="n"/>
      <c r="D64" s="11" t="n"/>
      <c r="E64" s="10" t="n"/>
      <c r="F64" s="22" t="n"/>
      <c r="G64" s="24" t="n"/>
      <c r="H64" s="23" t="n"/>
      <c r="I64" s="25" t="n"/>
      <c r="J64" s="10">
        <f>IF(D64="","",IF(H64="✓","完了",IF(G64="","",IF(G64&lt;TODAY(),"期限超過",IF(G64=TODAY(),"今日まで","予定")))))</f>
        <v/>
      </c>
      <c r="K64" s="22" t="n"/>
      <c r="L64" s="26" t="n"/>
    </row>
    <row r="65">
      <c r="A65" s="11" t="n"/>
      <c r="B65" s="11" t="n"/>
      <c r="C65" s="10" t="n"/>
      <c r="D65" s="11" t="n"/>
      <c r="E65" s="10" t="n"/>
      <c r="F65" s="22" t="n"/>
      <c r="G65" s="24" t="n"/>
      <c r="H65" s="23" t="n"/>
      <c r="I65" s="25" t="n"/>
      <c r="J65" s="10">
        <f>IF(D65="","",IF(H65="✓","完了",IF(G65="","",IF(G65&lt;TODAY(),"期限超過",IF(G65=TODAY(),"今日まで","予定")))))</f>
        <v/>
      </c>
      <c r="K65" s="22" t="n"/>
      <c r="L65" s="26" t="n"/>
    </row>
    <row r="66">
      <c r="A66" s="11" t="n"/>
      <c r="B66" s="11" t="n"/>
      <c r="C66" s="10" t="n"/>
      <c r="D66" s="11" t="n"/>
      <c r="E66" s="10" t="n"/>
      <c r="F66" s="22" t="n"/>
      <c r="G66" s="24" t="n"/>
      <c r="H66" s="23" t="n"/>
      <c r="I66" s="25" t="n"/>
      <c r="J66" s="10">
        <f>IF(D66="","",IF(H66="✓","完了",IF(G66="","",IF(G66&lt;TODAY(),"期限超過",IF(G66=TODAY(),"今日まで","予定")))))</f>
        <v/>
      </c>
      <c r="K66" s="22" t="n"/>
      <c r="L66" s="26" t="n"/>
    </row>
    <row r="67">
      <c r="A67" s="11" t="n"/>
      <c r="B67" s="11" t="n"/>
      <c r="C67" s="10" t="n"/>
      <c r="D67" s="11" t="n"/>
      <c r="E67" s="10" t="n"/>
      <c r="F67" s="22" t="n"/>
      <c r="G67" s="24" t="n"/>
      <c r="H67" s="23" t="n"/>
      <c r="I67" s="25" t="n"/>
      <c r="J67" s="10">
        <f>IF(D67="","",IF(H67="✓","完了",IF(G67="","",IF(G67&lt;TODAY(),"期限超過",IF(G67=TODAY(),"今日まで","予定")))))</f>
        <v/>
      </c>
      <c r="K67" s="22" t="n"/>
      <c r="L67" s="26" t="n"/>
    </row>
    <row r="68">
      <c r="A68" s="11" t="n"/>
      <c r="B68" s="11" t="n"/>
      <c r="C68" s="10" t="n"/>
      <c r="D68" s="11" t="n"/>
      <c r="E68" s="10" t="n"/>
      <c r="F68" s="22" t="n"/>
      <c r="G68" s="24" t="n"/>
      <c r="H68" s="23" t="n"/>
      <c r="I68" s="25" t="n"/>
      <c r="J68" s="10">
        <f>IF(D68="","",IF(H68="✓","完了",IF(G68="","",IF(G68&lt;TODAY(),"期限超過",IF(G68=TODAY(),"今日まで","予定")))))</f>
        <v/>
      </c>
      <c r="K68" s="22" t="n"/>
      <c r="L68" s="26" t="n"/>
    </row>
    <row r="69">
      <c r="A69" s="11" t="n"/>
      <c r="B69" s="11" t="n"/>
      <c r="C69" s="10" t="n"/>
      <c r="D69" s="11" t="n"/>
      <c r="E69" s="10" t="n"/>
      <c r="F69" s="22" t="n"/>
      <c r="G69" s="24" t="n"/>
      <c r="H69" s="23" t="n"/>
      <c r="I69" s="25" t="n"/>
      <c r="J69" s="10">
        <f>IF(D69="","",IF(H69="✓","完了",IF(G69="","",IF(G69&lt;TODAY(),"期限超過",IF(G69=TODAY(),"今日まで","予定")))))</f>
        <v/>
      </c>
      <c r="K69" s="22" t="n"/>
      <c r="L69" s="26" t="n"/>
    </row>
    <row r="70">
      <c r="A70" s="11" t="n"/>
      <c r="B70" s="11" t="n"/>
      <c r="C70" s="10" t="n"/>
      <c r="D70" s="11" t="n"/>
      <c r="E70" s="10" t="n"/>
      <c r="F70" s="22" t="n"/>
      <c r="G70" s="24" t="n"/>
      <c r="H70" s="23" t="n"/>
      <c r="I70" s="25" t="n"/>
      <c r="J70" s="10">
        <f>IF(D70="","",IF(H70="✓","完了",IF(G70="","",IF(G70&lt;TODAY(),"期限超過",IF(G70=TODAY(),"今日まで","予定")))))</f>
        <v/>
      </c>
      <c r="K70" s="22" t="n"/>
      <c r="L70" s="26" t="n"/>
    </row>
    <row r="71">
      <c r="A71" s="11" t="n"/>
      <c r="B71" s="11" t="n"/>
      <c r="C71" s="10" t="n"/>
      <c r="D71" s="11" t="n"/>
      <c r="E71" s="10" t="n"/>
      <c r="F71" s="22" t="n"/>
      <c r="G71" s="24" t="n"/>
      <c r="H71" s="23" t="n"/>
      <c r="I71" s="25" t="n"/>
      <c r="J71" s="10">
        <f>IF(D71="","",IF(H71="✓","完了",IF(G71="","",IF(G71&lt;TODAY(),"期限超過",IF(G71=TODAY(),"今日まで","予定")))))</f>
        <v/>
      </c>
      <c r="K71" s="22" t="n"/>
      <c r="L71" s="26" t="n"/>
    </row>
    <row r="72">
      <c r="A72" s="11" t="n"/>
      <c r="B72" s="11" t="n"/>
      <c r="C72" s="10" t="n"/>
      <c r="D72" s="11" t="n"/>
      <c r="E72" s="10" t="n"/>
      <c r="F72" s="22" t="n"/>
      <c r="G72" s="24" t="n"/>
      <c r="H72" s="23" t="n"/>
      <c r="I72" s="25" t="n"/>
      <c r="J72" s="10">
        <f>IF(D72="","",IF(H72="✓","完了",IF(G72="","",IF(G72&lt;TODAY(),"期限超過",IF(G72=TODAY(),"今日まで","予定")))))</f>
        <v/>
      </c>
      <c r="K72" s="22" t="n"/>
      <c r="L72" s="26" t="n"/>
    </row>
    <row r="73">
      <c r="A73" s="11" t="n"/>
      <c r="B73" s="11" t="n"/>
      <c r="C73" s="10" t="n"/>
      <c r="D73" s="11" t="n"/>
      <c r="E73" s="10" t="n"/>
      <c r="F73" s="22" t="n"/>
      <c r="G73" s="24" t="n"/>
      <c r="H73" s="23" t="n"/>
      <c r="I73" s="25" t="n"/>
      <c r="J73" s="10">
        <f>IF(D73="","",IF(H73="✓","完了",IF(G73="","",IF(G73&lt;TODAY(),"期限超過",IF(G73=TODAY(),"今日まで","予定")))))</f>
        <v/>
      </c>
      <c r="K73" s="22" t="n"/>
      <c r="L73" s="26" t="n"/>
    </row>
    <row r="74">
      <c r="A74" s="11" t="n"/>
      <c r="B74" s="11" t="n"/>
      <c r="C74" s="10" t="n"/>
      <c r="D74" s="11" t="n"/>
      <c r="E74" s="10" t="n"/>
      <c r="F74" s="22" t="n"/>
      <c r="G74" s="24" t="n"/>
      <c r="H74" s="23" t="n"/>
      <c r="I74" s="25" t="n"/>
      <c r="J74" s="10">
        <f>IF(D74="","",IF(H74="✓","完了",IF(G74="","",IF(G74&lt;TODAY(),"期限超過",IF(G74=TODAY(),"今日まで","予定")))))</f>
        <v/>
      </c>
      <c r="K74" s="22" t="n"/>
      <c r="L74" s="26" t="n"/>
    </row>
    <row r="75">
      <c r="A75" s="11" t="n"/>
      <c r="B75" s="11" t="n"/>
      <c r="C75" s="10" t="n"/>
      <c r="D75" s="11" t="n"/>
      <c r="E75" s="10" t="n"/>
      <c r="F75" s="22" t="n"/>
      <c r="G75" s="24" t="n"/>
      <c r="H75" s="23" t="n"/>
      <c r="I75" s="25" t="n"/>
      <c r="J75" s="10">
        <f>IF(D75="","",IF(H75="✓","完了",IF(G75="","",IF(G75&lt;TODAY(),"期限超過",IF(G75=TODAY(),"今日まで","予定")))))</f>
        <v/>
      </c>
      <c r="K75" s="22" t="n"/>
      <c r="L75" s="26" t="n"/>
    </row>
    <row r="76">
      <c r="A76" s="11" t="n"/>
      <c r="B76" s="11" t="n"/>
      <c r="C76" s="10" t="n"/>
      <c r="D76" s="11" t="n"/>
      <c r="E76" s="10" t="n"/>
      <c r="F76" s="22" t="n"/>
      <c r="G76" s="24" t="n"/>
      <c r="H76" s="23" t="n"/>
      <c r="I76" s="25" t="n"/>
      <c r="J76" s="10">
        <f>IF(D76="","",IF(H76="✓","完了",IF(G76="","",IF(G76&lt;TODAY(),"期限超過",IF(G76=TODAY(),"今日まで","予定")))))</f>
        <v/>
      </c>
      <c r="K76" s="22" t="n"/>
      <c r="L76" s="26" t="n"/>
    </row>
    <row r="77">
      <c r="A77" s="11" t="n"/>
      <c r="B77" s="11" t="n"/>
      <c r="C77" s="10" t="n"/>
      <c r="D77" s="11" t="n"/>
      <c r="E77" s="10" t="n"/>
      <c r="F77" s="22" t="n"/>
      <c r="G77" s="24" t="n"/>
      <c r="H77" s="23" t="n"/>
      <c r="I77" s="25" t="n"/>
      <c r="J77" s="10">
        <f>IF(D77="","",IF(H77="✓","完了",IF(G77="","",IF(G77&lt;TODAY(),"期限超過",IF(G77=TODAY(),"今日まで","予定")))))</f>
        <v/>
      </c>
      <c r="K77" s="22" t="n"/>
      <c r="L77" s="26" t="n"/>
    </row>
    <row r="78">
      <c r="A78" s="11" t="n"/>
      <c r="B78" s="11" t="n"/>
      <c r="C78" s="10" t="n"/>
      <c r="D78" s="11" t="n"/>
      <c r="E78" s="10" t="n"/>
      <c r="F78" s="22" t="n"/>
      <c r="G78" s="24" t="n"/>
      <c r="H78" s="23" t="n"/>
      <c r="I78" s="25" t="n"/>
      <c r="J78" s="10">
        <f>IF(D78="","",IF(H78="✓","完了",IF(G78="","",IF(G78&lt;TODAY(),"期限超過",IF(G78=TODAY(),"今日まで","予定")))))</f>
        <v/>
      </c>
      <c r="K78" s="22" t="n"/>
      <c r="L78" s="26" t="n"/>
    </row>
    <row r="79">
      <c r="A79" s="11" t="n"/>
      <c r="B79" s="11" t="n"/>
      <c r="C79" s="10" t="n"/>
      <c r="D79" s="11" t="n"/>
      <c r="E79" s="10" t="n"/>
      <c r="F79" s="22" t="n"/>
      <c r="G79" s="24" t="n"/>
      <c r="H79" s="23" t="n"/>
      <c r="I79" s="25" t="n"/>
      <c r="J79" s="10">
        <f>IF(D79="","",IF(H79="✓","完了",IF(G79="","",IF(G79&lt;TODAY(),"期限超過",IF(G79=TODAY(),"今日まで","予定")))))</f>
        <v/>
      </c>
      <c r="K79" s="22" t="n"/>
      <c r="L79" s="26" t="n"/>
    </row>
    <row r="80">
      <c r="A80" s="11" t="n"/>
      <c r="B80" s="11" t="n"/>
      <c r="C80" s="10" t="n"/>
      <c r="D80" s="11" t="n"/>
      <c r="E80" s="10" t="n"/>
      <c r="F80" s="22" t="n"/>
      <c r="G80" s="24" t="n"/>
      <c r="H80" s="23" t="n"/>
      <c r="I80" s="25" t="n"/>
      <c r="J80" s="10">
        <f>IF(D80="","",IF(H80="✓","完了",IF(G80="","",IF(G80&lt;TODAY(),"期限超過",IF(G80=TODAY(),"今日まで","予定")))))</f>
        <v/>
      </c>
      <c r="K80" s="22" t="n"/>
      <c r="L80" s="26" t="n"/>
    </row>
    <row r="81">
      <c r="A81" s="11" t="n"/>
      <c r="B81" s="11" t="n"/>
      <c r="C81" s="10" t="n"/>
      <c r="D81" s="11" t="n"/>
      <c r="E81" s="10" t="n"/>
      <c r="F81" s="22" t="n"/>
      <c r="G81" s="24" t="n"/>
      <c r="H81" s="23" t="n"/>
      <c r="I81" s="25" t="n"/>
      <c r="J81" s="10">
        <f>IF(D81="","",IF(H81="✓","完了",IF(G81="","",IF(G81&lt;TODAY(),"期限超過",IF(G81=TODAY(),"今日まで","予定")))))</f>
        <v/>
      </c>
      <c r="K81" s="22" t="n"/>
      <c r="L81" s="26" t="n"/>
    </row>
    <row r="82">
      <c r="A82" s="11" t="n"/>
      <c r="B82" s="11" t="n"/>
      <c r="C82" s="10" t="n"/>
      <c r="D82" s="11" t="n"/>
      <c r="E82" s="10" t="n"/>
      <c r="F82" s="22" t="n"/>
      <c r="G82" s="24" t="n"/>
      <c r="H82" s="23" t="n"/>
      <c r="I82" s="25" t="n"/>
      <c r="J82" s="10">
        <f>IF(D82="","",IF(H82="✓","完了",IF(G82="","",IF(G82&lt;TODAY(),"期限超過",IF(G82=TODAY(),"今日まで","予定")))))</f>
        <v/>
      </c>
      <c r="K82" s="22" t="n"/>
      <c r="L82" s="26" t="n"/>
    </row>
    <row r="83">
      <c r="A83" s="11" t="n"/>
      <c r="B83" s="11" t="n"/>
      <c r="C83" s="10" t="n"/>
      <c r="D83" s="11" t="n"/>
      <c r="E83" s="10" t="n"/>
      <c r="F83" s="22" t="n"/>
      <c r="G83" s="24" t="n"/>
      <c r="H83" s="23" t="n"/>
      <c r="I83" s="25" t="n"/>
      <c r="J83" s="10">
        <f>IF(D83="","",IF(H83="✓","完了",IF(G83="","",IF(G83&lt;TODAY(),"期限超過",IF(G83=TODAY(),"今日まで","予定")))))</f>
        <v/>
      </c>
      <c r="K83" s="22" t="n"/>
      <c r="L83" s="26" t="n"/>
    </row>
    <row r="84">
      <c r="A84" s="11" t="n"/>
      <c r="B84" s="11" t="n"/>
      <c r="C84" s="10" t="n"/>
      <c r="D84" s="11" t="n"/>
      <c r="E84" s="10" t="n"/>
      <c r="F84" s="22" t="n"/>
      <c r="G84" s="24" t="n"/>
      <c r="H84" s="23" t="n"/>
      <c r="I84" s="25" t="n"/>
      <c r="J84" s="10">
        <f>IF(D84="","",IF(H84="✓","完了",IF(G84="","",IF(G84&lt;TODAY(),"期限超過",IF(G84=TODAY(),"今日まで","予定")))))</f>
        <v/>
      </c>
      <c r="K84" s="22" t="n"/>
      <c r="L84" s="26" t="n"/>
    </row>
    <row r="85">
      <c r="A85" s="11" t="n"/>
      <c r="B85" s="11" t="n"/>
      <c r="C85" s="10" t="n"/>
      <c r="D85" s="11" t="n"/>
      <c r="E85" s="10" t="n"/>
      <c r="F85" s="22" t="n"/>
      <c r="G85" s="24" t="n"/>
      <c r="H85" s="23" t="n"/>
      <c r="I85" s="25" t="n"/>
      <c r="J85" s="10">
        <f>IF(D85="","",IF(H85="✓","完了",IF(G85="","",IF(G85&lt;TODAY(),"期限超過",IF(G85=TODAY(),"今日まで","予定")))))</f>
        <v/>
      </c>
      <c r="K85" s="22" t="n"/>
      <c r="L85" s="26" t="n"/>
    </row>
    <row r="86">
      <c r="A86" s="11" t="n"/>
      <c r="B86" s="11" t="n"/>
      <c r="C86" s="10" t="n"/>
      <c r="D86" s="11" t="n"/>
      <c r="E86" s="10" t="n"/>
      <c r="F86" s="22" t="n"/>
      <c r="G86" s="24" t="n"/>
      <c r="H86" s="23" t="n"/>
      <c r="I86" s="25" t="n"/>
      <c r="J86" s="10">
        <f>IF(D86="","",IF(H86="✓","完了",IF(G86="","",IF(G86&lt;TODAY(),"期限超過",IF(G86=TODAY(),"今日まで","予定")))))</f>
        <v/>
      </c>
      <c r="K86" s="22" t="n"/>
      <c r="L86" s="26" t="n"/>
    </row>
    <row r="87">
      <c r="A87" s="11" t="n"/>
      <c r="B87" s="11" t="n"/>
      <c r="C87" s="10" t="n"/>
      <c r="D87" s="11" t="n"/>
      <c r="E87" s="10" t="n"/>
      <c r="F87" s="22" t="n"/>
      <c r="G87" s="24" t="n"/>
      <c r="H87" s="23" t="n"/>
      <c r="I87" s="25" t="n"/>
      <c r="J87" s="10">
        <f>IF(D87="","",IF(H87="✓","完了",IF(G87="","",IF(G87&lt;TODAY(),"期限超過",IF(G87=TODAY(),"今日まで","予定")))))</f>
        <v/>
      </c>
      <c r="K87" s="22" t="n"/>
      <c r="L87" s="26" t="n"/>
    </row>
    <row r="88">
      <c r="A88" s="11" t="n"/>
      <c r="B88" s="11" t="n"/>
      <c r="C88" s="10" t="n"/>
      <c r="D88" s="11" t="n"/>
      <c r="E88" s="10" t="n"/>
      <c r="F88" s="22" t="n"/>
      <c r="G88" s="24" t="n"/>
      <c r="H88" s="23" t="n"/>
      <c r="I88" s="25" t="n"/>
      <c r="J88" s="10">
        <f>IF(D88="","",IF(H88="✓","完了",IF(G88="","",IF(G88&lt;TODAY(),"期限超過",IF(G88=TODAY(),"今日まで","予定")))))</f>
        <v/>
      </c>
      <c r="K88" s="22" t="n"/>
      <c r="L88" s="26" t="n"/>
    </row>
    <row r="89">
      <c r="A89" s="11" t="n"/>
      <c r="B89" s="11" t="n"/>
      <c r="C89" s="10" t="n"/>
      <c r="D89" s="11" t="n"/>
      <c r="E89" s="10" t="n"/>
      <c r="F89" s="22" t="n"/>
      <c r="G89" s="24" t="n"/>
      <c r="H89" s="23" t="n"/>
      <c r="I89" s="25" t="n"/>
      <c r="J89" s="10">
        <f>IF(D89="","",IF(H89="✓","完了",IF(G89="","",IF(G89&lt;TODAY(),"期限超過",IF(G89=TODAY(),"今日まで","予定")))))</f>
        <v/>
      </c>
      <c r="K89" s="22" t="n"/>
      <c r="L89" s="26" t="n"/>
    </row>
    <row r="90">
      <c r="A90" s="11" t="n"/>
      <c r="B90" s="11" t="n"/>
      <c r="C90" s="10" t="n"/>
      <c r="D90" s="11" t="n"/>
      <c r="E90" s="10" t="n"/>
      <c r="F90" s="22" t="n"/>
      <c r="G90" s="24" t="n"/>
      <c r="H90" s="23" t="n"/>
      <c r="I90" s="25" t="n"/>
      <c r="J90" s="10">
        <f>IF(D90="","",IF(H90="✓","完了",IF(G90="","",IF(G90&lt;TODAY(),"期限超過",IF(G90=TODAY(),"今日まで","予定")))))</f>
        <v/>
      </c>
      <c r="K90" s="22" t="n"/>
      <c r="L90" s="26" t="n"/>
    </row>
    <row r="91">
      <c r="A91" s="11" t="n"/>
      <c r="B91" s="11" t="n"/>
      <c r="C91" s="10" t="n"/>
      <c r="D91" s="11" t="n"/>
      <c r="E91" s="10" t="n"/>
      <c r="F91" s="22" t="n"/>
      <c r="G91" s="24" t="n"/>
      <c r="H91" s="23" t="n"/>
      <c r="I91" s="25" t="n"/>
      <c r="J91" s="10">
        <f>IF(D91="","",IF(H91="✓","完了",IF(G91="","",IF(G91&lt;TODAY(),"期限超過",IF(G91=TODAY(),"今日まで","予定")))))</f>
        <v/>
      </c>
      <c r="K91" s="22" t="n"/>
      <c r="L91" s="26" t="n"/>
    </row>
    <row r="92">
      <c r="A92" s="11" t="n"/>
      <c r="B92" s="11" t="n"/>
      <c r="C92" s="10" t="n"/>
      <c r="D92" s="11" t="n"/>
      <c r="E92" s="10" t="n"/>
      <c r="F92" s="22" t="n"/>
      <c r="G92" s="24" t="n"/>
      <c r="H92" s="23" t="n"/>
      <c r="I92" s="25" t="n"/>
      <c r="J92" s="10">
        <f>IF(D92="","",IF(H92="✓","完了",IF(G92="","",IF(G92&lt;TODAY(),"期限超過",IF(G92=TODAY(),"今日まで","予定")))))</f>
        <v/>
      </c>
      <c r="K92" s="22" t="n"/>
      <c r="L92" s="26" t="n"/>
    </row>
    <row r="93">
      <c r="A93" s="11" t="n"/>
      <c r="B93" s="11" t="n"/>
      <c r="C93" s="10" t="n"/>
      <c r="D93" s="11" t="n"/>
      <c r="E93" s="10" t="n"/>
      <c r="F93" s="22" t="n"/>
      <c r="G93" s="24" t="n"/>
      <c r="H93" s="23" t="n"/>
      <c r="I93" s="25" t="n"/>
      <c r="J93" s="10">
        <f>IF(D93="","",IF(H93="✓","完了",IF(G93="","",IF(G93&lt;TODAY(),"期限超過",IF(G93=TODAY(),"今日まで","予定")))))</f>
        <v/>
      </c>
      <c r="K93" s="22" t="n"/>
      <c r="L93" s="26" t="n"/>
    </row>
    <row r="94">
      <c r="A94" s="11" t="n"/>
      <c r="B94" s="11" t="n"/>
      <c r="C94" s="10" t="n"/>
      <c r="D94" s="11" t="n"/>
      <c r="E94" s="10" t="n"/>
      <c r="F94" s="22" t="n"/>
      <c r="G94" s="24" t="n"/>
      <c r="H94" s="23" t="n"/>
      <c r="I94" s="25" t="n"/>
      <c r="J94" s="10">
        <f>IF(D94="","",IF(H94="✓","完了",IF(G94="","",IF(G94&lt;TODAY(),"期限超過",IF(G94=TODAY(),"今日まで","予定")))))</f>
        <v/>
      </c>
      <c r="K94" s="22" t="n"/>
      <c r="L94" s="26" t="n"/>
    </row>
    <row r="95">
      <c r="A95" s="11" t="n"/>
      <c r="B95" s="11" t="n"/>
      <c r="C95" s="10" t="n"/>
      <c r="D95" s="11" t="n"/>
      <c r="E95" s="10" t="n"/>
      <c r="F95" s="22" t="n"/>
      <c r="G95" s="24" t="n"/>
      <c r="H95" s="23" t="n"/>
      <c r="I95" s="25" t="n"/>
      <c r="J95" s="10">
        <f>IF(D95="","",IF(H95="✓","完了",IF(G95="","",IF(G95&lt;TODAY(),"期限超過",IF(G95=TODAY(),"今日まで","予定")))))</f>
        <v/>
      </c>
      <c r="K95" s="22" t="n"/>
      <c r="L95" s="26" t="n"/>
    </row>
    <row r="96">
      <c r="A96" s="11" t="n"/>
      <c r="B96" s="11" t="n"/>
      <c r="C96" s="10" t="n"/>
      <c r="D96" s="11" t="n"/>
      <c r="E96" s="10" t="n"/>
      <c r="F96" s="22" t="n"/>
      <c r="G96" s="24" t="n"/>
      <c r="H96" s="23" t="n"/>
      <c r="I96" s="25" t="n"/>
      <c r="J96" s="10">
        <f>IF(D96="","",IF(H96="✓","完了",IF(G96="","",IF(G96&lt;TODAY(),"期限超過",IF(G96=TODAY(),"今日まで","予定")))))</f>
        <v/>
      </c>
      <c r="K96" s="22" t="n"/>
      <c r="L96" s="26" t="n"/>
    </row>
    <row r="97">
      <c r="A97" s="11" t="n"/>
      <c r="B97" s="11" t="n"/>
      <c r="C97" s="10" t="n"/>
      <c r="D97" s="11" t="n"/>
      <c r="E97" s="10" t="n"/>
      <c r="F97" s="22" t="n"/>
      <c r="G97" s="24" t="n"/>
      <c r="H97" s="23" t="n"/>
      <c r="I97" s="25" t="n"/>
      <c r="J97" s="10">
        <f>IF(D97="","",IF(H97="✓","完了",IF(G97="","",IF(G97&lt;TODAY(),"期限超過",IF(G97=TODAY(),"今日まで","予定")))))</f>
        <v/>
      </c>
      <c r="K97" s="22" t="n"/>
      <c r="L97" s="26" t="n"/>
    </row>
    <row r="98">
      <c r="A98" s="11" t="n"/>
      <c r="B98" s="11" t="n"/>
      <c r="C98" s="10" t="n"/>
      <c r="D98" s="11" t="n"/>
      <c r="E98" s="10" t="n"/>
      <c r="F98" s="22" t="n"/>
      <c r="G98" s="24" t="n"/>
      <c r="H98" s="23" t="n"/>
      <c r="I98" s="25" t="n"/>
      <c r="J98" s="10">
        <f>IF(D98="","",IF(H98="✓","完了",IF(G98="","",IF(G98&lt;TODAY(),"期限超過",IF(G98=TODAY(),"今日まで","予定")))))</f>
        <v/>
      </c>
      <c r="K98" s="22" t="n"/>
      <c r="L98" s="26" t="n"/>
    </row>
    <row r="99">
      <c r="A99" s="11" t="n"/>
      <c r="B99" s="11" t="n"/>
      <c r="C99" s="10" t="n"/>
      <c r="D99" s="11" t="n"/>
      <c r="E99" s="10" t="n"/>
      <c r="F99" s="22" t="n"/>
      <c r="G99" s="24" t="n"/>
      <c r="H99" s="23" t="n"/>
      <c r="I99" s="25" t="n"/>
      <c r="J99" s="10">
        <f>IF(D99="","",IF(H99="✓","完了",IF(G99="","",IF(G99&lt;TODAY(),"期限超過",IF(G99=TODAY(),"今日まで","予定")))))</f>
        <v/>
      </c>
      <c r="K99" s="22" t="n"/>
      <c r="L99" s="26" t="n"/>
    </row>
    <row r="100">
      <c r="A100" s="11" t="n"/>
      <c r="B100" s="11" t="n"/>
      <c r="C100" s="10" t="n"/>
      <c r="D100" s="11" t="n"/>
      <c r="E100" s="10" t="n"/>
      <c r="F100" s="22" t="n"/>
      <c r="G100" s="24" t="n"/>
      <c r="H100" s="23" t="n"/>
      <c r="I100" s="25" t="n"/>
      <c r="J100" s="10">
        <f>IF(D100="","",IF(H100="✓","完了",IF(G100="","",IF(G100&lt;TODAY(),"期限超過",IF(G100=TODAY(),"今日まで","予定")))))</f>
        <v/>
      </c>
      <c r="K100" s="22" t="n"/>
      <c r="L100" s="26" t="n"/>
    </row>
    <row r="101">
      <c r="A101" s="11" t="n"/>
      <c r="B101" s="11" t="n"/>
      <c r="C101" s="10" t="n"/>
      <c r="D101" s="11" t="n"/>
      <c r="E101" s="10" t="n"/>
      <c r="F101" s="22" t="n"/>
      <c r="G101" s="24" t="n"/>
      <c r="H101" s="23" t="n"/>
      <c r="I101" s="25" t="n"/>
      <c r="J101" s="10">
        <f>IF(D101="","",IF(H101="✓","完了",IF(G101="","",IF(G101&lt;TODAY(),"期限超過",IF(G101=TODAY(),"今日まで","予定")))))</f>
        <v/>
      </c>
      <c r="K101" s="22" t="n"/>
      <c r="L101" s="26" t="n"/>
    </row>
    <row r="102">
      <c r="A102" s="11" t="n"/>
      <c r="B102" s="11" t="n"/>
      <c r="C102" s="10" t="n"/>
      <c r="D102" s="11" t="n"/>
      <c r="E102" s="10" t="n"/>
      <c r="F102" s="22" t="n"/>
      <c r="G102" s="24" t="n"/>
      <c r="H102" s="23" t="n"/>
      <c r="I102" s="25" t="n"/>
      <c r="J102" s="10">
        <f>IF(D102="","",IF(H102="✓","完了",IF(G102="","",IF(G102&lt;TODAY(),"期限超過",IF(G102=TODAY(),"今日まで","予定")))))</f>
        <v/>
      </c>
      <c r="K102" s="22" t="n"/>
      <c r="L102" s="26" t="n"/>
    </row>
    <row r="103">
      <c r="A103" s="11" t="n"/>
      <c r="B103" s="11" t="n"/>
      <c r="C103" s="10" t="n"/>
      <c r="D103" s="11" t="n"/>
      <c r="E103" s="10" t="n"/>
      <c r="F103" s="22" t="n"/>
      <c r="G103" s="24" t="n"/>
      <c r="H103" s="23" t="n"/>
      <c r="I103" s="25" t="n"/>
      <c r="J103" s="10">
        <f>IF(D103="","",IF(H103="✓","完了",IF(G103="","",IF(G103&lt;TODAY(),"期限超過",IF(G103=TODAY(),"今日まで","予定")))))</f>
        <v/>
      </c>
      <c r="K103" s="22" t="n"/>
      <c r="L103" s="26" t="n"/>
    </row>
    <row r="104">
      <c r="A104" s="11" t="n"/>
      <c r="B104" s="11" t="n"/>
      <c r="C104" s="10" t="n"/>
      <c r="D104" s="11" t="n"/>
      <c r="E104" s="10" t="n"/>
      <c r="F104" s="22" t="n"/>
      <c r="G104" s="24" t="n"/>
      <c r="H104" s="23" t="n"/>
      <c r="I104" s="25" t="n"/>
      <c r="J104" s="10">
        <f>IF(D104="","",IF(H104="✓","完了",IF(G104="","",IF(G104&lt;TODAY(),"期限超過",IF(G104=TODAY(),"今日まで","予定")))))</f>
        <v/>
      </c>
      <c r="K104" s="22" t="n"/>
      <c r="L104" s="26" t="n"/>
    </row>
    <row r="105">
      <c r="A105" s="11" t="n"/>
      <c r="B105" s="11" t="n"/>
      <c r="C105" s="10" t="n"/>
      <c r="D105" s="11" t="n"/>
      <c r="E105" s="10" t="n"/>
      <c r="F105" s="22" t="n"/>
      <c r="G105" s="24" t="n"/>
      <c r="H105" s="23" t="n"/>
      <c r="I105" s="25" t="n"/>
      <c r="J105" s="10">
        <f>IF(D105="","",IF(H105="✓","完了",IF(G105="","",IF(G105&lt;TODAY(),"期限超過",IF(G105=TODAY(),"今日まで","予定")))))</f>
        <v/>
      </c>
      <c r="K105" s="22" t="n"/>
      <c r="L105" s="26" t="n"/>
    </row>
    <row r="106">
      <c r="A106" s="11" t="n"/>
      <c r="B106" s="11" t="n"/>
      <c r="C106" s="10" t="n"/>
      <c r="D106" s="11" t="n"/>
      <c r="E106" s="10" t="n"/>
      <c r="F106" s="22" t="n"/>
      <c r="G106" s="24" t="n"/>
      <c r="H106" s="23" t="n"/>
      <c r="I106" s="25" t="n"/>
      <c r="J106" s="10">
        <f>IF(D106="","",IF(H106="✓","完了",IF(G106="","",IF(G106&lt;TODAY(),"期限超過",IF(G106=TODAY(),"今日まで","予定")))))</f>
        <v/>
      </c>
      <c r="K106" s="22" t="n"/>
      <c r="L106" s="26" t="n"/>
    </row>
    <row r="107">
      <c r="A107" s="11" t="n"/>
      <c r="B107" s="11" t="n"/>
      <c r="C107" s="10" t="n"/>
      <c r="D107" s="11" t="n"/>
      <c r="E107" s="10" t="n"/>
      <c r="F107" s="22" t="n"/>
      <c r="G107" s="24" t="n"/>
      <c r="H107" s="23" t="n"/>
      <c r="I107" s="25" t="n"/>
      <c r="J107" s="10">
        <f>IF(D107="","",IF(H107="✓","完了",IF(G107="","",IF(G107&lt;TODAY(),"期限超過",IF(G107=TODAY(),"今日まで","予定")))))</f>
        <v/>
      </c>
      <c r="K107" s="22" t="n"/>
      <c r="L107" s="26" t="n"/>
    </row>
    <row r="108">
      <c r="A108" s="11" t="n"/>
      <c r="B108" s="11" t="n"/>
      <c r="C108" s="10" t="n"/>
      <c r="D108" s="11" t="n"/>
      <c r="E108" s="10" t="n"/>
      <c r="F108" s="22" t="n"/>
      <c r="G108" s="24" t="n"/>
      <c r="H108" s="23" t="n"/>
      <c r="I108" s="25" t="n"/>
      <c r="J108" s="10">
        <f>IF(D108="","",IF(H108="✓","完了",IF(G108="","",IF(G108&lt;TODAY(),"期限超過",IF(G108=TODAY(),"今日まで","予定")))))</f>
        <v/>
      </c>
      <c r="K108" s="22" t="n"/>
      <c r="L108" s="26" t="n"/>
    </row>
    <row r="109">
      <c r="A109" s="11" t="n"/>
      <c r="B109" s="11" t="n"/>
      <c r="C109" s="10" t="n"/>
      <c r="D109" s="11" t="n"/>
      <c r="E109" s="10" t="n"/>
      <c r="F109" s="22" t="n"/>
      <c r="G109" s="24" t="n"/>
      <c r="H109" s="23" t="n"/>
      <c r="I109" s="25" t="n"/>
      <c r="J109" s="10">
        <f>IF(D109="","",IF(H109="✓","完了",IF(G109="","",IF(G109&lt;TODAY(),"期限超過",IF(G109=TODAY(),"今日まで","予定")))))</f>
        <v/>
      </c>
      <c r="K109" s="22" t="n"/>
      <c r="L109" s="26" t="n"/>
    </row>
    <row r="110">
      <c r="A110" s="11" t="n"/>
      <c r="B110" s="11" t="n"/>
      <c r="C110" s="10" t="n"/>
      <c r="D110" s="11" t="n"/>
      <c r="E110" s="10" t="n"/>
      <c r="F110" s="22" t="n"/>
      <c r="G110" s="24" t="n"/>
      <c r="H110" s="23" t="n"/>
      <c r="I110" s="25" t="n"/>
      <c r="J110" s="10">
        <f>IF(D110="","",IF(H110="✓","完了",IF(G110="","",IF(G110&lt;TODAY(),"期限超過",IF(G110=TODAY(),"今日まで","予定")))))</f>
        <v/>
      </c>
      <c r="K110" s="22" t="n"/>
      <c r="L110" s="26" t="n"/>
    </row>
    <row r="111">
      <c r="A111" s="11" t="n"/>
      <c r="B111" s="11" t="n"/>
      <c r="C111" s="10" t="n"/>
      <c r="D111" s="11" t="n"/>
      <c r="E111" s="10" t="n"/>
      <c r="F111" s="22" t="n"/>
      <c r="G111" s="24" t="n"/>
      <c r="H111" s="23" t="n"/>
      <c r="I111" s="25" t="n"/>
      <c r="J111" s="10">
        <f>IF(D111="","",IF(H111="✓","完了",IF(G111="","",IF(G111&lt;TODAY(),"期限超過",IF(G111=TODAY(),"今日まで","予定")))))</f>
        <v/>
      </c>
      <c r="K111" s="22" t="n"/>
      <c r="L111" s="26" t="n"/>
    </row>
    <row r="112">
      <c r="A112" s="11" t="n"/>
      <c r="B112" s="11" t="n"/>
      <c r="C112" s="10" t="n"/>
      <c r="D112" s="11" t="n"/>
      <c r="E112" s="10" t="n"/>
      <c r="F112" s="22" t="n"/>
      <c r="G112" s="24" t="n"/>
      <c r="H112" s="23" t="n"/>
      <c r="I112" s="25" t="n"/>
      <c r="J112" s="10">
        <f>IF(D112="","",IF(H112="✓","完了",IF(G112="","",IF(G112&lt;TODAY(),"期限超過",IF(G112=TODAY(),"今日まで","予定")))))</f>
        <v/>
      </c>
      <c r="K112" s="22" t="n"/>
      <c r="L112" s="26" t="n"/>
    </row>
    <row r="113">
      <c r="A113" s="11" t="n"/>
      <c r="B113" s="11" t="n"/>
      <c r="C113" s="10" t="n"/>
      <c r="D113" s="11" t="n"/>
      <c r="E113" s="10" t="n"/>
      <c r="F113" s="22" t="n"/>
      <c r="G113" s="24" t="n"/>
      <c r="H113" s="23" t="n"/>
      <c r="I113" s="25" t="n"/>
      <c r="J113" s="10">
        <f>IF(D113="","",IF(H113="✓","完了",IF(G113="","",IF(G113&lt;TODAY(),"期限超過",IF(G113=TODAY(),"今日まで","予定")))))</f>
        <v/>
      </c>
      <c r="K113" s="22" t="n"/>
      <c r="L113" s="26" t="n"/>
    </row>
    <row r="114">
      <c r="A114" s="11" t="n"/>
      <c r="B114" s="11" t="n"/>
      <c r="C114" s="10" t="n"/>
      <c r="D114" s="11" t="n"/>
      <c r="E114" s="10" t="n"/>
      <c r="F114" s="22" t="n"/>
      <c r="G114" s="24" t="n"/>
      <c r="H114" s="23" t="n"/>
      <c r="I114" s="25" t="n"/>
      <c r="J114" s="10">
        <f>IF(D114="","",IF(H114="✓","完了",IF(G114="","",IF(G114&lt;TODAY(),"期限超過",IF(G114=TODAY(),"今日まで","予定")))))</f>
        <v/>
      </c>
      <c r="K114" s="22" t="n"/>
      <c r="L114" s="26" t="n"/>
    </row>
    <row r="115">
      <c r="A115" s="11" t="n"/>
      <c r="B115" s="11" t="n"/>
      <c r="C115" s="10" t="n"/>
      <c r="D115" s="11" t="n"/>
      <c r="E115" s="10" t="n"/>
      <c r="F115" s="22" t="n"/>
      <c r="G115" s="24" t="n"/>
      <c r="H115" s="23" t="n"/>
      <c r="I115" s="25" t="n"/>
      <c r="J115" s="10">
        <f>IF(D115="","",IF(H115="✓","完了",IF(G115="","",IF(G115&lt;TODAY(),"期限超過",IF(G115=TODAY(),"今日まで","予定")))))</f>
        <v/>
      </c>
      <c r="K115" s="22" t="n"/>
      <c r="L115" s="26" t="n"/>
    </row>
    <row r="116">
      <c r="A116" s="11" t="n"/>
      <c r="B116" s="11" t="n"/>
      <c r="C116" s="10" t="n"/>
      <c r="D116" s="11" t="n"/>
      <c r="E116" s="10" t="n"/>
      <c r="F116" s="22" t="n"/>
      <c r="G116" s="24" t="n"/>
      <c r="H116" s="23" t="n"/>
      <c r="I116" s="25" t="n"/>
      <c r="J116" s="10">
        <f>IF(D116="","",IF(H116="✓","完了",IF(G116="","",IF(G116&lt;TODAY(),"期限超過",IF(G116=TODAY(),"今日まで","予定")))))</f>
        <v/>
      </c>
      <c r="K116" s="22" t="n"/>
      <c r="L116" s="26" t="n"/>
    </row>
    <row r="117">
      <c r="A117" s="11" t="n"/>
      <c r="B117" s="11" t="n"/>
      <c r="C117" s="10" t="n"/>
      <c r="D117" s="11" t="n"/>
      <c r="E117" s="10" t="n"/>
      <c r="F117" s="22" t="n"/>
      <c r="G117" s="24" t="n"/>
      <c r="H117" s="23" t="n"/>
      <c r="I117" s="25" t="n"/>
      <c r="J117" s="10">
        <f>IF(D117="","",IF(H117="✓","完了",IF(G117="","",IF(G117&lt;TODAY(),"期限超過",IF(G117=TODAY(),"今日まで","予定")))))</f>
        <v/>
      </c>
      <c r="K117" s="22" t="n"/>
      <c r="L117" s="26" t="n"/>
    </row>
    <row r="118">
      <c r="A118" s="11" t="n"/>
      <c r="B118" s="11" t="n"/>
      <c r="C118" s="10" t="n"/>
      <c r="D118" s="11" t="n"/>
      <c r="E118" s="10" t="n"/>
      <c r="F118" s="22" t="n"/>
      <c r="G118" s="24" t="n"/>
      <c r="H118" s="23" t="n"/>
      <c r="I118" s="25" t="n"/>
      <c r="J118" s="10">
        <f>IF(D118="","",IF(H118="✓","完了",IF(G118="","",IF(G118&lt;TODAY(),"期限超過",IF(G118=TODAY(),"今日まで","予定")))))</f>
        <v/>
      </c>
      <c r="K118" s="22" t="n"/>
      <c r="L118" s="26" t="n"/>
    </row>
    <row r="119">
      <c r="A119" s="11" t="n"/>
      <c r="B119" s="11" t="n"/>
      <c r="C119" s="10" t="n"/>
      <c r="D119" s="11" t="n"/>
      <c r="E119" s="10" t="n"/>
      <c r="F119" s="22" t="n"/>
      <c r="G119" s="24" t="n"/>
      <c r="H119" s="23" t="n"/>
      <c r="I119" s="25" t="n"/>
      <c r="J119" s="10">
        <f>IF(D119="","",IF(H119="✓","完了",IF(G119="","",IF(G119&lt;TODAY(),"期限超過",IF(G119=TODAY(),"今日まで","予定")))))</f>
        <v/>
      </c>
      <c r="K119" s="22" t="n"/>
      <c r="L119" s="26" t="n"/>
    </row>
    <row r="120">
      <c r="A120" s="11" t="n"/>
      <c r="B120" s="11" t="n"/>
      <c r="C120" s="10" t="n"/>
      <c r="D120" s="11" t="n"/>
      <c r="E120" s="10" t="n"/>
      <c r="F120" s="22" t="n"/>
      <c r="G120" s="24" t="n"/>
      <c r="H120" s="23" t="n"/>
      <c r="I120" s="25" t="n"/>
      <c r="J120" s="10">
        <f>IF(D120="","",IF(H120="✓","完了",IF(G120="","",IF(G120&lt;TODAY(),"期限超過",IF(G120=TODAY(),"今日まで","予定")))))</f>
        <v/>
      </c>
      <c r="K120" s="22" t="n"/>
      <c r="L120" s="26" t="n"/>
    </row>
    <row r="121">
      <c r="A121" s="11" t="n"/>
      <c r="B121" s="11" t="n"/>
      <c r="C121" s="10" t="n"/>
      <c r="D121" s="11" t="n"/>
      <c r="E121" s="10" t="n"/>
      <c r="F121" s="22" t="n"/>
      <c r="G121" s="24" t="n"/>
      <c r="H121" s="23" t="n"/>
      <c r="I121" s="25" t="n"/>
      <c r="J121" s="10">
        <f>IF(D121="","",IF(H121="✓","完了",IF(G121="","",IF(G121&lt;TODAY(),"期限超過",IF(G121=TODAY(),"今日まで","予定")))))</f>
        <v/>
      </c>
      <c r="K121" s="22" t="n"/>
      <c r="L121" s="26" t="n"/>
    </row>
    <row r="122">
      <c r="A122" s="11" t="n"/>
      <c r="B122" s="11" t="n"/>
      <c r="C122" s="10" t="n"/>
      <c r="D122" s="11" t="n"/>
      <c r="E122" s="10" t="n"/>
      <c r="F122" s="22" t="n"/>
      <c r="G122" s="24" t="n"/>
      <c r="H122" s="23" t="n"/>
      <c r="I122" s="25" t="n"/>
      <c r="J122" s="10">
        <f>IF(D122="","",IF(H122="✓","完了",IF(G122="","",IF(G122&lt;TODAY(),"期限超過",IF(G122=TODAY(),"今日まで","予定")))))</f>
        <v/>
      </c>
      <c r="K122" s="22" t="n"/>
      <c r="L122" s="26" t="n"/>
    </row>
    <row r="123">
      <c r="A123" s="11" t="n"/>
      <c r="B123" s="11" t="n"/>
      <c r="C123" s="10" t="n"/>
      <c r="D123" s="11" t="n"/>
      <c r="E123" s="10" t="n"/>
      <c r="F123" s="22" t="n"/>
      <c r="G123" s="24" t="n"/>
      <c r="H123" s="23" t="n"/>
      <c r="I123" s="25" t="n"/>
      <c r="J123" s="10">
        <f>IF(D123="","",IF(H123="✓","完了",IF(G123="","",IF(G123&lt;TODAY(),"期限超過",IF(G123=TODAY(),"今日まで","予定")))))</f>
        <v/>
      </c>
      <c r="K123" s="22" t="n"/>
      <c r="L123" s="26" t="n"/>
    </row>
    <row r="124">
      <c r="A124" s="11" t="n"/>
      <c r="B124" s="11" t="n"/>
      <c r="C124" s="10" t="n"/>
      <c r="D124" s="11" t="n"/>
      <c r="E124" s="10" t="n"/>
      <c r="F124" s="22" t="n"/>
      <c r="G124" s="24" t="n"/>
      <c r="H124" s="23" t="n"/>
      <c r="I124" s="25" t="n"/>
      <c r="J124" s="10">
        <f>IF(D124="","",IF(H124="✓","完了",IF(G124="","",IF(G124&lt;TODAY(),"期限超過",IF(G124=TODAY(),"今日まで","予定")))))</f>
        <v/>
      </c>
      <c r="K124" s="22" t="n"/>
      <c r="L124" s="26" t="n"/>
    </row>
    <row r="125">
      <c r="A125" s="11" t="n"/>
      <c r="B125" s="11" t="n"/>
      <c r="C125" s="10" t="n"/>
      <c r="D125" s="11" t="n"/>
      <c r="E125" s="10" t="n"/>
      <c r="F125" s="22" t="n"/>
      <c r="G125" s="24" t="n"/>
      <c r="H125" s="23" t="n"/>
      <c r="I125" s="25" t="n"/>
      <c r="J125" s="10">
        <f>IF(D125="","",IF(H125="✓","完了",IF(G125="","",IF(G125&lt;TODAY(),"期限超過",IF(G125=TODAY(),"今日まで","予定")))))</f>
        <v/>
      </c>
      <c r="K125" s="22" t="n"/>
      <c r="L125" s="26" t="n"/>
    </row>
    <row r="126">
      <c r="A126" s="11" t="n"/>
      <c r="B126" s="11" t="n"/>
      <c r="C126" s="10" t="n"/>
      <c r="D126" s="11" t="n"/>
      <c r="E126" s="10" t="n"/>
      <c r="F126" s="22" t="n"/>
      <c r="G126" s="24" t="n"/>
      <c r="H126" s="23" t="n"/>
      <c r="I126" s="25" t="n"/>
      <c r="J126" s="10">
        <f>IF(D126="","",IF(H126="✓","完了",IF(G126="","",IF(G126&lt;TODAY(),"期限超過",IF(G126=TODAY(),"今日まで","予定")))))</f>
        <v/>
      </c>
      <c r="K126" s="22" t="n"/>
      <c r="L126" s="26" t="n"/>
    </row>
    <row r="127">
      <c r="A127" s="11" t="n"/>
      <c r="B127" s="11" t="n"/>
      <c r="C127" s="10" t="n"/>
      <c r="D127" s="11" t="n"/>
      <c r="E127" s="10" t="n"/>
      <c r="F127" s="22" t="n"/>
      <c r="G127" s="24" t="n"/>
      <c r="H127" s="23" t="n"/>
      <c r="I127" s="25" t="n"/>
      <c r="J127" s="10">
        <f>IF(D127="","",IF(H127="✓","完了",IF(G127="","",IF(G127&lt;TODAY(),"期限超過",IF(G127=TODAY(),"今日まで","予定")))))</f>
        <v/>
      </c>
      <c r="K127" s="22" t="n"/>
      <c r="L127" s="26" t="n"/>
    </row>
    <row r="128">
      <c r="A128" s="11" t="n"/>
      <c r="B128" s="11" t="n"/>
      <c r="C128" s="10" t="n"/>
      <c r="D128" s="11" t="n"/>
      <c r="E128" s="10" t="n"/>
      <c r="F128" s="22" t="n"/>
      <c r="G128" s="24" t="n"/>
      <c r="H128" s="23" t="n"/>
      <c r="I128" s="25" t="n"/>
      <c r="J128" s="10">
        <f>IF(D128="","",IF(H128="✓","完了",IF(G128="","",IF(G128&lt;TODAY(),"期限超過",IF(G128=TODAY(),"今日まで","予定")))))</f>
        <v/>
      </c>
      <c r="K128" s="22" t="n"/>
      <c r="L128" s="26" t="n"/>
    </row>
    <row r="129">
      <c r="A129" s="11" t="n"/>
      <c r="B129" s="11" t="n"/>
      <c r="C129" s="10" t="n"/>
      <c r="D129" s="11" t="n"/>
      <c r="E129" s="10" t="n"/>
      <c r="F129" s="22" t="n"/>
      <c r="G129" s="24" t="n"/>
      <c r="H129" s="23" t="n"/>
      <c r="I129" s="25" t="n"/>
      <c r="J129" s="10">
        <f>IF(D129="","",IF(H129="✓","完了",IF(G129="","",IF(G129&lt;TODAY(),"期限超過",IF(G129=TODAY(),"今日まで","予定")))))</f>
        <v/>
      </c>
      <c r="K129" s="22" t="n"/>
      <c r="L129" s="26" t="n"/>
    </row>
    <row r="130">
      <c r="A130" s="11" t="n"/>
      <c r="B130" s="11" t="n"/>
      <c r="C130" s="10" t="n"/>
      <c r="D130" s="11" t="n"/>
      <c r="E130" s="10" t="n"/>
      <c r="F130" s="22" t="n"/>
      <c r="G130" s="24" t="n"/>
      <c r="H130" s="23" t="n"/>
      <c r="I130" s="25" t="n"/>
      <c r="J130" s="10">
        <f>IF(D130="","",IF(H130="✓","完了",IF(G130="","",IF(G130&lt;TODAY(),"期限超過",IF(G130=TODAY(),"今日まで","予定")))))</f>
        <v/>
      </c>
      <c r="K130" s="22" t="n"/>
      <c r="L130" s="26" t="n"/>
    </row>
    <row r="131">
      <c r="A131" s="11" t="n"/>
      <c r="B131" s="11" t="n"/>
      <c r="C131" s="10" t="n"/>
      <c r="D131" s="11" t="n"/>
      <c r="E131" s="10" t="n"/>
      <c r="F131" s="22" t="n"/>
      <c r="G131" s="24" t="n"/>
      <c r="H131" s="23" t="n"/>
      <c r="I131" s="25" t="n"/>
      <c r="J131" s="10">
        <f>IF(D131="","",IF(H131="✓","完了",IF(G131="","",IF(G131&lt;TODAY(),"期限超過",IF(G131=TODAY(),"今日まで","予定")))))</f>
        <v/>
      </c>
      <c r="K131" s="22" t="n"/>
      <c r="L131" s="26" t="n"/>
    </row>
    <row r="132">
      <c r="A132" s="11" t="n"/>
      <c r="B132" s="11" t="n"/>
      <c r="C132" s="10" t="n"/>
      <c r="D132" s="11" t="n"/>
      <c r="E132" s="10" t="n"/>
      <c r="F132" s="22" t="n"/>
      <c r="G132" s="24" t="n"/>
      <c r="H132" s="23" t="n"/>
      <c r="I132" s="25" t="n"/>
      <c r="J132" s="10">
        <f>IF(D132="","",IF(H132="✓","完了",IF(G132="","",IF(G132&lt;TODAY(),"期限超過",IF(G132=TODAY(),"今日まで","予定")))))</f>
        <v/>
      </c>
      <c r="K132" s="22" t="n"/>
      <c r="L132" s="26" t="n"/>
    </row>
    <row r="133">
      <c r="A133" s="11" t="n"/>
      <c r="B133" s="11" t="n"/>
      <c r="C133" s="10" t="n"/>
      <c r="D133" s="11" t="n"/>
      <c r="E133" s="10" t="n"/>
      <c r="F133" s="22" t="n"/>
      <c r="G133" s="24" t="n"/>
      <c r="H133" s="23" t="n"/>
      <c r="I133" s="25" t="n"/>
      <c r="J133" s="10">
        <f>IF(D133="","",IF(H133="✓","完了",IF(G133="","",IF(G133&lt;TODAY(),"期限超過",IF(G133=TODAY(),"今日まで","予定")))))</f>
        <v/>
      </c>
      <c r="K133" s="22" t="n"/>
      <c r="L133" s="26" t="n"/>
    </row>
    <row r="134">
      <c r="A134" s="11" t="n"/>
      <c r="B134" s="11" t="n"/>
      <c r="C134" s="10" t="n"/>
      <c r="D134" s="11" t="n"/>
      <c r="E134" s="10" t="n"/>
      <c r="F134" s="22" t="n"/>
      <c r="G134" s="24" t="n"/>
      <c r="H134" s="23" t="n"/>
      <c r="I134" s="25" t="n"/>
      <c r="J134" s="10">
        <f>IF(D134="","",IF(H134="✓","完了",IF(G134="","",IF(G134&lt;TODAY(),"期限超過",IF(G134=TODAY(),"今日まで","予定")))))</f>
        <v/>
      </c>
      <c r="K134" s="22" t="n"/>
      <c r="L134" s="26" t="n"/>
    </row>
    <row r="135">
      <c r="A135" s="11" t="n"/>
      <c r="B135" s="11" t="n"/>
      <c r="C135" s="10" t="n"/>
      <c r="D135" s="11" t="n"/>
      <c r="E135" s="10" t="n"/>
      <c r="F135" s="22" t="n"/>
      <c r="G135" s="24" t="n"/>
      <c r="H135" s="23" t="n"/>
      <c r="I135" s="25" t="n"/>
      <c r="J135" s="10">
        <f>IF(D135="","",IF(H135="✓","完了",IF(G135="","",IF(G135&lt;TODAY(),"期限超過",IF(G135=TODAY(),"今日まで","予定")))))</f>
        <v/>
      </c>
      <c r="K135" s="22" t="n"/>
      <c r="L135" s="26" t="n"/>
    </row>
    <row r="136">
      <c r="A136" s="11" t="n"/>
      <c r="B136" s="11" t="n"/>
      <c r="C136" s="10" t="n"/>
      <c r="D136" s="11" t="n"/>
      <c r="E136" s="10" t="n"/>
      <c r="F136" s="22" t="n"/>
      <c r="G136" s="24" t="n"/>
      <c r="H136" s="23" t="n"/>
      <c r="I136" s="25" t="n"/>
      <c r="J136" s="10">
        <f>IF(D136="","",IF(H136="✓","完了",IF(G136="","",IF(G136&lt;TODAY(),"期限超過",IF(G136=TODAY(),"今日まで","予定")))))</f>
        <v/>
      </c>
      <c r="K136" s="22" t="n"/>
      <c r="L136" s="26" t="n"/>
    </row>
    <row r="137">
      <c r="A137" s="11" t="n"/>
      <c r="B137" s="11" t="n"/>
      <c r="C137" s="10" t="n"/>
      <c r="D137" s="11" t="n"/>
      <c r="E137" s="10" t="n"/>
      <c r="F137" s="22" t="n"/>
      <c r="G137" s="24" t="n"/>
      <c r="H137" s="23" t="n"/>
      <c r="I137" s="25" t="n"/>
      <c r="J137" s="10">
        <f>IF(D137="","",IF(H137="✓","完了",IF(G137="","",IF(G137&lt;TODAY(),"期限超過",IF(G137=TODAY(),"今日まで","予定")))))</f>
        <v/>
      </c>
      <c r="K137" s="22" t="n"/>
      <c r="L137" s="26" t="n"/>
    </row>
    <row r="138">
      <c r="A138" s="11" t="n"/>
      <c r="B138" s="11" t="n"/>
      <c r="C138" s="10" t="n"/>
      <c r="D138" s="11" t="n"/>
      <c r="E138" s="10" t="n"/>
      <c r="F138" s="22" t="n"/>
      <c r="G138" s="24" t="n"/>
      <c r="H138" s="23" t="n"/>
      <c r="I138" s="25" t="n"/>
      <c r="J138" s="10">
        <f>IF(D138="","",IF(H138="✓","完了",IF(G138="","",IF(G138&lt;TODAY(),"期限超過",IF(G138=TODAY(),"今日まで","予定")))))</f>
        <v/>
      </c>
      <c r="K138" s="22" t="n"/>
      <c r="L138" s="26" t="n"/>
    </row>
    <row r="139">
      <c r="A139" s="11" t="n"/>
      <c r="B139" s="11" t="n"/>
      <c r="C139" s="10" t="n"/>
      <c r="D139" s="11" t="n"/>
      <c r="E139" s="10" t="n"/>
      <c r="F139" s="22" t="n"/>
      <c r="G139" s="24" t="n"/>
      <c r="H139" s="23" t="n"/>
      <c r="I139" s="25" t="n"/>
      <c r="J139" s="10">
        <f>IF(D139="","",IF(H139="✓","完了",IF(G139="","",IF(G139&lt;TODAY(),"期限超過",IF(G139=TODAY(),"今日まで","予定")))))</f>
        <v/>
      </c>
      <c r="K139" s="22" t="n"/>
      <c r="L139" s="26" t="n"/>
    </row>
    <row r="140">
      <c r="A140" s="11" t="n"/>
      <c r="B140" s="11" t="n"/>
      <c r="C140" s="10" t="n"/>
      <c r="D140" s="11" t="n"/>
      <c r="E140" s="10" t="n"/>
      <c r="F140" s="22" t="n"/>
      <c r="G140" s="24" t="n"/>
      <c r="H140" s="23" t="n"/>
      <c r="I140" s="25" t="n"/>
      <c r="J140" s="10">
        <f>IF(D140="","",IF(H140="✓","完了",IF(G140="","",IF(G140&lt;TODAY(),"期限超過",IF(G140=TODAY(),"今日まで","予定")))))</f>
        <v/>
      </c>
      <c r="K140" s="22" t="n"/>
      <c r="L140" s="26" t="n"/>
    </row>
    <row r="141">
      <c r="A141" s="11" t="n"/>
      <c r="B141" s="11" t="n"/>
      <c r="C141" s="10" t="n"/>
      <c r="D141" s="11" t="n"/>
      <c r="E141" s="10" t="n"/>
      <c r="F141" s="22" t="n"/>
      <c r="G141" s="24" t="n"/>
      <c r="H141" s="23" t="n"/>
      <c r="I141" s="25" t="n"/>
      <c r="J141" s="10">
        <f>IF(D141="","",IF(H141="✓","完了",IF(G141="","",IF(G141&lt;TODAY(),"期限超過",IF(G141=TODAY(),"今日まで","予定")))))</f>
        <v/>
      </c>
      <c r="K141" s="22" t="n"/>
      <c r="L141" s="26" t="n"/>
    </row>
    <row r="142">
      <c r="A142" s="11" t="n"/>
      <c r="B142" s="11" t="n"/>
      <c r="C142" s="10" t="n"/>
      <c r="D142" s="11" t="n"/>
      <c r="E142" s="10" t="n"/>
      <c r="F142" s="22" t="n"/>
      <c r="G142" s="24" t="n"/>
      <c r="H142" s="23" t="n"/>
      <c r="I142" s="25" t="n"/>
      <c r="J142" s="10">
        <f>IF(D142="","",IF(H142="✓","完了",IF(G142="","",IF(G142&lt;TODAY(),"期限超過",IF(G142=TODAY(),"今日まで","予定")))))</f>
        <v/>
      </c>
      <c r="K142" s="22" t="n"/>
      <c r="L142" s="26" t="n"/>
    </row>
    <row r="143">
      <c r="A143" s="11" t="n"/>
      <c r="B143" s="11" t="n"/>
      <c r="C143" s="10" t="n"/>
      <c r="D143" s="11" t="n"/>
      <c r="E143" s="10" t="n"/>
      <c r="F143" s="22" t="n"/>
      <c r="G143" s="24" t="n"/>
      <c r="H143" s="23" t="n"/>
      <c r="I143" s="25" t="n"/>
      <c r="J143" s="10">
        <f>IF(D143="","",IF(H143="✓","完了",IF(G143="","",IF(G143&lt;TODAY(),"期限超過",IF(G143=TODAY(),"今日まで","予定")))))</f>
        <v/>
      </c>
      <c r="K143" s="22" t="n"/>
      <c r="L143" s="26" t="n"/>
    </row>
    <row r="144">
      <c r="A144" s="11" t="n"/>
      <c r="B144" s="11" t="n"/>
      <c r="C144" s="10" t="n"/>
      <c r="D144" s="11" t="n"/>
      <c r="E144" s="10" t="n"/>
      <c r="F144" s="22" t="n"/>
      <c r="G144" s="24" t="n"/>
      <c r="H144" s="23" t="n"/>
      <c r="I144" s="25" t="n"/>
      <c r="J144" s="10">
        <f>IF(D144="","",IF(H144="✓","完了",IF(G144="","",IF(G144&lt;TODAY(),"期限超過",IF(G144=TODAY(),"今日まで","予定")))))</f>
        <v/>
      </c>
      <c r="K144" s="22" t="n"/>
      <c r="L144" s="26" t="n"/>
    </row>
    <row r="145">
      <c r="A145" s="11" t="n"/>
      <c r="B145" s="11" t="n"/>
      <c r="C145" s="10" t="n"/>
      <c r="D145" s="11" t="n"/>
      <c r="E145" s="10" t="n"/>
      <c r="F145" s="22" t="n"/>
      <c r="G145" s="24" t="n"/>
      <c r="H145" s="23" t="n"/>
      <c r="I145" s="25" t="n"/>
      <c r="J145" s="10">
        <f>IF(D145="","",IF(H145="✓","完了",IF(G145="","",IF(G145&lt;TODAY(),"期限超過",IF(G145=TODAY(),"今日まで","予定")))))</f>
        <v/>
      </c>
      <c r="K145" s="22" t="n"/>
      <c r="L145" s="26" t="n"/>
    </row>
    <row r="146">
      <c r="A146" s="11" t="n"/>
      <c r="B146" s="11" t="n"/>
      <c r="C146" s="10" t="n"/>
      <c r="D146" s="11" t="n"/>
      <c r="E146" s="10" t="n"/>
      <c r="F146" s="22" t="n"/>
      <c r="G146" s="24" t="n"/>
      <c r="H146" s="23" t="n"/>
      <c r="I146" s="25" t="n"/>
      <c r="J146" s="10">
        <f>IF(D146="","",IF(H146="✓","完了",IF(G146="","",IF(G146&lt;TODAY(),"期限超過",IF(G146=TODAY(),"今日まで","予定")))))</f>
        <v/>
      </c>
      <c r="K146" s="22" t="n"/>
      <c r="L146" s="26" t="n"/>
    </row>
    <row r="147">
      <c r="A147" s="11" t="n"/>
      <c r="B147" s="11" t="n"/>
      <c r="C147" s="10" t="n"/>
      <c r="D147" s="11" t="n"/>
      <c r="E147" s="10" t="n"/>
      <c r="F147" s="22" t="n"/>
      <c r="G147" s="24" t="n"/>
      <c r="H147" s="23" t="n"/>
      <c r="I147" s="25" t="n"/>
      <c r="J147" s="10">
        <f>IF(D147="","",IF(H147="✓","完了",IF(G147="","",IF(G147&lt;TODAY(),"期限超過",IF(G147=TODAY(),"今日まで","予定")))))</f>
        <v/>
      </c>
      <c r="K147" s="22" t="n"/>
      <c r="L147" s="26" t="n"/>
    </row>
    <row r="148">
      <c r="A148" s="11" t="n"/>
      <c r="B148" s="11" t="n"/>
      <c r="C148" s="10" t="n"/>
      <c r="D148" s="11" t="n"/>
      <c r="E148" s="10" t="n"/>
      <c r="F148" s="22" t="n"/>
      <c r="G148" s="24" t="n"/>
      <c r="H148" s="23" t="n"/>
      <c r="I148" s="25" t="n"/>
      <c r="J148" s="10">
        <f>IF(D148="","",IF(H148="✓","完了",IF(G148="","",IF(G148&lt;TODAY(),"期限超過",IF(G148=TODAY(),"今日まで","予定")))))</f>
        <v/>
      </c>
      <c r="K148" s="22" t="n"/>
      <c r="L148" s="26" t="n"/>
    </row>
    <row r="149">
      <c r="A149" s="11" t="n"/>
      <c r="B149" s="11" t="n"/>
      <c r="C149" s="10" t="n"/>
      <c r="D149" s="11" t="n"/>
      <c r="E149" s="10" t="n"/>
      <c r="F149" s="22" t="n"/>
      <c r="G149" s="24" t="n"/>
      <c r="H149" s="23" t="n"/>
      <c r="I149" s="25" t="n"/>
      <c r="J149" s="10">
        <f>IF(D149="","",IF(H149="✓","完了",IF(G149="","",IF(G149&lt;TODAY(),"期限超過",IF(G149=TODAY(),"今日まで","予定")))))</f>
        <v/>
      </c>
      <c r="K149" s="22" t="n"/>
      <c r="L149" s="26" t="n"/>
    </row>
    <row r="150">
      <c r="A150" s="11" t="n"/>
      <c r="B150" s="11" t="n"/>
      <c r="C150" s="10" t="n"/>
      <c r="D150" s="11" t="n"/>
      <c r="E150" s="10" t="n"/>
      <c r="F150" s="22" t="n"/>
      <c r="G150" s="24" t="n"/>
      <c r="H150" s="23" t="n"/>
      <c r="I150" s="25" t="n"/>
      <c r="J150" s="10">
        <f>IF(D150="","",IF(H150="✓","完了",IF(G150="","",IF(G150&lt;TODAY(),"期限超過",IF(G150=TODAY(),"今日まで","予定")))))</f>
        <v/>
      </c>
      <c r="K150" s="22" t="n"/>
      <c r="L150" s="26" t="n"/>
    </row>
    <row r="151">
      <c r="A151" s="11" t="n"/>
      <c r="B151" s="11" t="n"/>
      <c r="C151" s="10" t="n"/>
      <c r="D151" s="11" t="n"/>
      <c r="E151" s="10" t="n"/>
      <c r="F151" s="22" t="n"/>
      <c r="G151" s="24" t="n"/>
      <c r="H151" s="23" t="n"/>
      <c r="I151" s="25" t="n"/>
      <c r="J151" s="10">
        <f>IF(D151="","",IF(H151="✓","完了",IF(G151="","",IF(G151&lt;TODAY(),"期限超過",IF(G151=TODAY(),"今日まで","予定")))))</f>
        <v/>
      </c>
      <c r="K151" s="22" t="n"/>
      <c r="L151" s="26" t="n"/>
    </row>
    <row r="152">
      <c r="A152" s="11" t="n"/>
      <c r="B152" s="11" t="n"/>
      <c r="C152" s="10" t="n"/>
      <c r="D152" s="11" t="n"/>
      <c r="E152" s="10" t="n"/>
      <c r="F152" s="22" t="n"/>
      <c r="G152" s="24" t="n"/>
      <c r="H152" s="23" t="n"/>
      <c r="I152" s="25" t="n"/>
      <c r="J152" s="10">
        <f>IF(D152="","",IF(H152="✓","完了",IF(G152="","",IF(G152&lt;TODAY(),"期限超過",IF(G152=TODAY(),"今日まで","予定")))))</f>
        <v/>
      </c>
      <c r="K152" s="22" t="n"/>
      <c r="L152" s="26" t="n"/>
    </row>
    <row r="153">
      <c r="A153" s="11" t="n"/>
      <c r="B153" s="11" t="n"/>
      <c r="C153" s="10" t="n"/>
      <c r="D153" s="11" t="n"/>
      <c r="E153" s="10" t="n"/>
      <c r="F153" s="22" t="n"/>
      <c r="G153" s="24" t="n"/>
      <c r="H153" s="23" t="n"/>
      <c r="I153" s="25" t="n"/>
      <c r="J153" s="10">
        <f>IF(D153="","",IF(H153="✓","完了",IF(G153="","",IF(G153&lt;TODAY(),"期限超過",IF(G153=TODAY(),"今日まで","予定")))))</f>
        <v/>
      </c>
      <c r="K153" s="22" t="n"/>
      <c r="L153" s="26" t="n"/>
    </row>
    <row r="154">
      <c r="A154" s="11" t="n"/>
      <c r="B154" s="11" t="n"/>
      <c r="C154" s="10" t="n"/>
      <c r="D154" s="11" t="n"/>
      <c r="E154" s="10" t="n"/>
      <c r="F154" s="22" t="n"/>
      <c r="G154" s="24" t="n"/>
      <c r="H154" s="23" t="n"/>
      <c r="I154" s="25" t="n"/>
      <c r="J154" s="10">
        <f>IF(D154="","",IF(H154="✓","完了",IF(G154="","",IF(G154&lt;TODAY(),"期限超過",IF(G154=TODAY(),"今日まで","予定")))))</f>
        <v/>
      </c>
      <c r="K154" s="22" t="n"/>
      <c r="L154" s="26" t="n"/>
    </row>
    <row r="155">
      <c r="A155" s="11" t="n"/>
      <c r="B155" s="11" t="n"/>
      <c r="C155" s="10" t="n"/>
      <c r="D155" s="11" t="n"/>
      <c r="E155" s="10" t="n"/>
      <c r="F155" s="22" t="n"/>
      <c r="G155" s="24" t="n"/>
      <c r="H155" s="23" t="n"/>
      <c r="I155" s="25" t="n"/>
      <c r="J155" s="10">
        <f>IF(D155="","",IF(H155="✓","完了",IF(G155="","",IF(G155&lt;TODAY(),"期限超過",IF(G155=TODAY(),"今日まで","予定")))))</f>
        <v/>
      </c>
      <c r="K155" s="22" t="n"/>
      <c r="L155" s="26" t="n"/>
    </row>
    <row r="156">
      <c r="A156" s="11" t="n"/>
      <c r="B156" s="11" t="n"/>
      <c r="C156" s="10" t="n"/>
      <c r="D156" s="11" t="n"/>
      <c r="E156" s="10" t="n"/>
      <c r="F156" s="22" t="n"/>
      <c r="G156" s="24" t="n"/>
      <c r="H156" s="23" t="n"/>
      <c r="I156" s="25" t="n"/>
      <c r="J156" s="10">
        <f>IF(D156="","",IF(H156="✓","完了",IF(G156="","",IF(G156&lt;TODAY(),"期限超過",IF(G156=TODAY(),"今日まで","予定")))))</f>
        <v/>
      </c>
      <c r="K156" s="22" t="n"/>
      <c r="L156" s="26" t="n"/>
    </row>
    <row r="157">
      <c r="A157" s="11" t="n"/>
      <c r="B157" s="11" t="n"/>
      <c r="C157" s="10" t="n"/>
      <c r="D157" s="11" t="n"/>
      <c r="E157" s="10" t="n"/>
      <c r="F157" s="22" t="n"/>
      <c r="G157" s="24" t="n"/>
      <c r="H157" s="23" t="n"/>
      <c r="I157" s="25" t="n"/>
      <c r="J157" s="10">
        <f>IF(D157="","",IF(H157="✓","完了",IF(G157="","",IF(G157&lt;TODAY(),"期限超過",IF(G157=TODAY(),"今日まで","予定")))))</f>
        <v/>
      </c>
      <c r="K157" s="22" t="n"/>
      <c r="L157" s="26" t="n"/>
    </row>
    <row r="158">
      <c r="A158" s="11" t="n"/>
      <c r="B158" s="11" t="n"/>
      <c r="C158" s="10" t="n"/>
      <c r="D158" s="11" t="n"/>
      <c r="E158" s="10" t="n"/>
      <c r="F158" s="22" t="n"/>
      <c r="G158" s="24" t="n"/>
      <c r="H158" s="23" t="n"/>
      <c r="I158" s="25" t="n"/>
      <c r="J158" s="10">
        <f>IF(D158="","",IF(H158="✓","完了",IF(G158="","",IF(G158&lt;TODAY(),"期限超過",IF(G158=TODAY(),"今日まで","予定")))))</f>
        <v/>
      </c>
      <c r="K158" s="22" t="n"/>
      <c r="L158" s="26" t="n"/>
    </row>
    <row r="159">
      <c r="A159" s="11" t="n"/>
      <c r="B159" s="11" t="n"/>
      <c r="C159" s="10" t="n"/>
      <c r="D159" s="11" t="n"/>
      <c r="E159" s="10" t="n"/>
      <c r="F159" s="22" t="n"/>
      <c r="G159" s="24" t="n"/>
      <c r="H159" s="23" t="n"/>
      <c r="I159" s="25" t="n"/>
      <c r="J159" s="10">
        <f>IF(D159="","",IF(H159="✓","完了",IF(G159="","",IF(G159&lt;TODAY(),"期限超過",IF(G159=TODAY(),"今日まで","予定")))))</f>
        <v/>
      </c>
      <c r="K159" s="22" t="n"/>
      <c r="L159" s="26" t="n"/>
    </row>
    <row r="160">
      <c r="A160" s="11" t="n"/>
      <c r="B160" s="11" t="n"/>
      <c r="C160" s="10" t="n"/>
      <c r="D160" s="11" t="n"/>
      <c r="E160" s="10" t="n"/>
      <c r="F160" s="22" t="n"/>
      <c r="G160" s="24" t="n"/>
      <c r="H160" s="23" t="n"/>
      <c r="I160" s="25" t="n"/>
      <c r="J160" s="10">
        <f>IF(D160="","",IF(H160="✓","完了",IF(G160="","",IF(G160&lt;TODAY(),"期限超過",IF(G160=TODAY(),"今日まで","予定")))))</f>
        <v/>
      </c>
      <c r="K160" s="22" t="n"/>
      <c r="L160" s="26" t="n"/>
    </row>
    <row r="161">
      <c r="A161" s="11" t="n"/>
      <c r="B161" s="11" t="n"/>
      <c r="C161" s="10" t="n"/>
      <c r="D161" s="11" t="n"/>
      <c r="E161" s="10" t="n"/>
      <c r="F161" s="22" t="n"/>
      <c r="G161" s="24" t="n"/>
      <c r="H161" s="23" t="n"/>
      <c r="I161" s="25" t="n"/>
      <c r="J161" s="10">
        <f>IF(D161="","",IF(H161="✓","完了",IF(G161="","",IF(G161&lt;TODAY(),"期限超過",IF(G161=TODAY(),"今日まで","予定")))))</f>
        <v/>
      </c>
      <c r="K161" s="22" t="n"/>
      <c r="L161" s="26" t="n"/>
    </row>
    <row r="162">
      <c r="A162" s="11" t="n"/>
      <c r="B162" s="11" t="n"/>
      <c r="C162" s="10" t="n"/>
      <c r="D162" s="11" t="n"/>
      <c r="E162" s="10" t="n"/>
      <c r="F162" s="22" t="n"/>
      <c r="G162" s="24" t="n"/>
      <c r="H162" s="23" t="n"/>
      <c r="I162" s="25" t="n"/>
      <c r="J162" s="10">
        <f>IF(D162="","",IF(H162="✓","完了",IF(G162="","",IF(G162&lt;TODAY(),"期限超過",IF(G162=TODAY(),"今日まで","予定")))))</f>
        <v/>
      </c>
      <c r="K162" s="22" t="n"/>
      <c r="L162" s="26" t="n"/>
    </row>
    <row r="163">
      <c r="A163" s="11" t="n"/>
      <c r="B163" s="11" t="n"/>
      <c r="C163" s="10" t="n"/>
      <c r="D163" s="11" t="n"/>
      <c r="E163" s="10" t="n"/>
      <c r="F163" s="22" t="n"/>
      <c r="G163" s="24" t="n"/>
      <c r="H163" s="23" t="n"/>
      <c r="I163" s="25" t="n"/>
      <c r="J163" s="10">
        <f>IF(D163="","",IF(H163="✓","完了",IF(G163="","",IF(G163&lt;TODAY(),"期限超過",IF(G163=TODAY(),"今日まで","予定")))))</f>
        <v/>
      </c>
      <c r="K163" s="22" t="n"/>
      <c r="L163" s="26" t="n"/>
    </row>
    <row r="164">
      <c r="A164" s="11" t="n"/>
      <c r="B164" s="11" t="n"/>
      <c r="C164" s="10" t="n"/>
      <c r="D164" s="11" t="n"/>
      <c r="E164" s="10" t="n"/>
      <c r="F164" s="22" t="n"/>
      <c r="G164" s="24" t="n"/>
      <c r="H164" s="23" t="n"/>
      <c r="I164" s="25" t="n"/>
      <c r="J164" s="10">
        <f>IF(D164="","",IF(H164="✓","完了",IF(G164="","",IF(G164&lt;TODAY(),"期限超過",IF(G164=TODAY(),"今日まで","予定")))))</f>
        <v/>
      </c>
      <c r="K164" s="22" t="n"/>
      <c r="L164" s="26" t="n"/>
    </row>
    <row r="165">
      <c r="A165" s="11" t="n"/>
      <c r="B165" s="11" t="n"/>
      <c r="C165" s="10" t="n"/>
      <c r="D165" s="11" t="n"/>
      <c r="E165" s="10" t="n"/>
      <c r="F165" s="22" t="n"/>
      <c r="G165" s="24" t="n"/>
      <c r="H165" s="23" t="n"/>
      <c r="I165" s="25" t="n"/>
      <c r="J165" s="10">
        <f>IF(D165="","",IF(H165="✓","完了",IF(G165="","",IF(G165&lt;TODAY(),"期限超過",IF(G165=TODAY(),"今日まで","予定")))))</f>
        <v/>
      </c>
      <c r="K165" s="22" t="n"/>
      <c r="L165" s="26" t="n"/>
    </row>
    <row r="166">
      <c r="A166" s="11" t="n"/>
      <c r="B166" s="11" t="n"/>
      <c r="C166" s="10" t="n"/>
      <c r="D166" s="11" t="n"/>
      <c r="E166" s="10" t="n"/>
      <c r="F166" s="22" t="n"/>
      <c r="G166" s="24" t="n"/>
      <c r="H166" s="23" t="n"/>
      <c r="I166" s="25" t="n"/>
      <c r="J166" s="10">
        <f>IF(D166="","",IF(H166="✓","完了",IF(G166="","",IF(G166&lt;TODAY(),"期限超過",IF(G166=TODAY(),"今日まで","予定")))))</f>
        <v/>
      </c>
      <c r="K166" s="22" t="n"/>
      <c r="L166" s="26" t="n"/>
    </row>
    <row r="167">
      <c r="A167" s="11" t="n"/>
      <c r="B167" s="11" t="n"/>
      <c r="C167" s="10" t="n"/>
      <c r="D167" s="11" t="n"/>
      <c r="E167" s="10" t="n"/>
      <c r="F167" s="22" t="n"/>
      <c r="G167" s="24" t="n"/>
      <c r="H167" s="23" t="n"/>
      <c r="I167" s="25" t="n"/>
      <c r="J167" s="10">
        <f>IF(D167="","",IF(H167="✓","完了",IF(G167="","",IF(G167&lt;TODAY(),"期限超過",IF(G167=TODAY(),"今日まで","予定")))))</f>
        <v/>
      </c>
      <c r="K167" s="22" t="n"/>
      <c r="L167" s="26" t="n"/>
    </row>
    <row r="168">
      <c r="A168" s="11" t="n"/>
      <c r="B168" s="11" t="n"/>
      <c r="C168" s="10" t="n"/>
      <c r="D168" s="11" t="n"/>
      <c r="E168" s="10" t="n"/>
      <c r="F168" s="22" t="n"/>
      <c r="G168" s="24" t="n"/>
      <c r="H168" s="23" t="n"/>
      <c r="I168" s="25" t="n"/>
      <c r="J168" s="10">
        <f>IF(D168="","",IF(H168="✓","完了",IF(G168="","",IF(G168&lt;TODAY(),"期限超過",IF(G168=TODAY(),"今日まで","予定")))))</f>
        <v/>
      </c>
      <c r="K168" s="22" t="n"/>
      <c r="L168" s="26" t="n"/>
    </row>
    <row r="169">
      <c r="A169" s="11" t="n"/>
      <c r="B169" s="11" t="n"/>
      <c r="C169" s="10" t="n"/>
      <c r="D169" s="11" t="n"/>
      <c r="E169" s="10" t="n"/>
      <c r="F169" s="22" t="n"/>
      <c r="G169" s="24" t="n"/>
      <c r="H169" s="23" t="n"/>
      <c r="I169" s="25" t="n"/>
      <c r="J169" s="10">
        <f>IF(D169="","",IF(H169="✓","完了",IF(G169="","",IF(G169&lt;TODAY(),"期限超過",IF(G169=TODAY(),"今日まで","予定")))))</f>
        <v/>
      </c>
      <c r="K169" s="22" t="n"/>
      <c r="L169" s="26" t="n"/>
    </row>
    <row r="170">
      <c r="A170" s="11" t="n"/>
      <c r="B170" s="11" t="n"/>
      <c r="C170" s="10" t="n"/>
      <c r="D170" s="11" t="n"/>
      <c r="E170" s="10" t="n"/>
      <c r="F170" s="22" t="n"/>
      <c r="G170" s="24" t="n"/>
      <c r="H170" s="23" t="n"/>
      <c r="I170" s="25" t="n"/>
      <c r="J170" s="10">
        <f>IF(D170="","",IF(H170="✓","完了",IF(G170="","",IF(G170&lt;TODAY(),"期限超過",IF(G170=TODAY(),"今日まで","予定")))))</f>
        <v/>
      </c>
      <c r="K170" s="22" t="n"/>
      <c r="L170" s="26" t="n"/>
    </row>
    <row r="171">
      <c r="A171" s="11" t="n"/>
      <c r="B171" s="11" t="n"/>
      <c r="C171" s="10" t="n"/>
      <c r="D171" s="11" t="n"/>
      <c r="E171" s="10" t="n"/>
      <c r="F171" s="22" t="n"/>
      <c r="G171" s="24" t="n"/>
      <c r="H171" s="23" t="n"/>
      <c r="I171" s="25" t="n"/>
      <c r="J171" s="10">
        <f>IF(D171="","",IF(H171="✓","完了",IF(G171="","",IF(G171&lt;TODAY(),"期限超過",IF(G171=TODAY(),"今日まで","予定")))))</f>
        <v/>
      </c>
      <c r="K171" s="22" t="n"/>
      <c r="L171" s="26" t="n"/>
    </row>
    <row r="172">
      <c r="A172" s="11" t="n"/>
      <c r="B172" s="11" t="n"/>
      <c r="C172" s="10" t="n"/>
      <c r="D172" s="11" t="n"/>
      <c r="E172" s="10" t="n"/>
      <c r="F172" s="22" t="n"/>
      <c r="G172" s="24" t="n"/>
      <c r="H172" s="23" t="n"/>
      <c r="I172" s="25" t="n"/>
      <c r="J172" s="10">
        <f>IF(D172="","",IF(H172="✓","完了",IF(G172="","",IF(G172&lt;TODAY(),"期限超過",IF(G172=TODAY(),"今日まで","予定")))))</f>
        <v/>
      </c>
      <c r="K172" s="22" t="n"/>
      <c r="L172" s="26" t="n"/>
    </row>
    <row r="173">
      <c r="A173" s="11" t="n"/>
      <c r="B173" s="11" t="n"/>
      <c r="C173" s="10" t="n"/>
      <c r="D173" s="11" t="n"/>
      <c r="E173" s="10" t="n"/>
      <c r="F173" s="22" t="n"/>
      <c r="G173" s="24" t="n"/>
      <c r="H173" s="23" t="n"/>
      <c r="I173" s="25" t="n"/>
      <c r="J173" s="10">
        <f>IF(D173="","",IF(H173="✓","完了",IF(G173="","",IF(G173&lt;TODAY(),"期限超過",IF(G173=TODAY(),"今日まで","予定")))))</f>
        <v/>
      </c>
      <c r="K173" s="22" t="n"/>
      <c r="L173" s="26" t="n"/>
    </row>
    <row r="174">
      <c r="A174" s="11" t="n"/>
      <c r="B174" s="11" t="n"/>
      <c r="C174" s="10" t="n"/>
      <c r="D174" s="11" t="n"/>
      <c r="E174" s="10" t="n"/>
      <c r="F174" s="22" t="n"/>
      <c r="G174" s="24" t="n"/>
      <c r="H174" s="23" t="n"/>
      <c r="I174" s="25" t="n"/>
      <c r="J174" s="10">
        <f>IF(D174="","",IF(H174="✓","完了",IF(G174="","",IF(G174&lt;TODAY(),"期限超過",IF(G174=TODAY(),"今日まで","予定")))))</f>
        <v/>
      </c>
      <c r="K174" s="22" t="n"/>
      <c r="L174" s="26" t="n"/>
    </row>
    <row r="175">
      <c r="A175" s="11" t="n"/>
      <c r="B175" s="11" t="n"/>
      <c r="C175" s="10" t="n"/>
      <c r="D175" s="11" t="n"/>
      <c r="E175" s="10" t="n"/>
      <c r="F175" s="22" t="n"/>
      <c r="G175" s="24" t="n"/>
      <c r="H175" s="23" t="n"/>
      <c r="I175" s="25" t="n"/>
      <c r="J175" s="10">
        <f>IF(D175="","",IF(H175="✓","完了",IF(G175="","",IF(G175&lt;TODAY(),"期限超過",IF(G175=TODAY(),"今日まで","予定")))))</f>
        <v/>
      </c>
      <c r="K175" s="22" t="n"/>
      <c r="L175" s="26" t="n"/>
    </row>
    <row r="176">
      <c r="A176" s="11" t="n"/>
      <c r="B176" s="11" t="n"/>
      <c r="C176" s="10" t="n"/>
      <c r="D176" s="11" t="n"/>
      <c r="E176" s="10" t="n"/>
      <c r="F176" s="22" t="n"/>
      <c r="G176" s="24" t="n"/>
      <c r="H176" s="23" t="n"/>
      <c r="I176" s="25" t="n"/>
      <c r="J176" s="10">
        <f>IF(D176="","",IF(H176="✓","完了",IF(G176="","",IF(G176&lt;TODAY(),"期限超過",IF(G176=TODAY(),"今日まで","予定")))))</f>
        <v/>
      </c>
      <c r="K176" s="22" t="n"/>
      <c r="L176" s="26" t="n"/>
    </row>
    <row r="177">
      <c r="A177" s="11" t="n"/>
      <c r="B177" s="11" t="n"/>
      <c r="C177" s="10" t="n"/>
      <c r="D177" s="11" t="n"/>
      <c r="E177" s="10" t="n"/>
      <c r="F177" s="22" t="n"/>
      <c r="G177" s="24" t="n"/>
      <c r="H177" s="23" t="n"/>
      <c r="I177" s="25" t="n"/>
      <c r="J177" s="10">
        <f>IF(D177="","",IF(H177="✓","完了",IF(G177="","",IF(G177&lt;TODAY(),"期限超過",IF(G177=TODAY(),"今日まで","予定")))))</f>
        <v/>
      </c>
      <c r="K177" s="22" t="n"/>
      <c r="L177" s="26" t="n"/>
    </row>
    <row r="178">
      <c r="A178" s="11" t="n"/>
      <c r="B178" s="11" t="n"/>
      <c r="C178" s="10" t="n"/>
      <c r="D178" s="11" t="n"/>
      <c r="E178" s="10" t="n"/>
      <c r="F178" s="22" t="n"/>
      <c r="G178" s="24" t="n"/>
      <c r="H178" s="23" t="n"/>
      <c r="I178" s="25" t="n"/>
      <c r="J178" s="10">
        <f>IF(D178="","",IF(H178="✓","完了",IF(G178="","",IF(G178&lt;TODAY(),"期限超過",IF(G178=TODAY(),"今日まで","予定")))))</f>
        <v/>
      </c>
      <c r="K178" s="22" t="n"/>
      <c r="L178" s="26" t="n"/>
    </row>
    <row r="179">
      <c r="A179" s="11" t="n"/>
      <c r="B179" s="11" t="n"/>
      <c r="C179" s="10" t="n"/>
      <c r="D179" s="11" t="n"/>
      <c r="E179" s="10" t="n"/>
      <c r="F179" s="22" t="n"/>
      <c r="G179" s="24" t="n"/>
      <c r="H179" s="23" t="n"/>
      <c r="I179" s="25" t="n"/>
      <c r="J179" s="10">
        <f>IF(D179="","",IF(H179="✓","完了",IF(G179="","",IF(G179&lt;TODAY(),"期限超過",IF(G179=TODAY(),"今日まで","予定")))))</f>
        <v/>
      </c>
      <c r="K179" s="22" t="n"/>
      <c r="L179" s="26" t="n"/>
    </row>
    <row r="180">
      <c r="A180" s="11" t="n"/>
      <c r="B180" s="11" t="n"/>
      <c r="C180" s="10" t="n"/>
      <c r="D180" s="11" t="n"/>
      <c r="E180" s="10" t="n"/>
      <c r="F180" s="22" t="n"/>
      <c r="G180" s="24" t="n"/>
      <c r="H180" s="23" t="n"/>
      <c r="I180" s="25" t="n"/>
      <c r="J180" s="10">
        <f>IF(D180="","",IF(H180="✓","完了",IF(G180="","",IF(G180&lt;TODAY(),"期限超過",IF(G180=TODAY(),"今日まで","予定")))))</f>
        <v/>
      </c>
      <c r="K180" s="22" t="n"/>
      <c r="L180" s="26" t="n"/>
    </row>
    <row r="181">
      <c r="A181" s="11" t="n"/>
      <c r="B181" s="11" t="n"/>
      <c r="C181" s="10" t="n"/>
      <c r="D181" s="11" t="n"/>
      <c r="E181" s="10" t="n"/>
      <c r="F181" s="22" t="n"/>
      <c r="G181" s="24" t="n"/>
      <c r="H181" s="23" t="n"/>
      <c r="I181" s="25" t="n"/>
      <c r="J181" s="10">
        <f>IF(D181="","",IF(H181="✓","完了",IF(G181="","",IF(G181&lt;TODAY(),"期限超過",IF(G181=TODAY(),"今日まで","予定")))))</f>
        <v/>
      </c>
      <c r="K181" s="22" t="n"/>
      <c r="L181" s="26" t="n"/>
    </row>
    <row r="182">
      <c r="A182" s="11" t="n"/>
      <c r="B182" s="11" t="n"/>
      <c r="C182" s="10" t="n"/>
      <c r="D182" s="11" t="n"/>
      <c r="E182" s="10" t="n"/>
      <c r="F182" s="22" t="n"/>
      <c r="G182" s="24" t="n"/>
      <c r="H182" s="23" t="n"/>
      <c r="I182" s="25" t="n"/>
      <c r="J182" s="10">
        <f>IF(D182="","",IF(H182="✓","完了",IF(G182="","",IF(G182&lt;TODAY(),"期限超過",IF(G182=TODAY(),"今日まで","予定")))))</f>
        <v/>
      </c>
      <c r="K182" s="22" t="n"/>
      <c r="L182" s="26" t="n"/>
    </row>
    <row r="183">
      <c r="A183" s="11" t="n"/>
      <c r="B183" s="11" t="n"/>
      <c r="C183" s="10" t="n"/>
      <c r="D183" s="11" t="n"/>
      <c r="E183" s="10" t="n"/>
      <c r="F183" s="22" t="n"/>
      <c r="G183" s="24" t="n"/>
      <c r="H183" s="23" t="n"/>
      <c r="I183" s="25" t="n"/>
      <c r="J183" s="10">
        <f>IF(D183="","",IF(H183="✓","完了",IF(G183="","",IF(G183&lt;TODAY(),"期限超過",IF(G183=TODAY(),"今日まで","予定")))))</f>
        <v/>
      </c>
      <c r="K183" s="22" t="n"/>
      <c r="L183" s="26" t="n"/>
    </row>
    <row r="184">
      <c r="A184" s="11" t="n"/>
      <c r="B184" s="11" t="n"/>
      <c r="C184" s="10" t="n"/>
      <c r="D184" s="11" t="n"/>
      <c r="E184" s="10" t="n"/>
      <c r="F184" s="22" t="n"/>
      <c r="G184" s="24" t="n"/>
      <c r="H184" s="23" t="n"/>
      <c r="I184" s="25" t="n"/>
      <c r="J184" s="10">
        <f>IF(D184="","",IF(H184="✓","完了",IF(G184="","",IF(G184&lt;TODAY(),"期限超過",IF(G184=TODAY(),"今日まで","予定")))))</f>
        <v/>
      </c>
      <c r="K184" s="22" t="n"/>
      <c r="L184" s="26" t="n"/>
    </row>
    <row r="185">
      <c r="A185" s="11" t="n"/>
      <c r="B185" s="11" t="n"/>
      <c r="C185" s="10" t="n"/>
      <c r="D185" s="11" t="n"/>
      <c r="E185" s="10" t="n"/>
      <c r="F185" s="22" t="n"/>
      <c r="G185" s="24" t="n"/>
      <c r="H185" s="23" t="n"/>
      <c r="I185" s="25" t="n"/>
      <c r="J185" s="10">
        <f>IF(D185="","",IF(H185="✓","完了",IF(G185="","",IF(G185&lt;TODAY(),"期限超過",IF(G185=TODAY(),"今日まで","予定")))))</f>
        <v/>
      </c>
      <c r="K185" s="22" t="n"/>
      <c r="L185" s="26" t="n"/>
    </row>
    <row r="186">
      <c r="A186" s="11" t="n"/>
      <c r="B186" s="11" t="n"/>
      <c r="C186" s="10" t="n"/>
      <c r="D186" s="11" t="n"/>
      <c r="E186" s="10" t="n"/>
      <c r="F186" s="22" t="n"/>
      <c r="G186" s="24" t="n"/>
      <c r="H186" s="23" t="n"/>
      <c r="I186" s="25" t="n"/>
      <c r="J186" s="10">
        <f>IF(D186="","",IF(H186="✓","完了",IF(G186="","",IF(G186&lt;TODAY(),"期限超過",IF(G186=TODAY(),"今日まで","予定")))))</f>
        <v/>
      </c>
      <c r="K186" s="22" t="n"/>
      <c r="L186" s="26" t="n"/>
    </row>
    <row r="187">
      <c r="A187" s="11" t="n"/>
      <c r="B187" s="11" t="n"/>
      <c r="C187" s="10" t="n"/>
      <c r="D187" s="11" t="n"/>
      <c r="E187" s="10" t="n"/>
      <c r="F187" s="22" t="n"/>
      <c r="G187" s="24" t="n"/>
      <c r="H187" s="23" t="n"/>
      <c r="I187" s="25" t="n"/>
      <c r="J187" s="10">
        <f>IF(D187="","",IF(H187="✓","完了",IF(G187="","",IF(G187&lt;TODAY(),"期限超過",IF(G187=TODAY(),"今日まで","予定")))))</f>
        <v/>
      </c>
      <c r="K187" s="22" t="n"/>
      <c r="L187" s="26" t="n"/>
    </row>
    <row r="188">
      <c r="A188" s="11" t="n"/>
      <c r="B188" s="11" t="n"/>
      <c r="C188" s="10" t="n"/>
      <c r="D188" s="11" t="n"/>
      <c r="E188" s="10" t="n"/>
      <c r="F188" s="22" t="n"/>
      <c r="G188" s="24" t="n"/>
      <c r="H188" s="23" t="n"/>
      <c r="I188" s="25" t="n"/>
      <c r="J188" s="10">
        <f>IF(D188="","",IF(H188="✓","完了",IF(G188="","",IF(G188&lt;TODAY(),"期限超過",IF(G188=TODAY(),"今日まで","予定")))))</f>
        <v/>
      </c>
      <c r="K188" s="22" t="n"/>
      <c r="L188" s="26" t="n"/>
    </row>
    <row r="189">
      <c r="A189" s="11" t="n"/>
      <c r="B189" s="11" t="n"/>
      <c r="C189" s="10" t="n"/>
      <c r="D189" s="11" t="n"/>
      <c r="E189" s="10" t="n"/>
      <c r="F189" s="22" t="n"/>
      <c r="G189" s="24" t="n"/>
      <c r="H189" s="23" t="n"/>
      <c r="I189" s="25" t="n"/>
      <c r="J189" s="10">
        <f>IF(D189="","",IF(H189="✓","完了",IF(G189="","",IF(G189&lt;TODAY(),"期限超過",IF(G189=TODAY(),"今日まで","予定")))))</f>
        <v/>
      </c>
      <c r="K189" s="22" t="n"/>
      <c r="L189" s="26" t="n"/>
    </row>
    <row r="190">
      <c r="A190" s="11" t="n"/>
      <c r="B190" s="11" t="n"/>
      <c r="C190" s="10" t="n"/>
      <c r="D190" s="11" t="n"/>
      <c r="E190" s="10" t="n"/>
      <c r="F190" s="22" t="n"/>
      <c r="G190" s="24" t="n"/>
      <c r="H190" s="23" t="n"/>
      <c r="I190" s="25" t="n"/>
      <c r="J190" s="10">
        <f>IF(D190="","",IF(H190="✓","完了",IF(G190="","",IF(G190&lt;TODAY(),"期限超過",IF(G190=TODAY(),"今日まで","予定")))))</f>
        <v/>
      </c>
      <c r="K190" s="22" t="n"/>
      <c r="L190" s="26" t="n"/>
    </row>
    <row r="191">
      <c r="A191" s="11" t="n"/>
      <c r="B191" s="11" t="n"/>
      <c r="C191" s="10" t="n"/>
      <c r="D191" s="11" t="n"/>
      <c r="E191" s="10" t="n"/>
      <c r="F191" s="22" t="n"/>
      <c r="G191" s="24" t="n"/>
      <c r="H191" s="23" t="n"/>
      <c r="I191" s="25" t="n"/>
      <c r="J191" s="10">
        <f>IF(D191="","",IF(H191="✓","完了",IF(G191="","",IF(G191&lt;TODAY(),"期限超過",IF(G191=TODAY(),"今日まで","予定")))))</f>
        <v/>
      </c>
      <c r="K191" s="22" t="n"/>
      <c r="L191" s="26" t="n"/>
    </row>
    <row r="192">
      <c r="A192" s="11" t="n"/>
      <c r="B192" s="11" t="n"/>
      <c r="C192" s="10" t="n"/>
      <c r="D192" s="11" t="n"/>
      <c r="E192" s="10" t="n"/>
      <c r="F192" s="22" t="n"/>
      <c r="G192" s="24" t="n"/>
      <c r="H192" s="23" t="n"/>
      <c r="I192" s="25" t="n"/>
      <c r="J192" s="10">
        <f>IF(D192="","",IF(H192="✓","完了",IF(G192="","",IF(G192&lt;TODAY(),"期限超過",IF(G192=TODAY(),"今日まで","予定")))))</f>
        <v/>
      </c>
      <c r="K192" s="22" t="n"/>
      <c r="L192" s="26" t="n"/>
    </row>
    <row r="193">
      <c r="A193" s="11" t="n"/>
      <c r="B193" s="11" t="n"/>
      <c r="C193" s="10" t="n"/>
      <c r="D193" s="11" t="n"/>
      <c r="E193" s="10" t="n"/>
      <c r="F193" s="22" t="n"/>
      <c r="G193" s="24" t="n"/>
      <c r="H193" s="23" t="n"/>
      <c r="I193" s="25" t="n"/>
      <c r="J193" s="10">
        <f>IF(D193="","",IF(H193="✓","完了",IF(G193="","",IF(G193&lt;TODAY(),"期限超過",IF(G193=TODAY(),"今日まで","予定")))))</f>
        <v/>
      </c>
      <c r="K193" s="22" t="n"/>
      <c r="L193" s="26" t="n"/>
    </row>
    <row r="194">
      <c r="A194" s="11" t="n"/>
      <c r="B194" s="11" t="n"/>
      <c r="C194" s="10" t="n"/>
      <c r="D194" s="11" t="n"/>
      <c r="E194" s="10" t="n"/>
      <c r="F194" s="22" t="n"/>
      <c r="G194" s="24" t="n"/>
      <c r="H194" s="23" t="n"/>
      <c r="I194" s="25" t="n"/>
      <c r="J194" s="10">
        <f>IF(D194="","",IF(H194="✓","完了",IF(G194="","",IF(G194&lt;TODAY(),"期限超過",IF(G194=TODAY(),"今日まで","予定")))))</f>
        <v/>
      </c>
      <c r="K194" s="22" t="n"/>
      <c r="L194" s="26" t="n"/>
    </row>
    <row r="195">
      <c r="A195" s="11" t="n"/>
      <c r="B195" s="11" t="n"/>
      <c r="C195" s="10" t="n"/>
      <c r="D195" s="11" t="n"/>
      <c r="E195" s="10" t="n"/>
      <c r="F195" s="22" t="n"/>
      <c r="G195" s="24" t="n"/>
      <c r="H195" s="23" t="n"/>
      <c r="I195" s="25" t="n"/>
      <c r="J195" s="10">
        <f>IF(D195="","",IF(H195="✓","完了",IF(G195="","",IF(G195&lt;TODAY(),"期限超過",IF(G195=TODAY(),"今日まで","予定")))))</f>
        <v/>
      </c>
      <c r="K195" s="22" t="n"/>
      <c r="L195" s="26" t="n"/>
    </row>
    <row r="196">
      <c r="A196" s="11" t="n"/>
      <c r="B196" s="11" t="n"/>
      <c r="C196" s="10" t="n"/>
      <c r="D196" s="11" t="n"/>
      <c r="E196" s="10" t="n"/>
      <c r="F196" s="22" t="n"/>
      <c r="G196" s="24" t="n"/>
      <c r="H196" s="23" t="n"/>
      <c r="I196" s="25" t="n"/>
      <c r="J196" s="10">
        <f>IF(D196="","",IF(H196="✓","完了",IF(G196="","",IF(G196&lt;TODAY(),"期限超過",IF(G196=TODAY(),"今日まで","予定")))))</f>
        <v/>
      </c>
      <c r="K196" s="22" t="n"/>
      <c r="L196" s="26" t="n"/>
    </row>
    <row r="197">
      <c r="A197" s="11" t="n"/>
      <c r="B197" s="11" t="n"/>
      <c r="C197" s="10" t="n"/>
      <c r="D197" s="11" t="n"/>
      <c r="E197" s="10" t="n"/>
      <c r="F197" s="22" t="n"/>
      <c r="G197" s="24" t="n"/>
      <c r="H197" s="23" t="n"/>
      <c r="I197" s="25" t="n"/>
      <c r="J197" s="10">
        <f>IF(D197="","",IF(H197="✓","完了",IF(G197="","",IF(G197&lt;TODAY(),"期限超過",IF(G197=TODAY(),"今日まで","予定")))))</f>
        <v/>
      </c>
      <c r="K197" s="22" t="n"/>
      <c r="L197" s="26" t="n"/>
    </row>
    <row r="198">
      <c r="A198" s="11" t="n"/>
      <c r="B198" s="11" t="n"/>
      <c r="C198" s="10" t="n"/>
      <c r="D198" s="11" t="n"/>
      <c r="E198" s="10" t="n"/>
      <c r="F198" s="22" t="n"/>
      <c r="G198" s="24" t="n"/>
      <c r="H198" s="23" t="n"/>
      <c r="I198" s="25" t="n"/>
      <c r="J198" s="10">
        <f>IF(D198="","",IF(H198="✓","完了",IF(G198="","",IF(G198&lt;TODAY(),"期限超過",IF(G198=TODAY(),"今日まで","予定")))))</f>
        <v/>
      </c>
      <c r="K198" s="22" t="n"/>
      <c r="L198" s="26" t="n"/>
    </row>
    <row r="199">
      <c r="A199" s="11" t="n"/>
      <c r="B199" s="11" t="n"/>
      <c r="C199" s="10" t="n"/>
      <c r="D199" s="11" t="n"/>
      <c r="E199" s="10" t="n"/>
      <c r="F199" s="22" t="n"/>
      <c r="G199" s="24" t="n"/>
      <c r="H199" s="23" t="n"/>
      <c r="I199" s="25" t="n"/>
      <c r="J199" s="10">
        <f>IF(D199="","",IF(H199="✓","完了",IF(G199="","",IF(G199&lt;TODAY(),"期限超過",IF(G199=TODAY(),"今日まで","予定")))))</f>
        <v/>
      </c>
      <c r="K199" s="22" t="n"/>
      <c r="L199" s="26" t="n"/>
    </row>
    <row r="200">
      <c r="A200" s="11" t="n"/>
      <c r="B200" s="11" t="n"/>
      <c r="C200" s="10" t="n"/>
      <c r="D200" s="11" t="n"/>
      <c r="E200" s="10" t="n"/>
      <c r="F200" s="22" t="n"/>
      <c r="G200" s="24" t="n"/>
      <c r="H200" s="23" t="n"/>
      <c r="I200" s="25" t="n"/>
      <c r="J200" s="10">
        <f>IF(D200="","",IF(H200="✓","完了",IF(G200="","",IF(G200&lt;TODAY(),"期限超過",IF(G200=TODAY(),"今日まで","予定")))))</f>
        <v/>
      </c>
      <c r="K200" s="22" t="n"/>
      <c r="L200" s="26" t="n"/>
    </row>
    <row r="201">
      <c r="A201" s="11" t="n"/>
      <c r="B201" s="11" t="n"/>
      <c r="C201" s="10" t="n"/>
      <c r="D201" s="11" t="n"/>
      <c r="E201" s="10" t="n"/>
      <c r="F201" s="22" t="n"/>
      <c r="G201" s="24" t="n"/>
      <c r="H201" s="23" t="n"/>
      <c r="I201" s="25" t="n"/>
      <c r="J201" s="10">
        <f>IF(D201="","",IF(H201="✓","完了",IF(G201="","",IF(G201&lt;TODAY(),"期限超過",IF(G201=TODAY(),"今日まで","予定")))))</f>
        <v/>
      </c>
      <c r="K201" s="22" t="n"/>
      <c r="L201" s="26" t="n"/>
    </row>
    <row r="202">
      <c r="A202" s="11" t="n"/>
      <c r="B202" s="11" t="n"/>
      <c r="C202" s="10" t="n"/>
      <c r="D202" s="11" t="n"/>
      <c r="E202" s="10" t="n"/>
      <c r="F202" s="22" t="n"/>
      <c r="G202" s="24" t="n"/>
      <c r="H202" s="23" t="n"/>
      <c r="I202" s="25" t="n"/>
      <c r="J202" s="10">
        <f>IF(D202="","",IF(H202="✓","完了",IF(G202="","",IF(G202&lt;TODAY(),"期限超過",IF(G202=TODAY(),"今日まで","予定")))))</f>
        <v/>
      </c>
      <c r="K202" s="22" t="n"/>
      <c r="L202" s="26" t="n"/>
    </row>
    <row r="203">
      <c r="A203" s="11" t="n"/>
      <c r="B203" s="11" t="n"/>
      <c r="C203" s="10" t="n"/>
      <c r="D203" s="11" t="n"/>
      <c r="E203" s="10" t="n"/>
      <c r="F203" s="22" t="n"/>
      <c r="G203" s="24" t="n"/>
      <c r="H203" s="23" t="n"/>
      <c r="I203" s="25" t="n"/>
      <c r="J203" s="10">
        <f>IF(D203="","",IF(H203="✓","完了",IF(G203="","",IF(G203&lt;TODAY(),"期限超過",IF(G203=TODAY(),"今日まで","予定")))))</f>
        <v/>
      </c>
      <c r="K203" s="22" t="n"/>
      <c r="L203" s="26" t="n"/>
    </row>
    <row r="204">
      <c r="A204" s="11" t="n"/>
      <c r="B204" s="11" t="n"/>
      <c r="C204" s="10" t="n"/>
      <c r="D204" s="11" t="n"/>
      <c r="E204" s="10" t="n"/>
      <c r="F204" s="22" t="n"/>
      <c r="G204" s="24" t="n"/>
      <c r="H204" s="23" t="n"/>
      <c r="I204" s="25" t="n"/>
      <c r="J204" s="10">
        <f>IF(D204="","",IF(H204="✓","完了",IF(G204="","",IF(G204&lt;TODAY(),"期限超過",IF(G204=TODAY(),"今日まで","予定")))))</f>
        <v/>
      </c>
      <c r="K204" s="22" t="n"/>
      <c r="L204" s="26" t="n"/>
    </row>
    <row r="205">
      <c r="A205" s="11" t="n"/>
      <c r="B205" s="11" t="n"/>
      <c r="C205" s="10" t="n"/>
      <c r="D205" s="11" t="n"/>
      <c r="E205" s="10" t="n"/>
      <c r="F205" s="22" t="n"/>
      <c r="G205" s="24" t="n"/>
      <c r="H205" s="23" t="n"/>
      <c r="I205" s="25" t="n"/>
      <c r="J205" s="10">
        <f>IF(D205="","",IF(H205="✓","完了",IF(G205="","",IF(G205&lt;TODAY(),"期限超過",IF(G205=TODAY(),"今日まで","予定")))))</f>
        <v/>
      </c>
      <c r="K205" s="22" t="n"/>
      <c r="L205" s="26" t="n"/>
    </row>
    <row r="206">
      <c r="A206" s="11" t="n"/>
      <c r="B206" s="11" t="n"/>
      <c r="C206" s="10" t="n"/>
      <c r="D206" s="11" t="n"/>
      <c r="E206" s="10" t="n"/>
      <c r="F206" s="22" t="n"/>
      <c r="G206" s="24" t="n"/>
      <c r="H206" s="23" t="n"/>
      <c r="I206" s="25" t="n"/>
      <c r="J206" s="10">
        <f>IF(D206="","",IF(H206="✓","完了",IF(G206="","",IF(G206&lt;TODAY(),"期限超過",IF(G206=TODAY(),"今日まで","予定")))))</f>
        <v/>
      </c>
      <c r="K206" s="22" t="n"/>
      <c r="L206" s="26" t="n"/>
    </row>
    <row r="207">
      <c r="A207" s="11" t="n"/>
      <c r="B207" s="11" t="n"/>
      <c r="C207" s="10" t="n"/>
      <c r="D207" s="11" t="n"/>
      <c r="E207" s="10" t="n"/>
      <c r="F207" s="22" t="n"/>
      <c r="G207" s="24" t="n"/>
      <c r="H207" s="23" t="n"/>
      <c r="I207" s="25" t="n"/>
      <c r="J207" s="10">
        <f>IF(D207="","",IF(H207="✓","完了",IF(G207="","",IF(G207&lt;TODAY(),"期限超過",IF(G207=TODAY(),"今日まで","予定")))))</f>
        <v/>
      </c>
      <c r="K207" s="22" t="n"/>
      <c r="L207" s="26" t="n"/>
    </row>
    <row r="208">
      <c r="A208" s="11" t="n"/>
      <c r="B208" s="11" t="n"/>
      <c r="C208" s="10" t="n"/>
      <c r="D208" s="11" t="n"/>
      <c r="E208" s="10" t="n"/>
      <c r="F208" s="22" t="n"/>
      <c r="G208" s="24" t="n"/>
      <c r="H208" s="23" t="n"/>
      <c r="I208" s="25" t="n"/>
      <c r="J208" s="10">
        <f>IF(D208="","",IF(H208="✓","完了",IF(G208="","",IF(G208&lt;TODAY(),"期限超過",IF(G208=TODAY(),"今日まで","予定")))))</f>
        <v/>
      </c>
      <c r="K208" s="22" t="n"/>
      <c r="L208" s="26" t="n"/>
    </row>
    <row r="209">
      <c r="A209" s="11" t="n"/>
      <c r="B209" s="11" t="n"/>
      <c r="C209" s="10" t="n"/>
      <c r="D209" s="11" t="n"/>
      <c r="E209" s="10" t="n"/>
      <c r="F209" s="22" t="n"/>
      <c r="G209" s="24" t="n"/>
      <c r="H209" s="23" t="n"/>
      <c r="I209" s="25" t="n"/>
      <c r="J209" s="10">
        <f>IF(D209="","",IF(H209="✓","完了",IF(G209="","",IF(G209&lt;TODAY(),"期限超過",IF(G209=TODAY(),"今日まで","予定")))))</f>
        <v/>
      </c>
      <c r="K209" s="22" t="n"/>
      <c r="L209" s="26" t="n"/>
    </row>
    <row r="210">
      <c r="A210" s="11" t="n"/>
      <c r="B210" s="11" t="n"/>
      <c r="C210" s="10" t="n"/>
      <c r="D210" s="11" t="n"/>
      <c r="E210" s="10" t="n"/>
      <c r="F210" s="22" t="n"/>
      <c r="G210" s="24" t="n"/>
      <c r="H210" s="23" t="n"/>
      <c r="I210" s="25" t="n"/>
      <c r="J210" s="10">
        <f>IF(D210="","",IF(H210="✓","完了",IF(G210="","",IF(G210&lt;TODAY(),"期限超過",IF(G210=TODAY(),"今日まで","予定")))))</f>
        <v/>
      </c>
      <c r="K210" s="22" t="n"/>
      <c r="L210" s="26" t="n"/>
    </row>
    <row r="211">
      <c r="A211" s="11" t="n"/>
      <c r="B211" s="11" t="n"/>
      <c r="C211" s="10" t="n"/>
      <c r="D211" s="11" t="n"/>
      <c r="E211" s="10" t="n"/>
      <c r="F211" s="22" t="n"/>
      <c r="G211" s="24" t="n"/>
      <c r="H211" s="23" t="n"/>
      <c r="I211" s="25" t="n"/>
      <c r="J211" s="10">
        <f>IF(D211="","",IF(H211="✓","完了",IF(G211="","",IF(G211&lt;TODAY(),"期限超過",IF(G211=TODAY(),"今日まで","予定")))))</f>
        <v/>
      </c>
      <c r="K211" s="22" t="n"/>
      <c r="L211" s="26" t="n"/>
    </row>
    <row r="212">
      <c r="A212" s="11" t="n"/>
      <c r="B212" s="11" t="n"/>
      <c r="C212" s="10" t="n"/>
      <c r="D212" s="11" t="n"/>
      <c r="E212" s="10" t="n"/>
      <c r="F212" s="22" t="n"/>
      <c r="G212" s="24" t="n"/>
      <c r="H212" s="23" t="n"/>
      <c r="I212" s="25" t="n"/>
      <c r="J212" s="10">
        <f>IF(D212="","",IF(H212="✓","完了",IF(G212="","",IF(G212&lt;TODAY(),"期限超過",IF(G212=TODAY(),"今日まで","予定")))))</f>
        <v/>
      </c>
      <c r="K212" s="22" t="n"/>
      <c r="L212" s="26" t="n"/>
    </row>
    <row r="213">
      <c r="A213" s="11" t="n"/>
      <c r="B213" s="11" t="n"/>
      <c r="C213" s="10" t="n"/>
      <c r="D213" s="11" t="n"/>
      <c r="E213" s="10" t="n"/>
      <c r="F213" s="22" t="n"/>
      <c r="G213" s="24" t="n"/>
      <c r="H213" s="23" t="n"/>
      <c r="I213" s="25" t="n"/>
      <c r="J213" s="10">
        <f>IF(D213="","",IF(H213="✓","完了",IF(G213="","",IF(G213&lt;TODAY(),"期限超過",IF(G213=TODAY(),"今日まで","予定")))))</f>
        <v/>
      </c>
      <c r="K213" s="22" t="n"/>
      <c r="L213" s="26" t="n"/>
    </row>
    <row r="214">
      <c r="A214" s="11" t="n"/>
      <c r="B214" s="11" t="n"/>
      <c r="C214" s="10" t="n"/>
      <c r="D214" s="11" t="n"/>
      <c r="E214" s="10" t="n"/>
      <c r="F214" s="22" t="n"/>
      <c r="G214" s="24" t="n"/>
      <c r="H214" s="23" t="n"/>
      <c r="I214" s="25" t="n"/>
      <c r="J214" s="10">
        <f>IF(D214="","",IF(H214="✓","完了",IF(G214="","",IF(G214&lt;TODAY(),"期限超過",IF(G214=TODAY(),"今日まで","予定")))))</f>
        <v/>
      </c>
      <c r="K214" s="22" t="n"/>
      <c r="L214" s="26" t="n"/>
    </row>
    <row r="215">
      <c r="A215" s="11" t="n"/>
      <c r="B215" s="11" t="n"/>
      <c r="C215" s="10" t="n"/>
      <c r="D215" s="11" t="n"/>
      <c r="E215" s="10" t="n"/>
      <c r="F215" s="22" t="n"/>
      <c r="G215" s="24" t="n"/>
      <c r="H215" s="23" t="n"/>
      <c r="I215" s="25" t="n"/>
      <c r="J215" s="10">
        <f>IF(D215="","",IF(H215="✓","完了",IF(G215="","",IF(G215&lt;TODAY(),"期限超過",IF(G215=TODAY(),"今日まで","予定")))))</f>
        <v/>
      </c>
      <c r="K215" s="22" t="n"/>
      <c r="L215" s="26" t="n"/>
    </row>
    <row r="216">
      <c r="A216" s="11" t="n"/>
      <c r="B216" s="11" t="n"/>
      <c r="C216" s="10" t="n"/>
      <c r="D216" s="11" t="n"/>
      <c r="E216" s="10" t="n"/>
      <c r="F216" s="22" t="n"/>
      <c r="G216" s="24" t="n"/>
      <c r="H216" s="23" t="n"/>
      <c r="I216" s="25" t="n"/>
      <c r="J216" s="10">
        <f>IF(D216="","",IF(H216="✓","完了",IF(G216="","",IF(G216&lt;TODAY(),"期限超過",IF(G216=TODAY(),"今日まで","予定")))))</f>
        <v/>
      </c>
      <c r="K216" s="22" t="n"/>
      <c r="L216" s="26" t="n"/>
    </row>
    <row r="217">
      <c r="A217" s="11" t="n"/>
      <c r="B217" s="11" t="n"/>
      <c r="C217" s="10" t="n"/>
      <c r="D217" s="11" t="n"/>
      <c r="E217" s="10" t="n"/>
      <c r="F217" s="22" t="n"/>
      <c r="G217" s="24" t="n"/>
      <c r="H217" s="23" t="n"/>
      <c r="I217" s="25" t="n"/>
      <c r="J217" s="10">
        <f>IF(D217="","",IF(H217="✓","完了",IF(G217="","",IF(G217&lt;TODAY(),"期限超過",IF(G217=TODAY(),"今日まで","予定")))))</f>
        <v/>
      </c>
      <c r="K217" s="22" t="n"/>
      <c r="L217" s="26" t="n"/>
    </row>
    <row r="218">
      <c r="A218" s="11" t="n"/>
      <c r="B218" s="11" t="n"/>
      <c r="C218" s="10" t="n"/>
      <c r="D218" s="11" t="n"/>
      <c r="E218" s="10" t="n"/>
      <c r="F218" s="22" t="n"/>
      <c r="G218" s="24" t="n"/>
      <c r="H218" s="23" t="n"/>
      <c r="I218" s="25" t="n"/>
      <c r="J218" s="10">
        <f>IF(D218="","",IF(H218="✓","完了",IF(G218="","",IF(G218&lt;TODAY(),"期限超過",IF(G218=TODAY(),"今日まで","予定")))))</f>
        <v/>
      </c>
      <c r="K218" s="22" t="n"/>
      <c r="L218" s="26" t="n"/>
    </row>
    <row r="219">
      <c r="A219" s="11" t="n"/>
      <c r="B219" s="11" t="n"/>
      <c r="C219" s="10" t="n"/>
      <c r="D219" s="11" t="n"/>
      <c r="E219" s="10" t="n"/>
      <c r="F219" s="22" t="n"/>
      <c r="G219" s="24" t="n"/>
      <c r="H219" s="23" t="n"/>
      <c r="I219" s="25" t="n"/>
      <c r="J219" s="10">
        <f>IF(D219="","",IF(H219="✓","完了",IF(G219="","",IF(G219&lt;TODAY(),"期限超過",IF(G219=TODAY(),"今日まで","予定")))))</f>
        <v/>
      </c>
      <c r="K219" s="22" t="n"/>
      <c r="L219" s="26" t="n"/>
    </row>
    <row r="220">
      <c r="A220" s="11" t="n"/>
      <c r="B220" s="11" t="n"/>
      <c r="C220" s="10" t="n"/>
      <c r="D220" s="11" t="n"/>
      <c r="E220" s="10" t="n"/>
      <c r="F220" s="22" t="n"/>
      <c r="G220" s="24" t="n"/>
      <c r="H220" s="23" t="n"/>
      <c r="I220" s="25" t="n"/>
      <c r="J220" s="10">
        <f>IF(D220="","",IF(H220="✓","完了",IF(G220="","",IF(G220&lt;TODAY(),"期限超過",IF(G220=TODAY(),"今日まで","予定")))))</f>
        <v/>
      </c>
      <c r="K220" s="22" t="n"/>
      <c r="L220" s="26" t="n"/>
    </row>
    <row r="221">
      <c r="A221" s="11" t="n"/>
      <c r="B221" s="11" t="n"/>
      <c r="C221" s="10" t="n"/>
      <c r="D221" s="11" t="n"/>
      <c r="E221" s="10" t="n"/>
      <c r="F221" s="22" t="n"/>
      <c r="G221" s="24" t="n"/>
      <c r="H221" s="23" t="n"/>
      <c r="I221" s="25" t="n"/>
      <c r="J221" s="10">
        <f>IF(D221="","",IF(H221="✓","完了",IF(G221="","",IF(G221&lt;TODAY(),"期限超過",IF(G221=TODAY(),"今日まで","予定")))))</f>
        <v/>
      </c>
      <c r="K221" s="22" t="n"/>
      <c r="L221" s="26" t="n"/>
    </row>
    <row r="222">
      <c r="A222" s="11" t="n"/>
      <c r="B222" s="11" t="n"/>
      <c r="C222" s="10" t="n"/>
      <c r="D222" s="11" t="n"/>
      <c r="E222" s="10" t="n"/>
      <c r="F222" s="22" t="n"/>
      <c r="G222" s="24" t="n"/>
      <c r="H222" s="23" t="n"/>
      <c r="I222" s="25" t="n"/>
      <c r="J222" s="10">
        <f>IF(D222="","",IF(H222="✓","完了",IF(G222="","",IF(G222&lt;TODAY(),"期限超過",IF(G222=TODAY(),"今日まで","予定")))))</f>
        <v/>
      </c>
      <c r="K222" s="22" t="n"/>
      <c r="L222" s="26" t="n"/>
    </row>
    <row r="223">
      <c r="A223" s="11" t="n"/>
      <c r="B223" s="11" t="n"/>
      <c r="C223" s="10" t="n"/>
      <c r="D223" s="11" t="n"/>
      <c r="E223" s="10" t="n"/>
      <c r="F223" s="22" t="n"/>
      <c r="G223" s="24" t="n"/>
      <c r="H223" s="23" t="n"/>
      <c r="I223" s="25" t="n"/>
      <c r="J223" s="10">
        <f>IF(D223="","",IF(H223="✓","完了",IF(G223="","",IF(G223&lt;TODAY(),"期限超過",IF(G223=TODAY(),"今日まで","予定")))))</f>
        <v/>
      </c>
      <c r="K223" s="22" t="n"/>
      <c r="L223" s="26" t="n"/>
    </row>
    <row r="224">
      <c r="A224" s="11" t="n"/>
      <c r="B224" s="11" t="n"/>
      <c r="C224" s="10" t="n"/>
      <c r="D224" s="11" t="n"/>
      <c r="E224" s="10" t="n"/>
      <c r="F224" s="22" t="n"/>
      <c r="G224" s="24" t="n"/>
      <c r="H224" s="23" t="n"/>
      <c r="I224" s="25" t="n"/>
      <c r="J224" s="10">
        <f>IF(D224="","",IF(H224="✓","完了",IF(G224="","",IF(G224&lt;TODAY(),"期限超過",IF(G224=TODAY(),"今日まで","予定")))))</f>
        <v/>
      </c>
      <c r="K224" s="22" t="n"/>
      <c r="L224" s="26" t="n"/>
    </row>
    <row r="225">
      <c r="A225" s="11" t="n"/>
      <c r="B225" s="11" t="n"/>
      <c r="C225" s="10" t="n"/>
      <c r="D225" s="11" t="n"/>
      <c r="E225" s="10" t="n"/>
      <c r="F225" s="22" t="n"/>
      <c r="G225" s="24" t="n"/>
      <c r="H225" s="23" t="n"/>
      <c r="I225" s="25" t="n"/>
      <c r="J225" s="10">
        <f>IF(D225="","",IF(H225="✓","完了",IF(G225="","",IF(G225&lt;TODAY(),"期限超過",IF(G225=TODAY(),"今日まで","予定")))))</f>
        <v/>
      </c>
      <c r="K225" s="22" t="n"/>
      <c r="L225" s="26" t="n"/>
    </row>
    <row r="226">
      <c r="A226" s="11" t="n"/>
      <c r="B226" s="11" t="n"/>
      <c r="C226" s="10" t="n"/>
      <c r="D226" s="11" t="n"/>
      <c r="E226" s="10" t="n"/>
      <c r="F226" s="22" t="n"/>
      <c r="G226" s="24" t="n"/>
      <c r="H226" s="23" t="n"/>
      <c r="I226" s="25" t="n"/>
      <c r="J226" s="10">
        <f>IF(D226="","",IF(H226="✓","完了",IF(G226="","",IF(G226&lt;TODAY(),"期限超過",IF(G226=TODAY(),"今日まで","予定")))))</f>
        <v/>
      </c>
      <c r="K226" s="22" t="n"/>
      <c r="L226" s="26" t="n"/>
    </row>
    <row r="227">
      <c r="A227" s="11" t="n"/>
      <c r="B227" s="11" t="n"/>
      <c r="C227" s="10" t="n"/>
      <c r="D227" s="11" t="n"/>
      <c r="E227" s="10" t="n"/>
      <c r="F227" s="22" t="n"/>
      <c r="G227" s="24" t="n"/>
      <c r="H227" s="23" t="n"/>
      <c r="I227" s="25" t="n"/>
      <c r="J227" s="10">
        <f>IF(D227="","",IF(H227="✓","完了",IF(G227="","",IF(G227&lt;TODAY(),"期限超過",IF(G227=TODAY(),"今日まで","予定")))))</f>
        <v/>
      </c>
      <c r="K227" s="22" t="n"/>
      <c r="L227" s="26" t="n"/>
    </row>
    <row r="228">
      <c r="A228" s="11" t="n"/>
      <c r="B228" s="11" t="n"/>
      <c r="C228" s="10" t="n"/>
      <c r="D228" s="11" t="n"/>
      <c r="E228" s="10" t="n"/>
      <c r="F228" s="22" t="n"/>
      <c r="G228" s="24" t="n"/>
      <c r="H228" s="23" t="n"/>
      <c r="I228" s="25" t="n"/>
      <c r="J228" s="10">
        <f>IF(D228="","",IF(H228="✓","完了",IF(G228="","",IF(G228&lt;TODAY(),"期限超過",IF(G228=TODAY(),"今日まで","予定")))))</f>
        <v/>
      </c>
      <c r="K228" s="22" t="n"/>
      <c r="L228" s="26" t="n"/>
    </row>
    <row r="229">
      <c r="A229" s="11" t="n"/>
      <c r="B229" s="11" t="n"/>
      <c r="C229" s="10" t="n"/>
      <c r="D229" s="11" t="n"/>
      <c r="E229" s="10" t="n"/>
      <c r="F229" s="22" t="n"/>
      <c r="G229" s="24" t="n"/>
      <c r="H229" s="23" t="n"/>
      <c r="I229" s="25" t="n"/>
      <c r="J229" s="10">
        <f>IF(D229="","",IF(H229="✓","完了",IF(G229="","",IF(G229&lt;TODAY(),"期限超過",IF(G229=TODAY(),"今日まで","予定")))))</f>
        <v/>
      </c>
      <c r="K229" s="22" t="n"/>
      <c r="L229" s="26" t="n"/>
    </row>
    <row r="230">
      <c r="A230" s="11" t="n"/>
      <c r="B230" s="11" t="n"/>
      <c r="C230" s="10" t="n"/>
      <c r="D230" s="11" t="n"/>
      <c r="E230" s="10" t="n"/>
      <c r="F230" s="22" t="n"/>
      <c r="G230" s="24" t="n"/>
      <c r="H230" s="23" t="n"/>
      <c r="I230" s="25" t="n"/>
      <c r="J230" s="10">
        <f>IF(D230="","",IF(H230="✓","完了",IF(G230="","",IF(G230&lt;TODAY(),"期限超過",IF(G230=TODAY(),"今日まで","予定")))))</f>
        <v/>
      </c>
      <c r="K230" s="22" t="n"/>
      <c r="L230" s="26" t="n"/>
    </row>
    <row r="231">
      <c r="A231" s="11" t="n"/>
      <c r="B231" s="11" t="n"/>
      <c r="C231" s="10" t="n"/>
      <c r="D231" s="11" t="n"/>
      <c r="E231" s="10" t="n"/>
      <c r="F231" s="22" t="n"/>
      <c r="G231" s="24" t="n"/>
      <c r="H231" s="23" t="n"/>
      <c r="I231" s="25" t="n"/>
      <c r="J231" s="10">
        <f>IF(D231="","",IF(H231="✓","完了",IF(G231="","",IF(G231&lt;TODAY(),"期限超過",IF(G231=TODAY(),"今日まで","予定")))))</f>
        <v/>
      </c>
      <c r="K231" s="22" t="n"/>
      <c r="L231" s="26" t="n"/>
    </row>
    <row r="232">
      <c r="A232" s="11" t="n"/>
      <c r="B232" s="11" t="n"/>
      <c r="C232" s="10" t="n"/>
      <c r="D232" s="11" t="n"/>
      <c r="E232" s="10" t="n"/>
      <c r="F232" s="22" t="n"/>
      <c r="G232" s="24" t="n"/>
      <c r="H232" s="23" t="n"/>
      <c r="I232" s="25" t="n"/>
      <c r="J232" s="10">
        <f>IF(D232="","",IF(H232="✓","完了",IF(G232="","",IF(G232&lt;TODAY(),"期限超過",IF(G232=TODAY(),"今日まで","予定")))))</f>
        <v/>
      </c>
      <c r="K232" s="22" t="n"/>
      <c r="L232" s="26" t="n"/>
    </row>
    <row r="233">
      <c r="A233" s="11" t="n"/>
      <c r="B233" s="11" t="n"/>
      <c r="C233" s="10" t="n"/>
      <c r="D233" s="11" t="n"/>
      <c r="E233" s="10" t="n"/>
      <c r="F233" s="22" t="n"/>
      <c r="G233" s="24" t="n"/>
      <c r="H233" s="23" t="n"/>
      <c r="I233" s="25" t="n"/>
      <c r="J233" s="10">
        <f>IF(D233="","",IF(H233="✓","完了",IF(G233="","",IF(G233&lt;TODAY(),"期限超過",IF(G233=TODAY(),"今日まで","予定")))))</f>
        <v/>
      </c>
      <c r="K233" s="22" t="n"/>
      <c r="L233" s="26" t="n"/>
    </row>
    <row r="234">
      <c r="A234" s="11" t="n"/>
      <c r="B234" s="11" t="n"/>
      <c r="C234" s="10" t="n"/>
      <c r="D234" s="11" t="n"/>
      <c r="E234" s="10" t="n"/>
      <c r="F234" s="22" t="n"/>
      <c r="G234" s="24" t="n"/>
      <c r="H234" s="23" t="n"/>
      <c r="I234" s="25" t="n"/>
      <c r="J234" s="10">
        <f>IF(D234="","",IF(H234="✓","完了",IF(G234="","",IF(G234&lt;TODAY(),"期限超過",IF(G234=TODAY(),"今日まで","予定")))))</f>
        <v/>
      </c>
      <c r="K234" s="22" t="n"/>
      <c r="L234" s="26" t="n"/>
    </row>
    <row r="235">
      <c r="A235" s="11" t="n"/>
      <c r="B235" s="11" t="n"/>
      <c r="C235" s="10" t="n"/>
      <c r="D235" s="11" t="n"/>
      <c r="E235" s="10" t="n"/>
      <c r="F235" s="22" t="n"/>
      <c r="G235" s="24" t="n"/>
      <c r="H235" s="23" t="n"/>
      <c r="I235" s="25" t="n"/>
      <c r="J235" s="10">
        <f>IF(D235="","",IF(H235="✓","完了",IF(G235="","",IF(G235&lt;TODAY(),"期限超過",IF(G235=TODAY(),"今日まで","予定")))))</f>
        <v/>
      </c>
      <c r="K235" s="22" t="n"/>
      <c r="L235" s="26" t="n"/>
    </row>
    <row r="236">
      <c r="A236" s="11" t="n"/>
      <c r="B236" s="11" t="n"/>
      <c r="C236" s="10" t="n"/>
      <c r="D236" s="11" t="n"/>
      <c r="E236" s="10" t="n"/>
      <c r="F236" s="22" t="n"/>
      <c r="G236" s="24" t="n"/>
      <c r="H236" s="23" t="n"/>
      <c r="I236" s="25" t="n"/>
      <c r="J236" s="10">
        <f>IF(D236="","",IF(H236="✓","完了",IF(G236="","",IF(G236&lt;TODAY(),"期限超過",IF(G236=TODAY(),"今日まで","予定")))))</f>
        <v/>
      </c>
      <c r="K236" s="22" t="n"/>
      <c r="L236" s="26" t="n"/>
    </row>
    <row r="237">
      <c r="A237" s="11" t="n"/>
      <c r="B237" s="11" t="n"/>
      <c r="C237" s="10" t="n"/>
      <c r="D237" s="11" t="n"/>
      <c r="E237" s="10" t="n"/>
      <c r="F237" s="22" t="n"/>
      <c r="G237" s="24" t="n"/>
      <c r="H237" s="23" t="n"/>
      <c r="I237" s="25" t="n"/>
      <c r="J237" s="10">
        <f>IF(D237="","",IF(H237="✓","完了",IF(G237="","",IF(G237&lt;TODAY(),"期限超過",IF(G237=TODAY(),"今日まで","予定")))))</f>
        <v/>
      </c>
      <c r="K237" s="22" t="n"/>
      <c r="L237" s="26" t="n"/>
    </row>
    <row r="238">
      <c r="A238" s="11" t="n"/>
      <c r="B238" s="11" t="n"/>
      <c r="C238" s="10" t="n"/>
      <c r="D238" s="11" t="n"/>
      <c r="E238" s="10" t="n"/>
      <c r="F238" s="22" t="n"/>
      <c r="G238" s="24" t="n"/>
      <c r="H238" s="23" t="n"/>
      <c r="I238" s="25" t="n"/>
      <c r="J238" s="10">
        <f>IF(D238="","",IF(H238="✓","完了",IF(G238="","",IF(G238&lt;TODAY(),"期限超過",IF(G238=TODAY(),"今日まで","予定")))))</f>
        <v/>
      </c>
      <c r="K238" s="22" t="n"/>
      <c r="L238" s="26" t="n"/>
    </row>
    <row r="239">
      <c r="A239" s="11" t="n"/>
      <c r="B239" s="11" t="n"/>
      <c r="C239" s="10" t="n"/>
      <c r="D239" s="11" t="n"/>
      <c r="E239" s="10" t="n"/>
      <c r="F239" s="22" t="n"/>
      <c r="G239" s="24" t="n"/>
      <c r="H239" s="23" t="n"/>
      <c r="I239" s="25" t="n"/>
      <c r="J239" s="10">
        <f>IF(D239="","",IF(H239="✓","完了",IF(G239="","",IF(G239&lt;TODAY(),"期限超過",IF(G239=TODAY(),"今日まで","予定")))))</f>
        <v/>
      </c>
      <c r="K239" s="22" t="n"/>
      <c r="L239" s="26" t="n"/>
    </row>
    <row r="240">
      <c r="A240" s="11" t="n"/>
      <c r="B240" s="11" t="n"/>
      <c r="C240" s="10" t="n"/>
      <c r="D240" s="11" t="n"/>
      <c r="E240" s="10" t="n"/>
      <c r="F240" s="22" t="n"/>
      <c r="G240" s="24" t="n"/>
      <c r="H240" s="23" t="n"/>
      <c r="I240" s="25" t="n"/>
      <c r="J240" s="10">
        <f>IF(D240="","",IF(H240="✓","完了",IF(G240="","",IF(G240&lt;TODAY(),"期限超過",IF(G240=TODAY(),"今日まで","予定")))))</f>
        <v/>
      </c>
      <c r="K240" s="22" t="n"/>
      <c r="L240" s="26" t="n"/>
    </row>
    <row r="241">
      <c r="A241" s="11" t="n"/>
      <c r="B241" s="11" t="n"/>
      <c r="C241" s="10" t="n"/>
      <c r="D241" s="11" t="n"/>
      <c r="E241" s="10" t="n"/>
      <c r="F241" s="22" t="n"/>
      <c r="G241" s="24" t="n"/>
      <c r="H241" s="23" t="n"/>
      <c r="I241" s="25" t="n"/>
      <c r="J241" s="10">
        <f>IF(D241="","",IF(H241="✓","完了",IF(G241="","",IF(G241&lt;TODAY(),"期限超過",IF(G241=TODAY(),"今日まで","予定")))))</f>
        <v/>
      </c>
      <c r="K241" s="22" t="n"/>
      <c r="L241" s="26" t="n"/>
    </row>
    <row r="242">
      <c r="A242" s="11" t="n"/>
      <c r="B242" s="11" t="n"/>
      <c r="C242" s="10" t="n"/>
      <c r="D242" s="11" t="n"/>
      <c r="E242" s="10" t="n"/>
      <c r="F242" s="22" t="n"/>
      <c r="G242" s="24" t="n"/>
      <c r="H242" s="23" t="n"/>
      <c r="I242" s="25" t="n"/>
      <c r="J242" s="10">
        <f>IF(D242="","",IF(H242="✓","完了",IF(G242="","",IF(G242&lt;TODAY(),"期限超過",IF(G242=TODAY(),"今日まで","予定")))))</f>
        <v/>
      </c>
      <c r="K242" s="22" t="n"/>
      <c r="L242" s="26" t="n"/>
    </row>
    <row r="243">
      <c r="A243" s="11" t="n"/>
      <c r="B243" s="11" t="n"/>
      <c r="C243" s="10" t="n"/>
      <c r="D243" s="11" t="n"/>
      <c r="E243" s="10" t="n"/>
      <c r="F243" s="22" t="n"/>
      <c r="G243" s="24" t="n"/>
      <c r="H243" s="23" t="n"/>
      <c r="I243" s="25" t="n"/>
      <c r="J243" s="10">
        <f>IF(D243="","",IF(H243="✓","完了",IF(G243="","",IF(G243&lt;TODAY(),"期限超過",IF(G243=TODAY(),"今日まで","予定")))))</f>
        <v/>
      </c>
      <c r="K243" s="22" t="n"/>
      <c r="L243" s="26" t="n"/>
    </row>
    <row r="244">
      <c r="A244" s="11" t="n"/>
      <c r="B244" s="11" t="n"/>
      <c r="C244" s="10" t="n"/>
      <c r="D244" s="11" t="n"/>
      <c r="E244" s="10" t="n"/>
      <c r="F244" s="22" t="n"/>
      <c r="G244" s="24" t="n"/>
      <c r="H244" s="23" t="n"/>
      <c r="I244" s="25" t="n"/>
      <c r="J244" s="10">
        <f>IF(D244="","",IF(H244="✓","完了",IF(G244="","",IF(G244&lt;TODAY(),"期限超過",IF(G244=TODAY(),"今日まで","予定")))))</f>
        <v/>
      </c>
      <c r="K244" s="22" t="n"/>
      <c r="L244" s="26" t="n"/>
    </row>
    <row r="245">
      <c r="A245" s="11" t="n"/>
      <c r="B245" s="11" t="n"/>
      <c r="C245" s="10" t="n"/>
      <c r="D245" s="11" t="n"/>
      <c r="E245" s="10" t="n"/>
      <c r="F245" s="22" t="n"/>
      <c r="G245" s="24" t="n"/>
      <c r="H245" s="23" t="n"/>
      <c r="I245" s="25" t="n"/>
      <c r="J245" s="10">
        <f>IF(D245="","",IF(H245="✓","完了",IF(G245="","",IF(G245&lt;TODAY(),"期限超過",IF(G245=TODAY(),"今日まで","予定")))))</f>
        <v/>
      </c>
      <c r="K245" s="22" t="n"/>
      <c r="L245" s="26" t="n"/>
    </row>
    <row r="246">
      <c r="A246" s="11" t="n"/>
      <c r="B246" s="11" t="n"/>
      <c r="C246" s="10" t="n"/>
      <c r="D246" s="11" t="n"/>
      <c r="E246" s="10" t="n"/>
      <c r="F246" s="22" t="n"/>
      <c r="G246" s="24" t="n"/>
      <c r="H246" s="23" t="n"/>
      <c r="I246" s="25" t="n"/>
      <c r="J246" s="10">
        <f>IF(D246="","",IF(H246="✓","完了",IF(G246="","",IF(G246&lt;TODAY(),"期限超過",IF(G246=TODAY(),"今日まで","予定")))))</f>
        <v/>
      </c>
      <c r="K246" s="22" t="n"/>
      <c r="L246" s="26" t="n"/>
    </row>
    <row r="247">
      <c r="A247" s="11" t="n"/>
      <c r="B247" s="11" t="n"/>
      <c r="C247" s="10" t="n"/>
      <c r="D247" s="11" t="n"/>
      <c r="E247" s="10" t="n"/>
      <c r="F247" s="22" t="n"/>
      <c r="G247" s="24" t="n"/>
      <c r="H247" s="23" t="n"/>
      <c r="I247" s="25" t="n"/>
      <c r="J247" s="10">
        <f>IF(D247="","",IF(H247="✓","完了",IF(G247="","",IF(G247&lt;TODAY(),"期限超過",IF(G247=TODAY(),"今日まで","予定")))))</f>
        <v/>
      </c>
      <c r="K247" s="22" t="n"/>
      <c r="L247" s="26" t="n"/>
    </row>
    <row r="248">
      <c r="A248" s="11" t="n"/>
      <c r="B248" s="11" t="n"/>
      <c r="C248" s="10" t="n"/>
      <c r="D248" s="11" t="n"/>
      <c r="E248" s="10" t="n"/>
      <c r="F248" s="22" t="n"/>
      <c r="G248" s="24" t="n"/>
      <c r="H248" s="23" t="n"/>
      <c r="I248" s="25" t="n"/>
      <c r="J248" s="10">
        <f>IF(D248="","",IF(H248="✓","完了",IF(G248="","",IF(G248&lt;TODAY(),"期限超過",IF(G248=TODAY(),"今日まで","予定")))))</f>
        <v/>
      </c>
      <c r="K248" s="22" t="n"/>
      <c r="L248" s="26" t="n"/>
    </row>
    <row r="249">
      <c r="A249" s="11" t="n"/>
      <c r="B249" s="11" t="n"/>
      <c r="C249" s="10" t="n"/>
      <c r="D249" s="11" t="n"/>
      <c r="E249" s="10" t="n"/>
      <c r="F249" s="22" t="n"/>
      <c r="G249" s="24" t="n"/>
      <c r="H249" s="23" t="n"/>
      <c r="I249" s="25" t="n"/>
      <c r="J249" s="10">
        <f>IF(D249="","",IF(H249="✓","完了",IF(G249="","",IF(G249&lt;TODAY(),"期限超過",IF(G249=TODAY(),"今日まで","予定")))))</f>
        <v/>
      </c>
      <c r="K249" s="22" t="n"/>
      <c r="L249" s="26" t="n"/>
    </row>
    <row r="250">
      <c r="A250" s="11" t="n"/>
      <c r="B250" s="11" t="n"/>
      <c r="C250" s="10" t="n"/>
      <c r="D250" s="11" t="n"/>
      <c r="E250" s="10" t="n"/>
      <c r="F250" s="22" t="n"/>
      <c r="G250" s="24" t="n"/>
      <c r="H250" s="23" t="n"/>
      <c r="I250" s="25" t="n"/>
      <c r="J250" s="10">
        <f>IF(D250="","",IF(H250="✓","完了",IF(G250="","",IF(G250&lt;TODAY(),"期限超過",IF(G250=TODAY(),"今日まで","予定")))))</f>
        <v/>
      </c>
      <c r="K250" s="22" t="n"/>
      <c r="L250" s="26" t="n"/>
    </row>
    <row r="251">
      <c r="A251" s="11" t="n"/>
      <c r="B251" s="11" t="n"/>
      <c r="C251" s="10" t="n"/>
      <c r="D251" s="11" t="n"/>
      <c r="E251" s="10" t="n"/>
      <c r="F251" s="22" t="n"/>
      <c r="G251" s="24" t="n"/>
      <c r="H251" s="23" t="n"/>
      <c r="I251" s="25" t="n"/>
      <c r="J251" s="10">
        <f>IF(D251="","",IF(H251="✓","完了",IF(G251="","",IF(G251&lt;TODAY(),"期限超過",IF(G251=TODAY(),"今日まで","予定")))))</f>
        <v/>
      </c>
      <c r="K251" s="22" t="n"/>
      <c r="L251" s="26" t="n"/>
    </row>
    <row r="252">
      <c r="A252" s="11" t="n"/>
      <c r="B252" s="11" t="n"/>
      <c r="C252" s="10" t="n"/>
      <c r="D252" s="11" t="n"/>
      <c r="E252" s="10" t="n"/>
      <c r="F252" s="22" t="n"/>
      <c r="G252" s="24" t="n"/>
      <c r="H252" s="23" t="n"/>
      <c r="I252" s="25" t="n"/>
      <c r="J252" s="10">
        <f>IF(D252="","",IF(H252="✓","完了",IF(G252="","",IF(G252&lt;TODAY(),"期限超過",IF(G252=TODAY(),"今日まで","予定")))))</f>
        <v/>
      </c>
      <c r="K252" s="22" t="n"/>
      <c r="L252" s="26" t="n"/>
    </row>
    <row r="253">
      <c r="A253" s="11" t="n"/>
      <c r="B253" s="11" t="n"/>
      <c r="C253" s="10" t="n"/>
      <c r="D253" s="11" t="n"/>
      <c r="E253" s="10" t="n"/>
      <c r="F253" s="22" t="n"/>
      <c r="G253" s="24" t="n"/>
      <c r="H253" s="23" t="n"/>
      <c r="I253" s="25" t="n"/>
      <c r="J253" s="10">
        <f>IF(D253="","",IF(H253="✓","完了",IF(G253="","",IF(G253&lt;TODAY(),"期限超過",IF(G253=TODAY(),"今日まで","予定")))))</f>
        <v/>
      </c>
      <c r="K253" s="22" t="n"/>
      <c r="L253" s="26" t="n"/>
    </row>
    <row r="254">
      <c r="A254" s="11" t="n"/>
      <c r="B254" s="11" t="n"/>
      <c r="C254" s="10" t="n"/>
      <c r="D254" s="11" t="n"/>
      <c r="E254" s="10" t="n"/>
      <c r="F254" s="22" t="n"/>
      <c r="G254" s="24" t="n"/>
      <c r="H254" s="23" t="n"/>
      <c r="I254" s="25" t="n"/>
      <c r="J254" s="10">
        <f>IF(D254="","",IF(H254="✓","完了",IF(G254="","",IF(G254&lt;TODAY(),"期限超過",IF(G254=TODAY(),"今日まで","予定")))))</f>
        <v/>
      </c>
      <c r="K254" s="22" t="n"/>
      <c r="L254" s="26" t="n"/>
    </row>
    <row r="255">
      <c r="A255" s="11" t="n"/>
      <c r="B255" s="11" t="n"/>
      <c r="C255" s="10" t="n"/>
      <c r="D255" s="11" t="n"/>
      <c r="E255" s="10" t="n"/>
      <c r="F255" s="22" t="n"/>
      <c r="G255" s="24" t="n"/>
      <c r="H255" s="23" t="n"/>
      <c r="I255" s="25" t="n"/>
      <c r="J255" s="10">
        <f>IF(D255="","",IF(H255="✓","完了",IF(G255="","",IF(G255&lt;TODAY(),"期限超過",IF(G255=TODAY(),"今日まで","予定")))))</f>
        <v/>
      </c>
      <c r="K255" s="22" t="n"/>
      <c r="L255" s="26" t="n"/>
    </row>
    <row r="256">
      <c r="A256" s="11" t="n"/>
      <c r="B256" s="11" t="n"/>
      <c r="C256" s="10" t="n"/>
      <c r="D256" s="11" t="n"/>
      <c r="E256" s="10" t="n"/>
      <c r="F256" s="22" t="n"/>
      <c r="G256" s="24" t="n"/>
      <c r="H256" s="23" t="n"/>
      <c r="I256" s="25" t="n"/>
      <c r="J256" s="10">
        <f>IF(D256="","",IF(H256="✓","完了",IF(G256="","",IF(G256&lt;TODAY(),"期限超過",IF(G256=TODAY(),"今日まで","予定")))))</f>
        <v/>
      </c>
      <c r="K256" s="22" t="n"/>
      <c r="L256" s="26" t="n"/>
    </row>
    <row r="257">
      <c r="A257" s="11" t="n"/>
      <c r="B257" s="11" t="n"/>
      <c r="C257" s="10" t="n"/>
      <c r="D257" s="11" t="n"/>
      <c r="E257" s="10" t="n"/>
      <c r="F257" s="22" t="n"/>
      <c r="G257" s="24" t="n"/>
      <c r="H257" s="23" t="n"/>
      <c r="I257" s="25" t="n"/>
      <c r="J257" s="10">
        <f>IF(D257="","",IF(H257="✓","完了",IF(G257="","",IF(G257&lt;TODAY(),"期限超過",IF(G257=TODAY(),"今日まで","予定")))))</f>
        <v/>
      </c>
      <c r="K257" s="22" t="n"/>
      <c r="L257" s="26" t="n"/>
    </row>
    <row r="258">
      <c r="A258" s="11" t="n"/>
      <c r="B258" s="11" t="n"/>
      <c r="C258" s="10" t="n"/>
      <c r="D258" s="11" t="n"/>
      <c r="E258" s="10" t="n"/>
      <c r="F258" s="22" t="n"/>
      <c r="G258" s="24" t="n"/>
      <c r="H258" s="23" t="n"/>
      <c r="I258" s="25" t="n"/>
      <c r="J258" s="10">
        <f>IF(D258="","",IF(H258="✓","完了",IF(G258="","",IF(G258&lt;TODAY(),"期限超過",IF(G258=TODAY(),"今日まで","予定")))))</f>
        <v/>
      </c>
      <c r="K258" s="22" t="n"/>
      <c r="L258" s="26" t="n"/>
    </row>
    <row r="259">
      <c r="A259" s="11" t="n"/>
      <c r="B259" s="11" t="n"/>
      <c r="C259" s="10" t="n"/>
      <c r="D259" s="11" t="n"/>
      <c r="E259" s="10" t="n"/>
      <c r="F259" s="22" t="n"/>
      <c r="G259" s="24" t="n"/>
      <c r="H259" s="23" t="n"/>
      <c r="I259" s="25" t="n"/>
      <c r="J259" s="10">
        <f>IF(D259="","",IF(H259="✓","完了",IF(G259="","",IF(G259&lt;TODAY(),"期限超過",IF(G259=TODAY(),"今日まで","予定")))))</f>
        <v/>
      </c>
      <c r="K259" s="22" t="n"/>
      <c r="L259" s="26" t="n"/>
    </row>
    <row r="260">
      <c r="A260" s="11" t="n"/>
      <c r="B260" s="11" t="n"/>
      <c r="C260" s="10" t="n"/>
      <c r="D260" s="11" t="n"/>
      <c r="E260" s="10" t="n"/>
      <c r="F260" s="22" t="n"/>
      <c r="G260" s="24" t="n"/>
      <c r="H260" s="23" t="n"/>
      <c r="I260" s="25" t="n"/>
      <c r="J260" s="10">
        <f>IF(D260="","",IF(H260="✓","完了",IF(G260="","",IF(G260&lt;TODAY(),"期限超過",IF(G260=TODAY(),"今日まで","予定")))))</f>
        <v/>
      </c>
      <c r="K260" s="22" t="n"/>
      <c r="L260" s="26" t="n"/>
    </row>
    <row r="261">
      <c r="A261" s="11" t="n"/>
      <c r="B261" s="11" t="n"/>
      <c r="C261" s="10" t="n"/>
      <c r="D261" s="11" t="n"/>
      <c r="E261" s="10" t="n"/>
      <c r="F261" s="22" t="n"/>
      <c r="G261" s="24" t="n"/>
      <c r="H261" s="23" t="n"/>
      <c r="I261" s="25" t="n"/>
      <c r="J261" s="10">
        <f>IF(D261="","",IF(H261="✓","完了",IF(G261="","",IF(G261&lt;TODAY(),"期限超過",IF(G261=TODAY(),"今日まで","予定")))))</f>
        <v/>
      </c>
      <c r="K261" s="22" t="n"/>
      <c r="L261" s="26" t="n"/>
    </row>
    <row r="262">
      <c r="A262" s="11" t="n"/>
      <c r="B262" s="11" t="n"/>
      <c r="C262" s="10" t="n"/>
      <c r="D262" s="11" t="n"/>
      <c r="E262" s="10" t="n"/>
      <c r="F262" s="22" t="n"/>
      <c r="G262" s="24" t="n"/>
      <c r="H262" s="23" t="n"/>
      <c r="I262" s="25" t="n"/>
      <c r="J262" s="10">
        <f>IF(D262="","",IF(H262="✓","完了",IF(G262="","",IF(G262&lt;TODAY(),"期限超過",IF(G262=TODAY(),"今日まで","予定")))))</f>
        <v/>
      </c>
      <c r="K262" s="22" t="n"/>
      <c r="L262" s="26" t="n"/>
    </row>
    <row r="263">
      <c r="A263" s="11" t="n"/>
      <c r="B263" s="11" t="n"/>
      <c r="C263" s="10" t="n"/>
      <c r="D263" s="11" t="n"/>
      <c r="E263" s="10" t="n"/>
      <c r="F263" s="22" t="n"/>
      <c r="G263" s="24" t="n"/>
      <c r="H263" s="23" t="n"/>
      <c r="I263" s="25" t="n"/>
      <c r="J263" s="10">
        <f>IF(D263="","",IF(H263="✓","完了",IF(G263="","",IF(G263&lt;TODAY(),"期限超過",IF(G263=TODAY(),"今日まで","予定")))))</f>
        <v/>
      </c>
      <c r="K263" s="22" t="n"/>
      <c r="L263" s="26" t="n"/>
    </row>
    <row r="264">
      <c r="A264" s="11" t="n"/>
      <c r="B264" s="11" t="n"/>
      <c r="C264" s="10" t="n"/>
      <c r="D264" s="11" t="n"/>
      <c r="E264" s="10" t="n"/>
      <c r="F264" s="22" t="n"/>
      <c r="G264" s="24" t="n"/>
      <c r="H264" s="23" t="n"/>
      <c r="I264" s="25" t="n"/>
      <c r="J264" s="10">
        <f>IF(D264="","",IF(H264="✓","完了",IF(G264="","",IF(G264&lt;TODAY(),"期限超過",IF(G264=TODAY(),"今日まで","予定")))))</f>
        <v/>
      </c>
      <c r="K264" s="22" t="n"/>
      <c r="L264" s="26" t="n"/>
    </row>
    <row r="265">
      <c r="A265" s="11" t="n"/>
      <c r="B265" s="11" t="n"/>
      <c r="C265" s="10" t="n"/>
      <c r="D265" s="11" t="n"/>
      <c r="E265" s="10" t="n"/>
      <c r="F265" s="22" t="n"/>
      <c r="G265" s="24" t="n"/>
      <c r="H265" s="23" t="n"/>
      <c r="I265" s="25" t="n"/>
      <c r="J265" s="10">
        <f>IF(D265="","",IF(H265="✓","完了",IF(G265="","",IF(G265&lt;TODAY(),"期限超過",IF(G265=TODAY(),"今日まで","予定")))))</f>
        <v/>
      </c>
      <c r="K265" s="22" t="n"/>
      <c r="L265" s="26" t="n"/>
    </row>
    <row r="266">
      <c r="A266" s="11" t="n"/>
      <c r="B266" s="11" t="n"/>
      <c r="C266" s="10" t="n"/>
      <c r="D266" s="11" t="n"/>
      <c r="E266" s="10" t="n"/>
      <c r="F266" s="22" t="n"/>
      <c r="G266" s="24" t="n"/>
      <c r="H266" s="23" t="n"/>
      <c r="I266" s="25" t="n"/>
      <c r="J266" s="10">
        <f>IF(D266="","",IF(H266="✓","完了",IF(G266="","",IF(G266&lt;TODAY(),"期限超過",IF(G266=TODAY(),"今日まで","予定")))))</f>
        <v/>
      </c>
      <c r="K266" s="22" t="n"/>
      <c r="L266" s="26" t="n"/>
    </row>
    <row r="267">
      <c r="A267" s="11" t="n"/>
      <c r="B267" s="11" t="n"/>
      <c r="C267" s="10" t="n"/>
      <c r="D267" s="11" t="n"/>
      <c r="E267" s="10" t="n"/>
      <c r="F267" s="22" t="n"/>
      <c r="G267" s="24" t="n"/>
      <c r="H267" s="23" t="n"/>
      <c r="I267" s="25" t="n"/>
      <c r="J267" s="10">
        <f>IF(D267="","",IF(H267="✓","完了",IF(G267="","",IF(G267&lt;TODAY(),"期限超過",IF(G267=TODAY(),"今日まで","予定")))))</f>
        <v/>
      </c>
      <c r="K267" s="22" t="n"/>
      <c r="L267" s="26" t="n"/>
    </row>
    <row r="268">
      <c r="A268" s="11" t="n"/>
      <c r="B268" s="11" t="n"/>
      <c r="C268" s="10" t="n"/>
      <c r="D268" s="11" t="n"/>
      <c r="E268" s="10" t="n"/>
      <c r="F268" s="22" t="n"/>
      <c r="G268" s="24" t="n"/>
      <c r="H268" s="23" t="n"/>
      <c r="I268" s="25" t="n"/>
      <c r="J268" s="10">
        <f>IF(D268="","",IF(H268="✓","完了",IF(G268="","",IF(G268&lt;TODAY(),"期限超過",IF(G268=TODAY(),"今日まで","予定")))))</f>
        <v/>
      </c>
      <c r="K268" s="22" t="n"/>
      <c r="L268" s="26" t="n"/>
    </row>
    <row r="269">
      <c r="A269" s="11" t="n"/>
      <c r="B269" s="11" t="n"/>
      <c r="C269" s="10" t="n"/>
      <c r="D269" s="11" t="n"/>
      <c r="E269" s="10" t="n"/>
      <c r="F269" s="22" t="n"/>
      <c r="G269" s="24" t="n"/>
      <c r="H269" s="23" t="n"/>
      <c r="I269" s="25" t="n"/>
      <c r="J269" s="10">
        <f>IF(D269="","",IF(H269="✓","完了",IF(G269="","",IF(G269&lt;TODAY(),"期限超過",IF(G269=TODAY(),"今日まで","予定")))))</f>
        <v/>
      </c>
      <c r="K269" s="22" t="n"/>
      <c r="L269" s="26" t="n"/>
    </row>
    <row r="270">
      <c r="A270" s="11" t="n"/>
      <c r="B270" s="11" t="n"/>
      <c r="C270" s="10" t="n"/>
      <c r="D270" s="11" t="n"/>
      <c r="E270" s="10" t="n"/>
      <c r="F270" s="22" t="n"/>
      <c r="G270" s="24" t="n"/>
      <c r="H270" s="23" t="n"/>
      <c r="I270" s="25" t="n"/>
      <c r="J270" s="10">
        <f>IF(D270="","",IF(H270="✓","完了",IF(G270="","",IF(G270&lt;TODAY(),"期限超過",IF(G270=TODAY(),"今日まで","予定")))))</f>
        <v/>
      </c>
      <c r="K270" s="22" t="n"/>
      <c r="L270" s="26" t="n"/>
    </row>
    <row r="271">
      <c r="A271" s="11" t="n"/>
      <c r="B271" s="11" t="n"/>
      <c r="C271" s="10" t="n"/>
      <c r="D271" s="11" t="n"/>
      <c r="E271" s="10" t="n"/>
      <c r="F271" s="22" t="n"/>
      <c r="G271" s="24" t="n"/>
      <c r="H271" s="23" t="n"/>
      <c r="I271" s="25" t="n"/>
      <c r="J271" s="10">
        <f>IF(D271="","",IF(H271="✓","完了",IF(G271="","",IF(G271&lt;TODAY(),"期限超過",IF(G271=TODAY(),"今日まで","予定")))))</f>
        <v/>
      </c>
      <c r="K271" s="22" t="n"/>
      <c r="L271" s="26" t="n"/>
    </row>
    <row r="272">
      <c r="A272" s="11" t="n"/>
      <c r="B272" s="11" t="n"/>
      <c r="C272" s="10" t="n"/>
      <c r="D272" s="11" t="n"/>
      <c r="E272" s="10" t="n"/>
      <c r="F272" s="22" t="n"/>
      <c r="G272" s="24" t="n"/>
      <c r="H272" s="23" t="n"/>
      <c r="I272" s="25" t="n"/>
      <c r="J272" s="10">
        <f>IF(D272="","",IF(H272="✓","完了",IF(G272="","",IF(G272&lt;TODAY(),"期限超過",IF(G272=TODAY(),"今日まで","予定")))))</f>
        <v/>
      </c>
      <c r="K272" s="22" t="n"/>
      <c r="L272" s="26" t="n"/>
    </row>
    <row r="273">
      <c r="A273" s="11" t="n"/>
      <c r="B273" s="11" t="n"/>
      <c r="C273" s="10" t="n"/>
      <c r="D273" s="11" t="n"/>
      <c r="E273" s="10" t="n"/>
      <c r="F273" s="22" t="n"/>
      <c r="G273" s="24" t="n"/>
      <c r="H273" s="23" t="n"/>
      <c r="I273" s="25" t="n"/>
      <c r="J273" s="10">
        <f>IF(D273="","",IF(H273="✓","完了",IF(G273="","",IF(G273&lt;TODAY(),"期限超過",IF(G273=TODAY(),"今日まで","予定")))))</f>
        <v/>
      </c>
      <c r="K273" s="22" t="n"/>
      <c r="L273" s="26" t="n"/>
    </row>
    <row r="274">
      <c r="A274" s="11" t="n"/>
      <c r="B274" s="11" t="n"/>
      <c r="C274" s="10" t="n"/>
      <c r="D274" s="11" t="n"/>
      <c r="E274" s="10" t="n"/>
      <c r="F274" s="22" t="n"/>
      <c r="G274" s="24" t="n"/>
      <c r="H274" s="23" t="n"/>
      <c r="I274" s="25" t="n"/>
      <c r="J274" s="10">
        <f>IF(D274="","",IF(H274="✓","完了",IF(G274="","",IF(G274&lt;TODAY(),"期限超過",IF(G274=TODAY(),"今日まで","予定")))))</f>
        <v/>
      </c>
      <c r="K274" s="22" t="n"/>
      <c r="L274" s="26" t="n"/>
    </row>
    <row r="275">
      <c r="A275" s="11" t="n"/>
      <c r="B275" s="11" t="n"/>
      <c r="C275" s="10" t="n"/>
      <c r="D275" s="11" t="n"/>
      <c r="E275" s="10" t="n"/>
      <c r="F275" s="22" t="n"/>
      <c r="G275" s="24" t="n"/>
      <c r="H275" s="23" t="n"/>
      <c r="I275" s="25" t="n"/>
      <c r="J275" s="10">
        <f>IF(D275="","",IF(H275="✓","完了",IF(G275="","",IF(G275&lt;TODAY(),"期限超過",IF(G275=TODAY(),"今日まで","予定")))))</f>
        <v/>
      </c>
      <c r="K275" s="22" t="n"/>
      <c r="L275" s="26" t="n"/>
    </row>
    <row r="276">
      <c r="A276" s="11" t="n"/>
      <c r="B276" s="11" t="n"/>
      <c r="C276" s="10" t="n"/>
      <c r="D276" s="11" t="n"/>
      <c r="E276" s="10" t="n"/>
      <c r="F276" s="22" t="n"/>
      <c r="G276" s="24" t="n"/>
      <c r="H276" s="23" t="n"/>
      <c r="I276" s="25" t="n"/>
      <c r="J276" s="10">
        <f>IF(D276="","",IF(H276="✓","完了",IF(G276="","",IF(G276&lt;TODAY(),"期限超過",IF(G276=TODAY(),"今日まで","予定")))))</f>
        <v/>
      </c>
      <c r="K276" s="22" t="n"/>
      <c r="L276" s="26" t="n"/>
    </row>
    <row r="277">
      <c r="A277" s="11" t="n"/>
      <c r="B277" s="11" t="n"/>
      <c r="C277" s="10" t="n"/>
      <c r="D277" s="11" t="n"/>
      <c r="E277" s="10" t="n"/>
      <c r="F277" s="22" t="n"/>
      <c r="G277" s="24" t="n"/>
      <c r="H277" s="23" t="n"/>
      <c r="I277" s="25" t="n"/>
      <c r="J277" s="10">
        <f>IF(D277="","",IF(H277="✓","完了",IF(G277="","",IF(G277&lt;TODAY(),"期限超過",IF(G277=TODAY(),"今日まで","予定")))))</f>
        <v/>
      </c>
      <c r="K277" s="22" t="n"/>
      <c r="L277" s="26" t="n"/>
    </row>
    <row r="278">
      <c r="A278" s="11" t="n"/>
      <c r="B278" s="11" t="n"/>
      <c r="C278" s="10" t="n"/>
      <c r="D278" s="11" t="n"/>
      <c r="E278" s="10" t="n"/>
      <c r="F278" s="22" t="n"/>
      <c r="G278" s="24" t="n"/>
      <c r="H278" s="23" t="n"/>
      <c r="I278" s="25" t="n"/>
      <c r="J278" s="10">
        <f>IF(D278="","",IF(H278="✓","完了",IF(G278="","",IF(G278&lt;TODAY(),"期限超過",IF(G278=TODAY(),"今日まで","予定")))))</f>
        <v/>
      </c>
      <c r="K278" s="22" t="n"/>
      <c r="L278" s="26" t="n"/>
    </row>
    <row r="279">
      <c r="A279" s="11" t="n"/>
      <c r="B279" s="11" t="n"/>
      <c r="C279" s="10" t="n"/>
      <c r="D279" s="11" t="n"/>
      <c r="E279" s="10" t="n"/>
      <c r="F279" s="22" t="n"/>
      <c r="G279" s="24" t="n"/>
      <c r="H279" s="23" t="n"/>
      <c r="I279" s="25" t="n"/>
      <c r="J279" s="10">
        <f>IF(D279="","",IF(H279="✓","完了",IF(G279="","",IF(G279&lt;TODAY(),"期限超過",IF(G279=TODAY(),"今日まで","予定")))))</f>
        <v/>
      </c>
      <c r="K279" s="22" t="n"/>
      <c r="L279" s="26" t="n"/>
    </row>
    <row r="280">
      <c r="A280" s="11" t="n"/>
      <c r="B280" s="11" t="n"/>
      <c r="C280" s="10" t="n"/>
      <c r="D280" s="11" t="n"/>
      <c r="E280" s="10" t="n"/>
      <c r="F280" s="22" t="n"/>
      <c r="G280" s="24" t="n"/>
      <c r="H280" s="23" t="n"/>
      <c r="I280" s="25" t="n"/>
      <c r="J280" s="10">
        <f>IF(D280="","",IF(H280="✓","完了",IF(G280="","",IF(G280&lt;TODAY(),"期限超過",IF(G280=TODAY(),"今日まで","予定")))))</f>
        <v/>
      </c>
      <c r="K280" s="22" t="n"/>
      <c r="L280" s="26" t="n"/>
    </row>
    <row r="281">
      <c r="A281" s="11" t="n"/>
      <c r="B281" s="11" t="n"/>
      <c r="C281" s="10" t="n"/>
      <c r="D281" s="11" t="n"/>
      <c r="E281" s="10" t="n"/>
      <c r="F281" s="22" t="n"/>
      <c r="G281" s="24" t="n"/>
      <c r="H281" s="23" t="n"/>
      <c r="I281" s="25" t="n"/>
      <c r="J281" s="10">
        <f>IF(D281="","",IF(H281="✓","完了",IF(G281="","",IF(G281&lt;TODAY(),"期限超過",IF(G281=TODAY(),"今日まで","予定")))))</f>
        <v/>
      </c>
      <c r="K281" s="22" t="n"/>
      <c r="L281" s="26" t="n"/>
    </row>
    <row r="282">
      <c r="A282" s="11" t="n"/>
      <c r="B282" s="11" t="n"/>
      <c r="C282" s="10" t="n"/>
      <c r="D282" s="11" t="n"/>
      <c r="E282" s="10" t="n"/>
      <c r="F282" s="22" t="n"/>
      <c r="G282" s="24" t="n"/>
      <c r="H282" s="23" t="n"/>
      <c r="I282" s="25" t="n"/>
      <c r="J282" s="10">
        <f>IF(D282="","",IF(H282="✓","完了",IF(G282="","",IF(G282&lt;TODAY(),"期限超過",IF(G282=TODAY(),"今日まで","予定")))))</f>
        <v/>
      </c>
      <c r="K282" s="22" t="n"/>
      <c r="L282" s="26" t="n"/>
    </row>
    <row r="283">
      <c r="A283" s="11" t="n"/>
      <c r="B283" s="11" t="n"/>
      <c r="C283" s="10" t="n"/>
      <c r="D283" s="11" t="n"/>
      <c r="E283" s="10" t="n"/>
      <c r="F283" s="22" t="n"/>
      <c r="G283" s="24" t="n"/>
      <c r="H283" s="23" t="n"/>
      <c r="I283" s="25" t="n"/>
      <c r="J283" s="10">
        <f>IF(D283="","",IF(H283="✓","完了",IF(G283="","",IF(G283&lt;TODAY(),"期限超過",IF(G283=TODAY(),"今日まで","予定")))))</f>
        <v/>
      </c>
      <c r="K283" s="22" t="n"/>
      <c r="L283" s="26" t="n"/>
    </row>
    <row r="284">
      <c r="A284" s="11" t="n"/>
      <c r="B284" s="11" t="n"/>
      <c r="C284" s="10" t="n"/>
      <c r="D284" s="11" t="n"/>
      <c r="E284" s="10" t="n"/>
      <c r="F284" s="22" t="n"/>
      <c r="G284" s="24" t="n"/>
      <c r="H284" s="23" t="n"/>
      <c r="I284" s="25" t="n"/>
      <c r="J284" s="10">
        <f>IF(D284="","",IF(H284="✓","完了",IF(G284="","",IF(G284&lt;TODAY(),"期限超過",IF(G284=TODAY(),"今日まで","予定")))))</f>
        <v/>
      </c>
      <c r="K284" s="22" t="n"/>
      <c r="L284" s="26" t="n"/>
    </row>
    <row r="285">
      <c r="A285" s="11" t="n"/>
      <c r="B285" s="11" t="n"/>
      <c r="C285" s="10" t="n"/>
      <c r="D285" s="11" t="n"/>
      <c r="E285" s="10" t="n"/>
      <c r="F285" s="22" t="n"/>
      <c r="G285" s="24" t="n"/>
      <c r="H285" s="23" t="n"/>
      <c r="I285" s="25" t="n"/>
      <c r="J285" s="10">
        <f>IF(D285="","",IF(H285="✓","完了",IF(G285="","",IF(G285&lt;TODAY(),"期限超過",IF(G285=TODAY(),"今日まで","予定")))))</f>
        <v/>
      </c>
      <c r="K285" s="22" t="n"/>
      <c r="L285" s="26" t="n"/>
    </row>
    <row r="286">
      <c r="A286" s="11" t="n"/>
      <c r="B286" s="11" t="n"/>
      <c r="C286" s="10" t="n"/>
      <c r="D286" s="11" t="n"/>
      <c r="E286" s="10" t="n"/>
      <c r="F286" s="22" t="n"/>
      <c r="G286" s="24" t="n"/>
      <c r="H286" s="23" t="n"/>
      <c r="I286" s="25" t="n"/>
      <c r="J286" s="10">
        <f>IF(D286="","",IF(H286="✓","完了",IF(G286="","",IF(G286&lt;TODAY(),"期限超過",IF(G286=TODAY(),"今日まで","予定")))))</f>
        <v/>
      </c>
      <c r="K286" s="22" t="n"/>
      <c r="L286" s="26" t="n"/>
    </row>
    <row r="287">
      <c r="A287" s="11" t="n"/>
      <c r="B287" s="11" t="n"/>
      <c r="C287" s="10" t="n"/>
      <c r="D287" s="11" t="n"/>
      <c r="E287" s="10" t="n"/>
      <c r="F287" s="22" t="n"/>
      <c r="G287" s="24" t="n"/>
      <c r="H287" s="23" t="n"/>
      <c r="I287" s="25" t="n"/>
      <c r="J287" s="10">
        <f>IF(D287="","",IF(H287="✓","完了",IF(G287="","",IF(G287&lt;TODAY(),"期限超過",IF(G287=TODAY(),"今日まで","予定")))))</f>
        <v/>
      </c>
      <c r="K287" s="22" t="n"/>
      <c r="L287" s="26" t="n"/>
    </row>
    <row r="288">
      <c r="A288" s="11" t="n"/>
      <c r="B288" s="11" t="n"/>
      <c r="C288" s="10" t="n"/>
      <c r="D288" s="11" t="n"/>
      <c r="E288" s="10" t="n"/>
      <c r="F288" s="22" t="n"/>
      <c r="G288" s="24" t="n"/>
      <c r="H288" s="23" t="n"/>
      <c r="I288" s="25" t="n"/>
      <c r="J288" s="10">
        <f>IF(D288="","",IF(H288="✓","完了",IF(G288="","",IF(G288&lt;TODAY(),"期限超過",IF(G288=TODAY(),"今日まで","予定")))))</f>
        <v/>
      </c>
      <c r="K288" s="22" t="n"/>
      <c r="L288" s="26" t="n"/>
    </row>
    <row r="289">
      <c r="A289" s="11" t="n"/>
      <c r="B289" s="11" t="n"/>
      <c r="C289" s="10" t="n"/>
      <c r="D289" s="11" t="n"/>
      <c r="E289" s="10" t="n"/>
      <c r="F289" s="22" t="n"/>
      <c r="G289" s="24" t="n"/>
      <c r="H289" s="23" t="n"/>
      <c r="I289" s="25" t="n"/>
      <c r="J289" s="10">
        <f>IF(D289="","",IF(H289="✓","完了",IF(G289="","",IF(G289&lt;TODAY(),"期限超過",IF(G289=TODAY(),"今日まで","予定")))))</f>
        <v/>
      </c>
      <c r="K289" s="22" t="n"/>
      <c r="L289" s="26" t="n"/>
    </row>
    <row r="290">
      <c r="A290" s="11" t="n"/>
      <c r="B290" s="11" t="n"/>
      <c r="C290" s="10" t="n"/>
      <c r="D290" s="11" t="n"/>
      <c r="E290" s="10" t="n"/>
      <c r="F290" s="22" t="n"/>
      <c r="G290" s="24" t="n"/>
      <c r="H290" s="23" t="n"/>
      <c r="I290" s="25" t="n"/>
      <c r="J290" s="10">
        <f>IF(D290="","",IF(H290="✓","完了",IF(G290="","",IF(G290&lt;TODAY(),"期限超過",IF(G290=TODAY(),"今日まで","予定")))))</f>
        <v/>
      </c>
      <c r="K290" s="22" t="n"/>
      <c r="L290" s="26" t="n"/>
    </row>
    <row r="291">
      <c r="A291" s="11" t="n"/>
      <c r="B291" s="11" t="n"/>
      <c r="C291" s="10" t="n"/>
      <c r="D291" s="11" t="n"/>
      <c r="E291" s="10" t="n"/>
      <c r="F291" s="22" t="n"/>
      <c r="G291" s="24" t="n"/>
      <c r="H291" s="23" t="n"/>
      <c r="I291" s="25" t="n"/>
      <c r="J291" s="10">
        <f>IF(D291="","",IF(H291="✓","完了",IF(G291="","",IF(G291&lt;TODAY(),"期限超過",IF(G291=TODAY(),"今日まで","予定")))))</f>
        <v/>
      </c>
      <c r="K291" s="22" t="n"/>
      <c r="L291" s="26" t="n"/>
    </row>
    <row r="292">
      <c r="A292" s="11" t="n"/>
      <c r="B292" s="11" t="n"/>
      <c r="C292" s="10" t="n"/>
      <c r="D292" s="11" t="n"/>
      <c r="E292" s="10" t="n"/>
      <c r="F292" s="22" t="n"/>
      <c r="G292" s="24" t="n"/>
      <c r="H292" s="23" t="n"/>
      <c r="I292" s="25" t="n"/>
      <c r="J292" s="10">
        <f>IF(D292="","",IF(H292="✓","完了",IF(G292="","",IF(G292&lt;TODAY(),"期限超過",IF(G292=TODAY(),"今日まで","予定")))))</f>
        <v/>
      </c>
      <c r="K292" s="22" t="n"/>
      <c r="L292" s="26" t="n"/>
    </row>
    <row r="293">
      <c r="A293" s="11" t="n"/>
      <c r="B293" s="11" t="n"/>
      <c r="C293" s="10" t="n"/>
      <c r="D293" s="11" t="n"/>
      <c r="E293" s="10" t="n"/>
      <c r="F293" s="22" t="n"/>
      <c r="G293" s="24" t="n"/>
      <c r="H293" s="23" t="n"/>
      <c r="I293" s="25" t="n"/>
      <c r="J293" s="10">
        <f>IF(D293="","",IF(H293="✓","完了",IF(G293="","",IF(G293&lt;TODAY(),"期限超過",IF(G293=TODAY(),"今日まで","予定")))))</f>
        <v/>
      </c>
      <c r="K293" s="22" t="n"/>
      <c r="L293" s="26" t="n"/>
    </row>
    <row r="294">
      <c r="A294" s="11" t="n"/>
      <c r="B294" s="11" t="n"/>
      <c r="C294" s="10" t="n"/>
      <c r="D294" s="11" t="n"/>
      <c r="E294" s="10" t="n"/>
      <c r="F294" s="22" t="n"/>
      <c r="G294" s="24" t="n"/>
      <c r="H294" s="23" t="n"/>
      <c r="I294" s="25" t="n"/>
      <c r="J294" s="10">
        <f>IF(D294="","",IF(H294="✓","完了",IF(G294="","",IF(G294&lt;TODAY(),"期限超過",IF(G294=TODAY(),"今日まで","予定")))))</f>
        <v/>
      </c>
      <c r="K294" s="22" t="n"/>
      <c r="L294" s="26" t="n"/>
    </row>
    <row r="295">
      <c r="A295" s="11" t="n"/>
      <c r="B295" s="11" t="n"/>
      <c r="C295" s="10" t="n"/>
      <c r="D295" s="11" t="n"/>
      <c r="E295" s="10" t="n"/>
      <c r="F295" s="22" t="n"/>
      <c r="G295" s="24" t="n"/>
      <c r="H295" s="23" t="n"/>
      <c r="I295" s="25" t="n"/>
      <c r="J295" s="10">
        <f>IF(D295="","",IF(H295="✓","完了",IF(G295="","",IF(G295&lt;TODAY(),"期限超過",IF(G295=TODAY(),"今日まで","予定")))))</f>
        <v/>
      </c>
      <c r="K295" s="22" t="n"/>
      <c r="L295" s="26" t="n"/>
    </row>
    <row r="296">
      <c r="A296" s="11" t="n"/>
      <c r="B296" s="11" t="n"/>
      <c r="C296" s="10" t="n"/>
      <c r="D296" s="11" t="n"/>
      <c r="E296" s="10" t="n"/>
      <c r="F296" s="22" t="n"/>
      <c r="G296" s="24" t="n"/>
      <c r="H296" s="23" t="n"/>
      <c r="I296" s="25" t="n"/>
      <c r="J296" s="10">
        <f>IF(D296="","",IF(H296="✓","完了",IF(G296="","",IF(G296&lt;TODAY(),"期限超過",IF(G296=TODAY(),"今日まで","予定")))))</f>
        <v/>
      </c>
      <c r="K296" s="22" t="n"/>
      <c r="L296" s="26" t="n"/>
    </row>
    <row r="297">
      <c r="A297" s="11" t="n"/>
      <c r="B297" s="11" t="n"/>
      <c r="C297" s="10" t="n"/>
      <c r="D297" s="11" t="n"/>
      <c r="E297" s="10" t="n"/>
      <c r="F297" s="22" t="n"/>
      <c r="G297" s="24" t="n"/>
      <c r="H297" s="23" t="n"/>
      <c r="I297" s="25" t="n"/>
      <c r="J297" s="10">
        <f>IF(D297="","",IF(H297="✓","完了",IF(G297="","",IF(G297&lt;TODAY(),"期限超過",IF(G297=TODAY(),"今日まで","予定")))))</f>
        <v/>
      </c>
      <c r="K297" s="22" t="n"/>
      <c r="L297" s="26" t="n"/>
    </row>
    <row r="298">
      <c r="A298" s="11" t="n"/>
      <c r="B298" s="11" t="n"/>
      <c r="C298" s="10" t="n"/>
      <c r="D298" s="11" t="n"/>
      <c r="E298" s="10" t="n"/>
      <c r="F298" s="22" t="n"/>
      <c r="G298" s="24" t="n"/>
      <c r="H298" s="23" t="n"/>
      <c r="I298" s="25" t="n"/>
      <c r="J298" s="10">
        <f>IF(D298="","",IF(H298="✓","完了",IF(G298="","",IF(G298&lt;TODAY(),"期限超過",IF(G298=TODAY(),"今日まで","予定")))))</f>
        <v/>
      </c>
      <c r="K298" s="22" t="n"/>
      <c r="L298" s="26" t="n"/>
    </row>
    <row r="299">
      <c r="A299" s="11" t="n"/>
      <c r="B299" s="11" t="n"/>
      <c r="C299" s="10" t="n"/>
      <c r="D299" s="11" t="n"/>
      <c r="E299" s="10" t="n"/>
      <c r="F299" s="22" t="n"/>
      <c r="G299" s="24" t="n"/>
      <c r="H299" s="23" t="n"/>
      <c r="I299" s="25" t="n"/>
      <c r="J299" s="10">
        <f>IF(D299="","",IF(H299="✓","完了",IF(G299="","",IF(G299&lt;TODAY(),"期限超過",IF(G299=TODAY(),"今日まで","予定")))))</f>
        <v/>
      </c>
      <c r="K299" s="22" t="n"/>
      <c r="L299" s="26" t="n"/>
    </row>
    <row r="300">
      <c r="A300" s="11" t="n"/>
      <c r="B300" s="11" t="n"/>
      <c r="C300" s="10" t="n"/>
      <c r="D300" s="11" t="n"/>
      <c r="E300" s="10" t="n"/>
      <c r="F300" s="22" t="n"/>
      <c r="G300" s="24" t="n"/>
      <c r="H300" s="23" t="n"/>
      <c r="I300" s="25" t="n"/>
      <c r="J300" s="10">
        <f>IF(D300="","",IF(H300="✓","完了",IF(G300="","",IF(G300&lt;TODAY(),"期限超過",IF(G300=TODAY(),"今日まで","予定")))))</f>
        <v/>
      </c>
      <c r="K300" s="22" t="n"/>
      <c r="L300" s="26" t="n"/>
    </row>
    <row r="301">
      <c r="A301" s="11" t="n"/>
      <c r="B301" s="11" t="n"/>
      <c r="C301" s="10" t="n"/>
      <c r="D301" s="11" t="n"/>
      <c r="E301" s="10" t="n"/>
      <c r="F301" s="22" t="n"/>
      <c r="G301" s="24" t="n"/>
      <c r="H301" s="23" t="n"/>
      <c r="I301" s="25" t="n"/>
      <c r="J301" s="10">
        <f>IF(D301="","",IF(H301="✓","完了",IF(G301="","",IF(G301&lt;TODAY(),"期限超過",IF(G301=TODAY(),"今日まで","予定")))))</f>
        <v/>
      </c>
      <c r="K301" s="22" t="n"/>
      <c r="L301" s="26" t="n"/>
    </row>
    <row r="302">
      <c r="A302" s="11" t="n"/>
      <c r="B302" s="11" t="n"/>
      <c r="C302" s="10" t="n"/>
      <c r="D302" s="11" t="n"/>
      <c r="E302" s="10" t="n"/>
      <c r="F302" s="22" t="n"/>
      <c r="G302" s="24" t="n"/>
      <c r="H302" s="23" t="n"/>
      <c r="I302" s="25" t="n"/>
      <c r="J302" s="10">
        <f>IF(D302="","",IF(H302="✓","完了",IF(G302="","",IF(G302&lt;TODAY(),"期限超過",IF(G302=TODAY(),"今日まで","予定")))))</f>
        <v/>
      </c>
      <c r="K302" s="22" t="n"/>
      <c r="L302" s="26" t="n"/>
    </row>
    <row r="303">
      <c r="A303" s="11" t="n"/>
      <c r="B303" s="11" t="n"/>
      <c r="C303" s="10" t="n"/>
      <c r="D303" s="11" t="n"/>
      <c r="E303" s="10" t="n"/>
      <c r="F303" s="22" t="n"/>
      <c r="G303" s="24" t="n"/>
      <c r="H303" s="23" t="n"/>
      <c r="I303" s="25" t="n"/>
      <c r="J303" s="10">
        <f>IF(D303="","",IF(H303="✓","完了",IF(G303="","",IF(G303&lt;TODAY(),"期限超過",IF(G303=TODAY(),"今日まで","予定")))))</f>
        <v/>
      </c>
      <c r="K303" s="22" t="n"/>
      <c r="L303" s="26" t="n"/>
    </row>
    <row r="304">
      <c r="A304" s="11" t="n"/>
      <c r="B304" s="11" t="n"/>
      <c r="C304" s="10" t="n"/>
      <c r="D304" s="11" t="n"/>
      <c r="E304" s="10" t="n"/>
      <c r="F304" s="22" t="n"/>
      <c r="G304" s="24" t="n"/>
      <c r="H304" s="23" t="n"/>
      <c r="I304" s="25" t="n"/>
      <c r="J304" s="10">
        <f>IF(D304="","",IF(H304="✓","完了",IF(G304="","",IF(G304&lt;TODAY(),"期限超過",IF(G304=TODAY(),"今日まで","予定")))))</f>
        <v/>
      </c>
      <c r="K304" s="22" t="n"/>
      <c r="L304" s="26" t="n"/>
    </row>
    <row r="305">
      <c r="A305" s="11" t="n"/>
      <c r="B305" s="11" t="n"/>
      <c r="C305" s="10" t="n"/>
      <c r="D305" s="11" t="n"/>
      <c r="E305" s="10" t="n"/>
      <c r="F305" s="22" t="n"/>
      <c r="G305" s="24" t="n"/>
      <c r="H305" s="23" t="n"/>
      <c r="I305" s="25" t="n"/>
      <c r="J305" s="10">
        <f>IF(D305="","",IF(H305="✓","完了",IF(G305="","",IF(G305&lt;TODAY(),"期限超過",IF(G305=TODAY(),"今日まで","予定")))))</f>
        <v/>
      </c>
      <c r="K305" s="22" t="n"/>
      <c r="L305" s="26" t="n"/>
    </row>
    <row r="306">
      <c r="A306" s="11" t="n"/>
      <c r="B306" s="11" t="n"/>
      <c r="C306" s="10" t="n"/>
      <c r="D306" s="11" t="n"/>
      <c r="E306" s="10" t="n"/>
      <c r="F306" s="22" t="n"/>
      <c r="G306" s="24" t="n"/>
      <c r="H306" s="23" t="n"/>
      <c r="I306" s="25" t="n"/>
      <c r="J306" s="10">
        <f>IF(D306="","",IF(H306="✓","完了",IF(G306="","",IF(G306&lt;TODAY(),"期限超過",IF(G306=TODAY(),"今日まで","予定")))))</f>
        <v/>
      </c>
      <c r="K306" s="22" t="n"/>
      <c r="L306" s="26" t="n"/>
    </row>
    <row r="307">
      <c r="A307" s="11" t="n"/>
      <c r="B307" s="11" t="n"/>
      <c r="C307" s="10" t="n"/>
      <c r="D307" s="11" t="n"/>
      <c r="E307" s="10" t="n"/>
      <c r="F307" s="22" t="n"/>
      <c r="G307" s="24" t="n"/>
      <c r="H307" s="23" t="n"/>
      <c r="I307" s="25" t="n"/>
      <c r="J307" s="10">
        <f>IF(D307="","",IF(H307="✓","完了",IF(G307="","",IF(G307&lt;TODAY(),"期限超過",IF(G307=TODAY(),"今日まで","予定")))))</f>
        <v/>
      </c>
      <c r="K307" s="22" t="n"/>
      <c r="L307" s="26" t="n"/>
    </row>
    <row r="308">
      <c r="A308" s="11" t="n"/>
      <c r="B308" s="11" t="n"/>
      <c r="C308" s="10" t="n"/>
      <c r="D308" s="11" t="n"/>
      <c r="E308" s="10" t="n"/>
      <c r="F308" s="22" t="n"/>
      <c r="G308" s="24" t="n"/>
      <c r="H308" s="23" t="n"/>
      <c r="I308" s="25" t="n"/>
      <c r="J308" s="10">
        <f>IF(D308="","",IF(H308="✓","完了",IF(G308="","",IF(G308&lt;TODAY(),"期限超過",IF(G308=TODAY(),"今日まで","予定")))))</f>
        <v/>
      </c>
      <c r="K308" s="22" t="n"/>
      <c r="L308" s="26" t="n"/>
    </row>
    <row r="309">
      <c r="A309" s="11" t="n"/>
      <c r="B309" s="11" t="n"/>
      <c r="C309" s="10" t="n"/>
      <c r="D309" s="11" t="n"/>
      <c r="E309" s="10" t="n"/>
      <c r="F309" s="22" t="n"/>
      <c r="G309" s="24" t="n"/>
      <c r="H309" s="23" t="n"/>
      <c r="I309" s="25" t="n"/>
      <c r="J309" s="10">
        <f>IF(D309="","",IF(H309="✓","完了",IF(G309="","",IF(G309&lt;TODAY(),"期限超過",IF(G309=TODAY(),"今日まで","予定")))))</f>
        <v/>
      </c>
      <c r="K309" s="22" t="n"/>
      <c r="L309" s="26" t="n"/>
    </row>
    <row r="310">
      <c r="A310" s="11" t="n"/>
      <c r="B310" s="11" t="n"/>
      <c r="C310" s="10" t="n"/>
      <c r="D310" s="11" t="n"/>
      <c r="E310" s="10" t="n"/>
      <c r="F310" s="22" t="n"/>
      <c r="G310" s="24" t="n"/>
      <c r="H310" s="23" t="n"/>
      <c r="I310" s="25" t="n"/>
      <c r="J310" s="10">
        <f>IF(D310="","",IF(H310="✓","完了",IF(G310="","",IF(G310&lt;TODAY(),"期限超過",IF(G310=TODAY(),"今日まで","予定")))))</f>
        <v/>
      </c>
      <c r="K310" s="22" t="n"/>
      <c r="L310" s="26" t="n"/>
    </row>
    <row r="311">
      <c r="A311" s="11" t="n"/>
      <c r="B311" s="11" t="n"/>
      <c r="C311" s="10" t="n"/>
      <c r="D311" s="11" t="n"/>
      <c r="E311" s="10" t="n"/>
      <c r="F311" s="22" t="n"/>
      <c r="G311" s="24" t="n"/>
      <c r="H311" s="23" t="n"/>
      <c r="I311" s="25" t="n"/>
      <c r="J311" s="10">
        <f>IF(D311="","",IF(H311="✓","完了",IF(G311="","",IF(G311&lt;TODAY(),"期限超過",IF(G311=TODAY(),"今日まで","予定")))))</f>
        <v/>
      </c>
      <c r="K311" s="22" t="n"/>
      <c r="L311" s="26" t="n"/>
    </row>
    <row r="312">
      <c r="A312" s="11" t="n"/>
      <c r="B312" s="11" t="n"/>
      <c r="C312" s="10" t="n"/>
      <c r="D312" s="11" t="n"/>
      <c r="E312" s="10" t="n"/>
      <c r="F312" s="22" t="n"/>
      <c r="G312" s="24" t="n"/>
      <c r="H312" s="23" t="n"/>
      <c r="I312" s="25" t="n"/>
      <c r="J312" s="10">
        <f>IF(D312="","",IF(H312="✓","完了",IF(G312="","",IF(G312&lt;TODAY(),"期限超過",IF(G312=TODAY(),"今日まで","予定")))))</f>
        <v/>
      </c>
      <c r="K312" s="22" t="n"/>
      <c r="L312" s="26" t="n"/>
    </row>
    <row r="313">
      <c r="A313" s="11" t="n"/>
      <c r="B313" s="11" t="n"/>
      <c r="C313" s="10" t="n"/>
      <c r="D313" s="11" t="n"/>
      <c r="E313" s="10" t="n"/>
      <c r="F313" s="22" t="n"/>
      <c r="G313" s="24" t="n"/>
      <c r="H313" s="23" t="n"/>
      <c r="I313" s="25" t="n"/>
      <c r="J313" s="10">
        <f>IF(D313="","",IF(H313="✓","完了",IF(G313="","",IF(G313&lt;TODAY(),"期限超過",IF(G313=TODAY(),"今日まで","予定")))))</f>
        <v/>
      </c>
      <c r="K313" s="22" t="n"/>
      <c r="L313" s="26" t="n"/>
    </row>
    <row r="314">
      <c r="A314" s="11" t="n"/>
      <c r="B314" s="11" t="n"/>
      <c r="C314" s="10" t="n"/>
      <c r="D314" s="11" t="n"/>
      <c r="E314" s="10" t="n"/>
      <c r="F314" s="22" t="n"/>
      <c r="G314" s="24" t="n"/>
      <c r="H314" s="23" t="n"/>
      <c r="I314" s="25" t="n"/>
      <c r="J314" s="10">
        <f>IF(D314="","",IF(H314="✓","完了",IF(G314="","",IF(G314&lt;TODAY(),"期限超過",IF(G314=TODAY(),"今日まで","予定")))))</f>
        <v/>
      </c>
      <c r="K314" s="22" t="n"/>
      <c r="L314" s="26" t="n"/>
    </row>
    <row r="315">
      <c r="A315" s="11" t="n"/>
      <c r="B315" s="11" t="n"/>
      <c r="C315" s="10" t="n"/>
      <c r="D315" s="11" t="n"/>
      <c r="E315" s="10" t="n"/>
      <c r="F315" s="22" t="n"/>
      <c r="G315" s="24" t="n"/>
      <c r="H315" s="23" t="n"/>
      <c r="I315" s="25" t="n"/>
      <c r="J315" s="10">
        <f>IF(D315="","",IF(H315="✓","完了",IF(G315="","",IF(G315&lt;TODAY(),"期限超過",IF(G315=TODAY(),"今日まで","予定")))))</f>
        <v/>
      </c>
      <c r="K315" s="22" t="n"/>
      <c r="L315" s="26" t="n"/>
    </row>
    <row r="316">
      <c r="A316" s="11" t="n"/>
      <c r="B316" s="11" t="n"/>
      <c r="C316" s="10" t="n"/>
      <c r="D316" s="11" t="n"/>
      <c r="E316" s="10" t="n"/>
      <c r="F316" s="22" t="n"/>
      <c r="G316" s="24" t="n"/>
      <c r="H316" s="23" t="n"/>
      <c r="I316" s="25" t="n"/>
      <c r="J316" s="10">
        <f>IF(D316="","",IF(H316="✓","完了",IF(G316="","",IF(G316&lt;TODAY(),"期限超過",IF(G316=TODAY(),"今日まで","予定")))))</f>
        <v/>
      </c>
      <c r="K316" s="22" t="n"/>
      <c r="L316" s="26" t="n"/>
    </row>
    <row r="317">
      <c r="A317" s="11" t="n"/>
      <c r="B317" s="11" t="n"/>
      <c r="C317" s="10" t="n"/>
      <c r="D317" s="11" t="n"/>
      <c r="E317" s="10" t="n"/>
      <c r="F317" s="22" t="n"/>
      <c r="G317" s="24" t="n"/>
      <c r="H317" s="23" t="n"/>
      <c r="I317" s="25" t="n"/>
      <c r="J317" s="10">
        <f>IF(D317="","",IF(H317="✓","完了",IF(G317="","",IF(G317&lt;TODAY(),"期限超過",IF(G317=TODAY(),"今日まで","予定")))))</f>
        <v/>
      </c>
      <c r="K317" s="22" t="n"/>
      <c r="L317" s="26" t="n"/>
    </row>
    <row r="318">
      <c r="A318" s="11" t="n"/>
      <c r="B318" s="11" t="n"/>
      <c r="C318" s="10" t="n"/>
      <c r="D318" s="11" t="n"/>
      <c r="E318" s="10" t="n"/>
      <c r="F318" s="22" t="n"/>
      <c r="G318" s="24" t="n"/>
      <c r="H318" s="23" t="n"/>
      <c r="I318" s="25" t="n"/>
      <c r="J318" s="10">
        <f>IF(D318="","",IF(H318="✓","完了",IF(G318="","",IF(G318&lt;TODAY(),"期限超過",IF(G318=TODAY(),"今日まで","予定")))))</f>
        <v/>
      </c>
      <c r="K318" s="22" t="n"/>
      <c r="L318" s="26" t="n"/>
    </row>
    <row r="319">
      <c r="A319" s="11" t="n"/>
      <c r="B319" s="11" t="n"/>
      <c r="C319" s="10" t="n"/>
      <c r="D319" s="11" t="n"/>
      <c r="E319" s="10" t="n"/>
      <c r="F319" s="22" t="n"/>
      <c r="G319" s="24" t="n"/>
      <c r="H319" s="23" t="n"/>
      <c r="I319" s="25" t="n"/>
      <c r="J319" s="10">
        <f>IF(D319="","",IF(H319="✓","完了",IF(G319="","",IF(G319&lt;TODAY(),"期限超過",IF(G319=TODAY(),"今日まで","予定")))))</f>
        <v/>
      </c>
      <c r="K319" s="22" t="n"/>
      <c r="L319" s="26" t="n"/>
    </row>
    <row r="320">
      <c r="A320" s="11" t="n"/>
      <c r="B320" s="11" t="n"/>
      <c r="C320" s="10" t="n"/>
      <c r="D320" s="11" t="n"/>
      <c r="E320" s="10" t="n"/>
      <c r="F320" s="22" t="n"/>
      <c r="G320" s="24" t="n"/>
      <c r="H320" s="23" t="n"/>
      <c r="I320" s="25" t="n"/>
      <c r="J320" s="10">
        <f>IF(D320="","",IF(H320="✓","完了",IF(G320="","",IF(G320&lt;TODAY(),"期限超過",IF(G320=TODAY(),"今日まで","予定")))))</f>
        <v/>
      </c>
      <c r="K320" s="22" t="n"/>
      <c r="L320" s="26" t="n"/>
    </row>
    <row r="321">
      <c r="A321" s="11" t="n"/>
      <c r="B321" s="11" t="n"/>
      <c r="C321" s="10" t="n"/>
      <c r="D321" s="11" t="n"/>
      <c r="E321" s="10" t="n"/>
      <c r="F321" s="22" t="n"/>
      <c r="G321" s="24" t="n"/>
      <c r="H321" s="23" t="n"/>
      <c r="I321" s="25" t="n"/>
      <c r="J321" s="10">
        <f>IF(D321="","",IF(H321="✓","完了",IF(G321="","",IF(G321&lt;TODAY(),"期限超過",IF(G321=TODAY(),"今日まで","予定")))))</f>
        <v/>
      </c>
      <c r="K321" s="22" t="n"/>
      <c r="L321" s="26" t="n"/>
    </row>
    <row r="322">
      <c r="A322" s="11" t="n"/>
      <c r="B322" s="11" t="n"/>
      <c r="C322" s="10" t="n"/>
      <c r="D322" s="11" t="n"/>
      <c r="E322" s="10" t="n"/>
      <c r="F322" s="22" t="n"/>
      <c r="G322" s="24" t="n"/>
      <c r="H322" s="23" t="n"/>
      <c r="I322" s="25" t="n"/>
      <c r="J322" s="10">
        <f>IF(D322="","",IF(H322="✓","完了",IF(G322="","",IF(G322&lt;TODAY(),"期限超過",IF(G322=TODAY(),"今日まで","予定")))))</f>
        <v/>
      </c>
      <c r="K322" s="22" t="n"/>
      <c r="L322" s="26" t="n"/>
    </row>
    <row r="323">
      <c r="A323" s="11" t="n"/>
      <c r="B323" s="11" t="n"/>
      <c r="C323" s="10" t="n"/>
      <c r="D323" s="11" t="n"/>
      <c r="E323" s="10" t="n"/>
      <c r="F323" s="22" t="n"/>
      <c r="G323" s="24" t="n"/>
      <c r="H323" s="23" t="n"/>
      <c r="I323" s="25" t="n"/>
      <c r="J323" s="10">
        <f>IF(D323="","",IF(H323="✓","完了",IF(G323="","",IF(G323&lt;TODAY(),"期限超過",IF(G323=TODAY(),"今日まで","予定")))))</f>
        <v/>
      </c>
      <c r="K323" s="22" t="n"/>
      <c r="L323" s="26" t="n"/>
    </row>
    <row r="324">
      <c r="A324" s="11" t="n"/>
      <c r="B324" s="11" t="n"/>
      <c r="C324" s="10" t="n"/>
      <c r="D324" s="11" t="n"/>
      <c r="E324" s="10" t="n"/>
      <c r="F324" s="22" t="n"/>
      <c r="G324" s="24" t="n"/>
      <c r="H324" s="23" t="n"/>
      <c r="I324" s="25" t="n"/>
      <c r="J324" s="10">
        <f>IF(D324="","",IF(H324="✓","完了",IF(G324="","",IF(G324&lt;TODAY(),"期限超過",IF(G324=TODAY(),"今日まで","予定")))))</f>
        <v/>
      </c>
      <c r="K324" s="22" t="n"/>
      <c r="L324" s="26" t="n"/>
    </row>
    <row r="325">
      <c r="A325" s="11" t="n"/>
      <c r="B325" s="11" t="n"/>
      <c r="C325" s="10" t="n"/>
      <c r="D325" s="11" t="n"/>
      <c r="E325" s="10" t="n"/>
      <c r="F325" s="22" t="n"/>
      <c r="G325" s="24" t="n"/>
      <c r="H325" s="23" t="n"/>
      <c r="I325" s="25" t="n"/>
      <c r="J325" s="10">
        <f>IF(D325="","",IF(H325="✓","完了",IF(G325="","",IF(G325&lt;TODAY(),"期限超過",IF(G325=TODAY(),"今日まで","予定")))))</f>
        <v/>
      </c>
      <c r="K325" s="22" t="n"/>
      <c r="L325" s="26" t="n"/>
    </row>
    <row r="326">
      <c r="A326" s="11" t="n"/>
      <c r="B326" s="11" t="n"/>
      <c r="C326" s="10" t="n"/>
      <c r="D326" s="11" t="n"/>
      <c r="E326" s="10" t="n"/>
      <c r="F326" s="22" t="n"/>
      <c r="G326" s="24" t="n"/>
      <c r="H326" s="23" t="n"/>
      <c r="I326" s="25" t="n"/>
      <c r="J326" s="10">
        <f>IF(D326="","",IF(H326="✓","完了",IF(G326="","",IF(G326&lt;TODAY(),"期限超過",IF(G326=TODAY(),"今日まで","予定")))))</f>
        <v/>
      </c>
      <c r="K326" s="22" t="n"/>
      <c r="L326" s="26" t="n"/>
    </row>
    <row r="327">
      <c r="A327" s="11" t="n"/>
      <c r="B327" s="11" t="n"/>
      <c r="C327" s="10" t="n"/>
      <c r="D327" s="11" t="n"/>
      <c r="E327" s="10" t="n"/>
      <c r="F327" s="22" t="n"/>
      <c r="G327" s="24" t="n"/>
      <c r="H327" s="23" t="n"/>
      <c r="I327" s="25" t="n"/>
      <c r="J327" s="10">
        <f>IF(D327="","",IF(H327="✓","完了",IF(G327="","",IF(G327&lt;TODAY(),"期限超過",IF(G327=TODAY(),"今日まで","予定")))))</f>
        <v/>
      </c>
      <c r="K327" s="22" t="n"/>
      <c r="L327" s="26" t="n"/>
    </row>
    <row r="328">
      <c r="A328" s="11" t="n"/>
      <c r="B328" s="11" t="n"/>
      <c r="C328" s="10" t="n"/>
      <c r="D328" s="11" t="n"/>
      <c r="E328" s="10" t="n"/>
      <c r="F328" s="22" t="n"/>
      <c r="G328" s="24" t="n"/>
      <c r="H328" s="23" t="n"/>
      <c r="I328" s="25" t="n"/>
      <c r="J328" s="10">
        <f>IF(D328="","",IF(H328="✓","完了",IF(G328="","",IF(G328&lt;TODAY(),"期限超過",IF(G328=TODAY(),"今日まで","予定")))))</f>
        <v/>
      </c>
      <c r="K328" s="22" t="n"/>
      <c r="L328" s="26" t="n"/>
    </row>
    <row r="329">
      <c r="A329" s="11" t="n"/>
      <c r="B329" s="11" t="n"/>
      <c r="C329" s="10" t="n"/>
      <c r="D329" s="11" t="n"/>
      <c r="E329" s="10" t="n"/>
      <c r="F329" s="22" t="n"/>
      <c r="G329" s="24" t="n"/>
      <c r="H329" s="23" t="n"/>
      <c r="I329" s="25" t="n"/>
      <c r="J329" s="10">
        <f>IF(D329="","",IF(H329="✓","完了",IF(G329="","",IF(G329&lt;TODAY(),"期限超過",IF(G329=TODAY(),"今日まで","予定")))))</f>
        <v/>
      </c>
      <c r="K329" s="22" t="n"/>
      <c r="L329" s="26" t="n"/>
    </row>
    <row r="330">
      <c r="A330" s="11" t="n"/>
      <c r="B330" s="11" t="n"/>
      <c r="C330" s="10" t="n"/>
      <c r="D330" s="11" t="n"/>
      <c r="E330" s="10" t="n"/>
      <c r="F330" s="22" t="n"/>
      <c r="G330" s="24" t="n"/>
      <c r="H330" s="23" t="n"/>
      <c r="I330" s="25" t="n"/>
      <c r="J330" s="10">
        <f>IF(D330="","",IF(H330="✓","完了",IF(G330="","",IF(G330&lt;TODAY(),"期限超過",IF(G330=TODAY(),"今日まで","予定")))))</f>
        <v/>
      </c>
      <c r="K330" s="22" t="n"/>
      <c r="L330" s="26" t="n"/>
    </row>
    <row r="331">
      <c r="A331" s="11" t="n"/>
      <c r="B331" s="11" t="n"/>
      <c r="C331" s="10" t="n"/>
      <c r="D331" s="11" t="n"/>
      <c r="E331" s="10" t="n"/>
      <c r="F331" s="22" t="n"/>
      <c r="G331" s="24" t="n"/>
      <c r="H331" s="23" t="n"/>
      <c r="I331" s="25" t="n"/>
      <c r="J331" s="10">
        <f>IF(D331="","",IF(H331="✓","完了",IF(G331="","",IF(G331&lt;TODAY(),"期限超過",IF(G331=TODAY(),"今日まで","予定")))))</f>
        <v/>
      </c>
      <c r="K331" s="22" t="n"/>
      <c r="L331" s="26" t="n"/>
    </row>
    <row r="332">
      <c r="A332" s="11" t="n"/>
      <c r="B332" s="11" t="n"/>
      <c r="C332" s="10" t="n"/>
      <c r="D332" s="11" t="n"/>
      <c r="E332" s="10" t="n"/>
      <c r="F332" s="22" t="n"/>
      <c r="G332" s="24" t="n"/>
      <c r="H332" s="23" t="n"/>
      <c r="I332" s="25" t="n"/>
      <c r="J332" s="10">
        <f>IF(D332="","",IF(H332="✓","完了",IF(G332="","",IF(G332&lt;TODAY(),"期限超過",IF(G332=TODAY(),"今日まで","予定")))))</f>
        <v/>
      </c>
      <c r="K332" s="22" t="n"/>
      <c r="L332" s="26" t="n"/>
    </row>
    <row r="333">
      <c r="A333" s="11" t="n"/>
      <c r="B333" s="11" t="n"/>
      <c r="C333" s="10" t="n"/>
      <c r="D333" s="11" t="n"/>
      <c r="E333" s="10" t="n"/>
      <c r="F333" s="22" t="n"/>
      <c r="G333" s="24" t="n"/>
      <c r="H333" s="23" t="n"/>
      <c r="I333" s="25" t="n"/>
      <c r="J333" s="10">
        <f>IF(D333="","",IF(H333="✓","完了",IF(G333="","",IF(G333&lt;TODAY(),"期限超過",IF(G333=TODAY(),"今日まで","予定")))))</f>
        <v/>
      </c>
      <c r="K333" s="22" t="n"/>
      <c r="L333" s="26" t="n"/>
    </row>
    <row r="334">
      <c r="A334" s="11" t="n"/>
      <c r="B334" s="11" t="n"/>
      <c r="C334" s="10" t="n"/>
      <c r="D334" s="11" t="n"/>
      <c r="E334" s="10" t="n"/>
      <c r="F334" s="22" t="n"/>
      <c r="G334" s="24" t="n"/>
      <c r="H334" s="23" t="n"/>
      <c r="I334" s="25" t="n"/>
      <c r="J334" s="10">
        <f>IF(D334="","",IF(H334="✓","完了",IF(G334="","",IF(G334&lt;TODAY(),"期限超過",IF(G334=TODAY(),"今日まで","予定")))))</f>
        <v/>
      </c>
      <c r="K334" s="22" t="n"/>
      <c r="L334" s="26" t="n"/>
    </row>
    <row r="335">
      <c r="A335" s="11" t="n"/>
      <c r="B335" s="11" t="n"/>
      <c r="C335" s="10" t="n"/>
      <c r="D335" s="11" t="n"/>
      <c r="E335" s="10" t="n"/>
      <c r="F335" s="22" t="n"/>
      <c r="G335" s="24" t="n"/>
      <c r="H335" s="23" t="n"/>
      <c r="I335" s="25" t="n"/>
      <c r="J335" s="10">
        <f>IF(D335="","",IF(H335="✓","完了",IF(G335="","",IF(G335&lt;TODAY(),"期限超過",IF(G335=TODAY(),"今日まで","予定")))))</f>
        <v/>
      </c>
      <c r="K335" s="22" t="n"/>
      <c r="L335" s="26" t="n"/>
    </row>
    <row r="336">
      <c r="A336" s="11" t="n"/>
      <c r="B336" s="11" t="n"/>
      <c r="C336" s="10" t="n"/>
      <c r="D336" s="11" t="n"/>
      <c r="E336" s="10" t="n"/>
      <c r="F336" s="22" t="n"/>
      <c r="G336" s="24" t="n"/>
      <c r="H336" s="23" t="n"/>
      <c r="I336" s="25" t="n"/>
      <c r="J336" s="10">
        <f>IF(D336="","",IF(H336="✓","完了",IF(G336="","",IF(G336&lt;TODAY(),"期限超過",IF(G336=TODAY(),"今日まで","予定")))))</f>
        <v/>
      </c>
      <c r="K336" s="22" t="n"/>
      <c r="L336" s="26" t="n"/>
    </row>
    <row r="337">
      <c r="A337" s="11" t="n"/>
      <c r="B337" s="11" t="n"/>
      <c r="C337" s="10" t="n"/>
      <c r="D337" s="11" t="n"/>
      <c r="E337" s="10" t="n"/>
      <c r="F337" s="22" t="n"/>
      <c r="G337" s="24" t="n"/>
      <c r="H337" s="23" t="n"/>
      <c r="I337" s="25" t="n"/>
      <c r="J337" s="10">
        <f>IF(D337="","",IF(H337="✓","完了",IF(G337="","",IF(G337&lt;TODAY(),"期限超過",IF(G337=TODAY(),"今日まで","予定")))))</f>
        <v/>
      </c>
      <c r="K337" s="22" t="n"/>
      <c r="L337" s="26" t="n"/>
    </row>
    <row r="338">
      <c r="A338" s="11" t="n"/>
      <c r="B338" s="11" t="n"/>
      <c r="C338" s="10" t="n"/>
      <c r="D338" s="11" t="n"/>
      <c r="E338" s="10" t="n"/>
      <c r="F338" s="22" t="n"/>
      <c r="G338" s="24" t="n"/>
      <c r="H338" s="23" t="n"/>
      <c r="I338" s="25" t="n"/>
      <c r="J338" s="10">
        <f>IF(D338="","",IF(H338="✓","完了",IF(G338="","",IF(G338&lt;TODAY(),"期限超過",IF(G338=TODAY(),"今日まで","予定")))))</f>
        <v/>
      </c>
      <c r="K338" s="22" t="n"/>
      <c r="L338" s="26" t="n"/>
    </row>
    <row r="339">
      <c r="A339" s="11" t="n"/>
      <c r="B339" s="11" t="n"/>
      <c r="C339" s="10" t="n"/>
      <c r="D339" s="11" t="n"/>
      <c r="E339" s="10" t="n"/>
      <c r="F339" s="22" t="n"/>
      <c r="G339" s="24" t="n"/>
      <c r="H339" s="23" t="n"/>
      <c r="I339" s="25" t="n"/>
      <c r="J339" s="10">
        <f>IF(D339="","",IF(H339="✓","完了",IF(G339="","",IF(G339&lt;TODAY(),"期限超過",IF(G339=TODAY(),"今日まで","予定")))))</f>
        <v/>
      </c>
      <c r="K339" s="22" t="n"/>
      <c r="L339" s="26" t="n"/>
    </row>
    <row r="340">
      <c r="A340" s="11" t="n"/>
      <c r="B340" s="11" t="n"/>
      <c r="C340" s="10" t="n"/>
      <c r="D340" s="11" t="n"/>
      <c r="E340" s="10" t="n"/>
      <c r="F340" s="22" t="n"/>
      <c r="G340" s="24" t="n"/>
      <c r="H340" s="23" t="n"/>
      <c r="I340" s="25" t="n"/>
      <c r="J340" s="10">
        <f>IF(D340="","",IF(H340="✓","完了",IF(G340="","",IF(G340&lt;TODAY(),"期限超過",IF(G340=TODAY(),"今日まで","予定")))))</f>
        <v/>
      </c>
      <c r="K340" s="22" t="n"/>
      <c r="L340" s="26" t="n"/>
    </row>
    <row r="341">
      <c r="A341" s="11" t="n"/>
      <c r="B341" s="11" t="n"/>
      <c r="C341" s="10" t="n"/>
      <c r="D341" s="11" t="n"/>
      <c r="E341" s="10" t="n"/>
      <c r="F341" s="22" t="n"/>
      <c r="G341" s="24" t="n"/>
      <c r="H341" s="23" t="n"/>
      <c r="I341" s="25" t="n"/>
      <c r="J341" s="10">
        <f>IF(D341="","",IF(H341="✓","完了",IF(G341="","",IF(G341&lt;TODAY(),"期限超過",IF(G341=TODAY(),"今日まで","予定")))))</f>
        <v/>
      </c>
      <c r="K341" s="22" t="n"/>
      <c r="L341" s="26" t="n"/>
    </row>
    <row r="342">
      <c r="A342" s="11" t="n"/>
      <c r="B342" s="11" t="n"/>
      <c r="C342" s="10" t="n"/>
      <c r="D342" s="11" t="n"/>
      <c r="E342" s="10" t="n"/>
      <c r="F342" s="22" t="n"/>
      <c r="G342" s="24" t="n"/>
      <c r="H342" s="23" t="n"/>
      <c r="I342" s="25" t="n"/>
      <c r="J342" s="10">
        <f>IF(D342="","",IF(H342="✓","完了",IF(G342="","",IF(G342&lt;TODAY(),"期限超過",IF(G342=TODAY(),"今日まで","予定")))))</f>
        <v/>
      </c>
      <c r="K342" s="22" t="n"/>
      <c r="L342" s="26" t="n"/>
    </row>
    <row r="343">
      <c r="A343" s="11" t="n"/>
      <c r="B343" s="11" t="n"/>
      <c r="C343" s="10" t="n"/>
      <c r="D343" s="11" t="n"/>
      <c r="E343" s="10" t="n"/>
      <c r="F343" s="22" t="n"/>
      <c r="G343" s="24" t="n"/>
      <c r="H343" s="23" t="n"/>
      <c r="I343" s="25" t="n"/>
      <c r="J343" s="10">
        <f>IF(D343="","",IF(H343="✓","完了",IF(G343="","",IF(G343&lt;TODAY(),"期限超過",IF(G343=TODAY(),"今日まで","予定")))))</f>
        <v/>
      </c>
      <c r="K343" s="22" t="n"/>
      <c r="L343" s="26" t="n"/>
    </row>
    <row r="344">
      <c r="A344" s="11" t="n"/>
      <c r="B344" s="11" t="n"/>
      <c r="C344" s="10" t="n"/>
      <c r="D344" s="11" t="n"/>
      <c r="E344" s="10" t="n"/>
      <c r="F344" s="22" t="n"/>
      <c r="G344" s="24" t="n"/>
      <c r="H344" s="23" t="n"/>
      <c r="I344" s="25" t="n"/>
      <c r="J344" s="10">
        <f>IF(D344="","",IF(H344="✓","完了",IF(G344="","",IF(G344&lt;TODAY(),"期限超過",IF(G344=TODAY(),"今日まで","予定")))))</f>
        <v/>
      </c>
      <c r="K344" s="22" t="n"/>
      <c r="L344" s="26" t="n"/>
    </row>
    <row r="345">
      <c r="A345" s="11" t="n"/>
      <c r="B345" s="11" t="n"/>
      <c r="C345" s="10" t="n"/>
      <c r="D345" s="11" t="n"/>
      <c r="E345" s="10" t="n"/>
      <c r="F345" s="22" t="n"/>
      <c r="G345" s="24" t="n"/>
      <c r="H345" s="23" t="n"/>
      <c r="I345" s="25" t="n"/>
      <c r="J345" s="10">
        <f>IF(D345="","",IF(H345="✓","完了",IF(G345="","",IF(G345&lt;TODAY(),"期限超過",IF(G345=TODAY(),"今日まで","予定")))))</f>
        <v/>
      </c>
      <c r="K345" s="22" t="n"/>
      <c r="L345" s="26" t="n"/>
    </row>
    <row r="346">
      <c r="A346" s="11" t="n"/>
      <c r="B346" s="11" t="n"/>
      <c r="C346" s="10" t="n"/>
      <c r="D346" s="11" t="n"/>
      <c r="E346" s="10" t="n"/>
      <c r="F346" s="22" t="n"/>
      <c r="G346" s="24" t="n"/>
      <c r="H346" s="23" t="n"/>
      <c r="I346" s="25" t="n"/>
      <c r="J346" s="10">
        <f>IF(D346="","",IF(H346="✓","完了",IF(G346="","",IF(G346&lt;TODAY(),"期限超過",IF(G346=TODAY(),"今日まで","予定")))))</f>
        <v/>
      </c>
      <c r="K346" s="22" t="n"/>
      <c r="L346" s="26" t="n"/>
    </row>
    <row r="347">
      <c r="A347" s="11" t="n"/>
      <c r="B347" s="11" t="n"/>
      <c r="C347" s="10" t="n"/>
      <c r="D347" s="11" t="n"/>
      <c r="E347" s="10" t="n"/>
      <c r="F347" s="22" t="n"/>
      <c r="G347" s="24" t="n"/>
      <c r="H347" s="23" t="n"/>
      <c r="I347" s="25" t="n"/>
      <c r="J347" s="10">
        <f>IF(D347="","",IF(H347="✓","完了",IF(G347="","",IF(G347&lt;TODAY(),"期限超過",IF(G347=TODAY(),"今日まで","予定")))))</f>
        <v/>
      </c>
      <c r="K347" s="22" t="n"/>
      <c r="L347" s="26" t="n"/>
    </row>
    <row r="348">
      <c r="A348" s="11" t="n"/>
      <c r="B348" s="11" t="n"/>
      <c r="C348" s="10" t="n"/>
      <c r="D348" s="11" t="n"/>
      <c r="E348" s="10" t="n"/>
      <c r="F348" s="22" t="n"/>
      <c r="G348" s="24" t="n"/>
      <c r="H348" s="23" t="n"/>
      <c r="I348" s="25" t="n"/>
      <c r="J348" s="10">
        <f>IF(D348="","",IF(H348="✓","完了",IF(G348="","",IF(G348&lt;TODAY(),"期限超過",IF(G348=TODAY(),"今日まで","予定")))))</f>
        <v/>
      </c>
      <c r="K348" s="22" t="n"/>
      <c r="L348" s="26" t="n"/>
    </row>
    <row r="349">
      <c r="A349" s="11" t="n"/>
      <c r="B349" s="11" t="n"/>
      <c r="C349" s="10" t="n"/>
      <c r="D349" s="11" t="n"/>
      <c r="E349" s="10" t="n"/>
      <c r="F349" s="22" t="n"/>
      <c r="G349" s="24" t="n"/>
      <c r="H349" s="23" t="n"/>
      <c r="I349" s="25" t="n"/>
      <c r="J349" s="10">
        <f>IF(D349="","",IF(H349="✓","完了",IF(G349="","",IF(G349&lt;TODAY(),"期限超過",IF(G349=TODAY(),"今日まで","予定")))))</f>
        <v/>
      </c>
      <c r="K349" s="22" t="n"/>
      <c r="L349" s="26" t="n"/>
    </row>
    <row r="350">
      <c r="A350" s="11" t="n"/>
      <c r="B350" s="11" t="n"/>
      <c r="C350" s="10" t="n"/>
      <c r="D350" s="11" t="n"/>
      <c r="E350" s="10" t="n"/>
      <c r="F350" s="22" t="n"/>
      <c r="G350" s="24" t="n"/>
      <c r="H350" s="23" t="n"/>
      <c r="I350" s="25" t="n"/>
      <c r="J350" s="10">
        <f>IF(D350="","",IF(H350="✓","完了",IF(G350="","",IF(G350&lt;TODAY(),"期限超過",IF(G350=TODAY(),"今日まで","予定")))))</f>
        <v/>
      </c>
      <c r="K350" s="22" t="n"/>
      <c r="L350" s="26" t="n"/>
    </row>
    <row r="351">
      <c r="A351" s="11" t="n"/>
      <c r="B351" s="11" t="n"/>
      <c r="C351" s="10" t="n"/>
      <c r="D351" s="11" t="n"/>
      <c r="E351" s="10" t="n"/>
      <c r="F351" s="22" t="n"/>
      <c r="G351" s="24" t="n"/>
      <c r="H351" s="23" t="n"/>
      <c r="I351" s="25" t="n"/>
      <c r="J351" s="10">
        <f>IF(D351="","",IF(H351="✓","完了",IF(G351="","",IF(G351&lt;TODAY(),"期限超過",IF(G351=TODAY(),"今日まで","予定")))))</f>
        <v/>
      </c>
      <c r="K351" s="22" t="n"/>
      <c r="L351" s="26" t="n"/>
    </row>
    <row r="352">
      <c r="A352" s="11" t="n"/>
      <c r="B352" s="11" t="n"/>
      <c r="C352" s="10" t="n"/>
      <c r="D352" s="11" t="n"/>
      <c r="E352" s="10" t="n"/>
      <c r="F352" s="22" t="n"/>
      <c r="G352" s="24" t="n"/>
      <c r="H352" s="23" t="n"/>
      <c r="I352" s="25" t="n"/>
      <c r="J352" s="10">
        <f>IF(D352="","",IF(H352="✓","完了",IF(G352="","",IF(G352&lt;TODAY(),"期限超過",IF(G352=TODAY(),"今日まで","予定")))))</f>
        <v/>
      </c>
      <c r="K352" s="22" t="n"/>
      <c r="L352" s="26" t="n"/>
    </row>
    <row r="353">
      <c r="A353" s="11" t="n"/>
      <c r="B353" s="11" t="n"/>
      <c r="C353" s="10" t="n"/>
      <c r="D353" s="11" t="n"/>
      <c r="E353" s="10" t="n"/>
      <c r="F353" s="22" t="n"/>
      <c r="G353" s="24" t="n"/>
      <c r="H353" s="23" t="n"/>
      <c r="I353" s="25" t="n"/>
      <c r="J353" s="10">
        <f>IF(D353="","",IF(H353="✓","完了",IF(G353="","",IF(G353&lt;TODAY(),"期限超過",IF(G353=TODAY(),"今日まで","予定")))))</f>
        <v/>
      </c>
      <c r="K353" s="22" t="n"/>
      <c r="L353" s="26" t="n"/>
    </row>
    <row r="354">
      <c r="A354" s="11" t="n"/>
      <c r="B354" s="11" t="n"/>
      <c r="C354" s="10" t="n"/>
      <c r="D354" s="11" t="n"/>
      <c r="E354" s="10" t="n"/>
      <c r="F354" s="22" t="n"/>
      <c r="G354" s="24" t="n"/>
      <c r="H354" s="23" t="n"/>
      <c r="I354" s="25" t="n"/>
      <c r="J354" s="10">
        <f>IF(D354="","",IF(H354="✓","完了",IF(G354="","",IF(G354&lt;TODAY(),"期限超過",IF(G354=TODAY(),"今日まで","予定")))))</f>
        <v/>
      </c>
      <c r="K354" s="22" t="n"/>
      <c r="L354" s="26" t="n"/>
    </row>
    <row r="355">
      <c r="A355" s="11" t="n"/>
      <c r="B355" s="11" t="n"/>
      <c r="C355" s="10" t="n"/>
      <c r="D355" s="11" t="n"/>
      <c r="E355" s="10" t="n"/>
      <c r="F355" s="22" t="n"/>
      <c r="G355" s="24" t="n"/>
      <c r="H355" s="23" t="n"/>
      <c r="I355" s="25" t="n"/>
      <c r="J355" s="10">
        <f>IF(D355="","",IF(H355="✓","完了",IF(G355="","",IF(G355&lt;TODAY(),"期限超過",IF(G355=TODAY(),"今日まで","予定")))))</f>
        <v/>
      </c>
      <c r="K355" s="22" t="n"/>
      <c r="L355" s="26" t="n"/>
    </row>
    <row r="356">
      <c r="A356" s="11" t="n"/>
      <c r="B356" s="11" t="n"/>
      <c r="C356" s="10" t="n"/>
      <c r="D356" s="11" t="n"/>
      <c r="E356" s="10" t="n"/>
      <c r="F356" s="22" t="n"/>
      <c r="G356" s="24" t="n"/>
      <c r="H356" s="23" t="n"/>
      <c r="I356" s="25" t="n"/>
      <c r="J356" s="10">
        <f>IF(D356="","",IF(H356="✓","完了",IF(G356="","",IF(G356&lt;TODAY(),"期限超過",IF(G356=TODAY(),"今日まで","予定")))))</f>
        <v/>
      </c>
      <c r="K356" s="22" t="n"/>
      <c r="L356" s="26" t="n"/>
    </row>
    <row r="357">
      <c r="A357" s="11" t="n"/>
      <c r="B357" s="11" t="n"/>
      <c r="C357" s="10" t="n"/>
      <c r="D357" s="11" t="n"/>
      <c r="E357" s="10" t="n"/>
      <c r="F357" s="22" t="n"/>
      <c r="G357" s="24" t="n"/>
      <c r="H357" s="23" t="n"/>
      <c r="I357" s="25" t="n"/>
      <c r="J357" s="10">
        <f>IF(D357="","",IF(H357="✓","完了",IF(G357="","",IF(G357&lt;TODAY(),"期限超過",IF(G357=TODAY(),"今日まで","予定")))))</f>
        <v/>
      </c>
      <c r="K357" s="22" t="n"/>
      <c r="L357" s="26" t="n"/>
    </row>
    <row r="358">
      <c r="A358" s="11" t="n"/>
      <c r="B358" s="11" t="n"/>
      <c r="C358" s="10" t="n"/>
      <c r="D358" s="11" t="n"/>
      <c r="E358" s="10" t="n"/>
      <c r="F358" s="22" t="n"/>
      <c r="G358" s="24" t="n"/>
      <c r="H358" s="23" t="n"/>
      <c r="I358" s="25" t="n"/>
      <c r="J358" s="10">
        <f>IF(D358="","",IF(H358="✓","完了",IF(G358="","",IF(G358&lt;TODAY(),"期限超過",IF(G358=TODAY(),"今日まで","予定")))))</f>
        <v/>
      </c>
      <c r="K358" s="22" t="n"/>
      <c r="L358" s="26" t="n"/>
    </row>
    <row r="359">
      <c r="A359" s="11" t="n"/>
      <c r="B359" s="11" t="n"/>
      <c r="C359" s="10" t="n"/>
      <c r="D359" s="11" t="n"/>
      <c r="E359" s="10" t="n"/>
      <c r="F359" s="22" t="n"/>
      <c r="G359" s="24" t="n"/>
      <c r="H359" s="23" t="n"/>
      <c r="I359" s="25" t="n"/>
      <c r="J359" s="10">
        <f>IF(D359="","",IF(H359="✓","完了",IF(G359="","",IF(G359&lt;TODAY(),"期限超過",IF(G359=TODAY(),"今日まで","予定")))))</f>
        <v/>
      </c>
      <c r="K359" s="22" t="n"/>
      <c r="L359" s="26" t="n"/>
    </row>
    <row r="360">
      <c r="A360" s="11" t="n"/>
      <c r="B360" s="11" t="n"/>
      <c r="C360" s="10" t="n"/>
      <c r="D360" s="11" t="n"/>
      <c r="E360" s="10" t="n"/>
      <c r="F360" s="22" t="n"/>
      <c r="G360" s="24" t="n"/>
      <c r="H360" s="23" t="n"/>
      <c r="I360" s="25" t="n"/>
      <c r="J360" s="10">
        <f>IF(D360="","",IF(H360="✓","完了",IF(G360="","",IF(G360&lt;TODAY(),"期限超過",IF(G360=TODAY(),"今日まで","予定")))))</f>
        <v/>
      </c>
      <c r="K360" s="22" t="n"/>
      <c r="L360" s="26" t="n"/>
    </row>
    <row r="361">
      <c r="A361" s="11" t="n"/>
      <c r="B361" s="11" t="n"/>
      <c r="C361" s="10" t="n"/>
      <c r="D361" s="11" t="n"/>
      <c r="E361" s="10" t="n"/>
      <c r="F361" s="22" t="n"/>
      <c r="G361" s="24" t="n"/>
      <c r="H361" s="23" t="n"/>
      <c r="I361" s="25" t="n"/>
      <c r="J361" s="10">
        <f>IF(D361="","",IF(H361="✓","完了",IF(G361="","",IF(G361&lt;TODAY(),"期限超過",IF(G361=TODAY(),"今日まで","予定")))))</f>
        <v/>
      </c>
      <c r="K361" s="22" t="n"/>
      <c r="L361" s="26" t="n"/>
    </row>
    <row r="362">
      <c r="A362" s="11" t="n"/>
      <c r="B362" s="11" t="n"/>
      <c r="C362" s="10" t="n"/>
      <c r="D362" s="11" t="n"/>
      <c r="E362" s="10" t="n"/>
      <c r="F362" s="22" t="n"/>
      <c r="G362" s="24" t="n"/>
      <c r="H362" s="23" t="n"/>
      <c r="I362" s="25" t="n"/>
      <c r="J362" s="10">
        <f>IF(D362="","",IF(H362="✓","完了",IF(G362="","",IF(G362&lt;TODAY(),"期限超過",IF(G362=TODAY(),"今日まで","予定")))))</f>
        <v/>
      </c>
      <c r="K362" s="22" t="n"/>
      <c r="L362" s="26" t="n"/>
    </row>
    <row r="363">
      <c r="A363" s="11" t="n"/>
      <c r="B363" s="11" t="n"/>
      <c r="C363" s="10" t="n"/>
      <c r="D363" s="11" t="n"/>
      <c r="E363" s="10" t="n"/>
      <c r="F363" s="22" t="n"/>
      <c r="G363" s="24" t="n"/>
      <c r="H363" s="23" t="n"/>
      <c r="I363" s="25" t="n"/>
      <c r="J363" s="10">
        <f>IF(D363="","",IF(H363="✓","完了",IF(G363="","",IF(G363&lt;TODAY(),"期限超過",IF(G363=TODAY(),"今日まで","予定")))))</f>
        <v/>
      </c>
      <c r="K363" s="22" t="n"/>
      <c r="L363" s="26" t="n"/>
    </row>
    <row r="364">
      <c r="A364" s="11" t="n"/>
      <c r="B364" s="11" t="n"/>
      <c r="C364" s="10" t="n"/>
      <c r="D364" s="11" t="n"/>
      <c r="E364" s="10" t="n"/>
      <c r="F364" s="22" t="n"/>
      <c r="G364" s="24" t="n"/>
      <c r="H364" s="23" t="n"/>
      <c r="I364" s="25" t="n"/>
      <c r="J364" s="10">
        <f>IF(D364="","",IF(H364="✓","完了",IF(G364="","",IF(G364&lt;TODAY(),"期限超過",IF(G364=TODAY(),"今日まで","予定")))))</f>
        <v/>
      </c>
      <c r="K364" s="22" t="n"/>
      <c r="L364" s="26" t="n"/>
    </row>
    <row r="365">
      <c r="A365" s="11" t="n"/>
      <c r="B365" s="11" t="n"/>
      <c r="C365" s="10" t="n"/>
      <c r="D365" s="11" t="n"/>
      <c r="E365" s="10" t="n"/>
      <c r="F365" s="22" t="n"/>
      <c r="G365" s="24" t="n"/>
      <c r="H365" s="23" t="n"/>
      <c r="I365" s="25" t="n"/>
      <c r="J365" s="10">
        <f>IF(D365="","",IF(H365="✓","完了",IF(G365="","",IF(G365&lt;TODAY(),"期限超過",IF(G365=TODAY(),"今日まで","予定")))))</f>
        <v/>
      </c>
      <c r="K365" s="22" t="n"/>
      <c r="L365" s="26" t="n"/>
    </row>
    <row r="366">
      <c r="A366" s="11" t="n"/>
      <c r="B366" s="11" t="n"/>
      <c r="C366" s="10" t="n"/>
      <c r="D366" s="11" t="n"/>
      <c r="E366" s="10" t="n"/>
      <c r="F366" s="22" t="n"/>
      <c r="G366" s="24" t="n"/>
      <c r="H366" s="23" t="n"/>
      <c r="I366" s="25" t="n"/>
      <c r="J366" s="10">
        <f>IF(D366="","",IF(H366="✓","完了",IF(G366="","",IF(G366&lt;TODAY(),"期限超過",IF(G366=TODAY(),"今日まで","予定")))))</f>
        <v/>
      </c>
      <c r="K366" s="22" t="n"/>
      <c r="L366" s="26" t="n"/>
    </row>
    <row r="367">
      <c r="A367" s="11" t="n"/>
      <c r="B367" s="11" t="n"/>
      <c r="C367" s="10" t="n"/>
      <c r="D367" s="11" t="n"/>
      <c r="E367" s="10" t="n"/>
      <c r="F367" s="22" t="n"/>
      <c r="G367" s="24" t="n"/>
      <c r="H367" s="23" t="n"/>
      <c r="I367" s="25" t="n"/>
      <c r="J367" s="10">
        <f>IF(D367="","",IF(H367="✓","完了",IF(G367="","",IF(G367&lt;TODAY(),"期限超過",IF(G367=TODAY(),"今日まで","予定")))))</f>
        <v/>
      </c>
      <c r="K367" s="22" t="n"/>
      <c r="L367" s="26" t="n"/>
    </row>
    <row r="368">
      <c r="A368" s="11" t="n"/>
      <c r="B368" s="11" t="n"/>
      <c r="C368" s="10" t="n"/>
      <c r="D368" s="11" t="n"/>
      <c r="E368" s="10" t="n"/>
      <c r="F368" s="22" t="n"/>
      <c r="G368" s="24" t="n"/>
      <c r="H368" s="23" t="n"/>
      <c r="I368" s="25" t="n"/>
      <c r="J368" s="10">
        <f>IF(D368="","",IF(H368="✓","完了",IF(G368="","",IF(G368&lt;TODAY(),"期限超過",IF(G368=TODAY(),"今日まで","予定")))))</f>
        <v/>
      </c>
      <c r="K368" s="22" t="n"/>
      <c r="L368" s="26" t="n"/>
    </row>
    <row r="369">
      <c r="A369" s="11" t="n"/>
      <c r="B369" s="11" t="n"/>
      <c r="C369" s="10" t="n"/>
      <c r="D369" s="11" t="n"/>
      <c r="E369" s="10" t="n"/>
      <c r="F369" s="22" t="n"/>
      <c r="G369" s="24" t="n"/>
      <c r="H369" s="23" t="n"/>
      <c r="I369" s="25" t="n"/>
      <c r="J369" s="10">
        <f>IF(D369="","",IF(H369="✓","完了",IF(G369="","",IF(G369&lt;TODAY(),"期限超過",IF(G369=TODAY(),"今日まで","予定")))))</f>
        <v/>
      </c>
      <c r="K369" s="22" t="n"/>
      <c r="L369" s="26" t="n"/>
    </row>
    <row r="370">
      <c r="A370" s="11" t="n"/>
      <c r="B370" s="11" t="n"/>
      <c r="C370" s="10" t="n"/>
      <c r="D370" s="11" t="n"/>
      <c r="E370" s="10" t="n"/>
      <c r="F370" s="22" t="n"/>
      <c r="G370" s="24" t="n"/>
      <c r="H370" s="23" t="n"/>
      <c r="I370" s="25" t="n"/>
      <c r="J370" s="10">
        <f>IF(D370="","",IF(H370="✓","完了",IF(G370="","",IF(G370&lt;TODAY(),"期限超過",IF(G370=TODAY(),"今日まで","予定")))))</f>
        <v/>
      </c>
      <c r="K370" s="22" t="n"/>
      <c r="L370" s="26" t="n"/>
    </row>
    <row r="371">
      <c r="A371" s="11" t="n"/>
      <c r="B371" s="11" t="n"/>
      <c r="C371" s="10" t="n"/>
      <c r="D371" s="11" t="n"/>
      <c r="E371" s="10" t="n"/>
      <c r="F371" s="22" t="n"/>
      <c r="G371" s="24" t="n"/>
      <c r="H371" s="23" t="n"/>
      <c r="I371" s="25" t="n"/>
      <c r="J371" s="10">
        <f>IF(D371="","",IF(H371="✓","完了",IF(G371="","",IF(G371&lt;TODAY(),"期限超過",IF(G371=TODAY(),"今日まで","予定")))))</f>
        <v/>
      </c>
      <c r="K371" s="22" t="n"/>
      <c r="L371" s="26" t="n"/>
    </row>
    <row r="372">
      <c r="A372" s="11" t="n"/>
      <c r="B372" s="11" t="n"/>
      <c r="C372" s="10" t="n"/>
      <c r="D372" s="11" t="n"/>
      <c r="E372" s="10" t="n"/>
      <c r="F372" s="22" t="n"/>
      <c r="G372" s="24" t="n"/>
      <c r="H372" s="23" t="n"/>
      <c r="I372" s="25" t="n"/>
      <c r="J372" s="10">
        <f>IF(D372="","",IF(H372="✓","完了",IF(G372="","",IF(G372&lt;TODAY(),"期限超過",IF(G372=TODAY(),"今日まで","予定")))))</f>
        <v/>
      </c>
      <c r="K372" s="22" t="n"/>
      <c r="L372" s="26" t="n"/>
    </row>
    <row r="373">
      <c r="A373" s="11" t="n"/>
      <c r="B373" s="11" t="n"/>
      <c r="C373" s="10" t="n"/>
      <c r="D373" s="11" t="n"/>
      <c r="E373" s="10" t="n"/>
      <c r="F373" s="22" t="n"/>
      <c r="G373" s="24" t="n"/>
      <c r="H373" s="23" t="n"/>
      <c r="I373" s="25" t="n"/>
      <c r="J373" s="10">
        <f>IF(D373="","",IF(H373="✓","完了",IF(G373="","",IF(G373&lt;TODAY(),"期限超過",IF(G373=TODAY(),"今日まで","予定")))))</f>
        <v/>
      </c>
      <c r="K373" s="22" t="n"/>
      <c r="L373" s="26" t="n"/>
    </row>
    <row r="374">
      <c r="A374" s="11" t="n"/>
      <c r="B374" s="11" t="n"/>
      <c r="C374" s="10" t="n"/>
      <c r="D374" s="11" t="n"/>
      <c r="E374" s="10" t="n"/>
      <c r="F374" s="22" t="n"/>
      <c r="G374" s="24" t="n"/>
      <c r="H374" s="23" t="n"/>
      <c r="I374" s="25" t="n"/>
      <c r="J374" s="10">
        <f>IF(D374="","",IF(H374="✓","完了",IF(G374="","",IF(G374&lt;TODAY(),"期限超過",IF(G374=TODAY(),"今日まで","予定")))))</f>
        <v/>
      </c>
      <c r="K374" s="22" t="n"/>
      <c r="L374" s="26" t="n"/>
    </row>
    <row r="375">
      <c r="A375" s="11" t="n"/>
      <c r="B375" s="11" t="n"/>
      <c r="C375" s="10" t="n"/>
      <c r="D375" s="11" t="n"/>
      <c r="E375" s="10" t="n"/>
      <c r="F375" s="22" t="n"/>
      <c r="G375" s="24" t="n"/>
      <c r="H375" s="23" t="n"/>
      <c r="I375" s="25" t="n"/>
      <c r="J375" s="10">
        <f>IF(D375="","",IF(H375="✓","完了",IF(G375="","",IF(G375&lt;TODAY(),"期限超過",IF(G375=TODAY(),"今日まで","予定")))))</f>
        <v/>
      </c>
      <c r="K375" s="22" t="n"/>
      <c r="L375" s="26" t="n"/>
    </row>
    <row r="376">
      <c r="A376" s="11" t="n"/>
      <c r="B376" s="11" t="n"/>
      <c r="C376" s="10" t="n"/>
      <c r="D376" s="11" t="n"/>
      <c r="E376" s="10" t="n"/>
      <c r="F376" s="22" t="n"/>
      <c r="G376" s="24" t="n"/>
      <c r="H376" s="23" t="n"/>
      <c r="I376" s="25" t="n"/>
      <c r="J376" s="10">
        <f>IF(D376="","",IF(H376="✓","完了",IF(G376="","",IF(G376&lt;TODAY(),"期限超過",IF(G376=TODAY(),"今日まで","予定")))))</f>
        <v/>
      </c>
      <c r="K376" s="22" t="n"/>
      <c r="L376" s="26" t="n"/>
    </row>
    <row r="377">
      <c r="A377" s="11" t="n"/>
      <c r="B377" s="11" t="n"/>
      <c r="C377" s="10" t="n"/>
      <c r="D377" s="11" t="n"/>
      <c r="E377" s="10" t="n"/>
      <c r="F377" s="22" t="n"/>
      <c r="G377" s="24" t="n"/>
      <c r="H377" s="23" t="n"/>
      <c r="I377" s="25" t="n"/>
      <c r="J377" s="10">
        <f>IF(D377="","",IF(H377="✓","完了",IF(G377="","",IF(G377&lt;TODAY(),"期限超過",IF(G377=TODAY(),"今日まで","予定")))))</f>
        <v/>
      </c>
      <c r="K377" s="22" t="n"/>
      <c r="L377" s="26" t="n"/>
    </row>
    <row r="378">
      <c r="A378" s="11" t="n"/>
      <c r="B378" s="11" t="n"/>
      <c r="C378" s="10" t="n"/>
      <c r="D378" s="11" t="n"/>
      <c r="E378" s="10" t="n"/>
      <c r="F378" s="22" t="n"/>
      <c r="G378" s="24" t="n"/>
      <c r="H378" s="23" t="n"/>
      <c r="I378" s="25" t="n"/>
      <c r="J378" s="10">
        <f>IF(D378="","",IF(H378="✓","完了",IF(G378="","",IF(G378&lt;TODAY(),"期限超過",IF(G378=TODAY(),"今日まで","予定")))))</f>
        <v/>
      </c>
      <c r="K378" s="22" t="n"/>
      <c r="L378" s="26" t="n"/>
    </row>
    <row r="379">
      <c r="A379" s="11" t="n"/>
      <c r="B379" s="11" t="n"/>
      <c r="C379" s="10" t="n"/>
      <c r="D379" s="11" t="n"/>
      <c r="E379" s="10" t="n"/>
      <c r="F379" s="22" t="n"/>
      <c r="G379" s="24" t="n"/>
      <c r="H379" s="23" t="n"/>
      <c r="I379" s="25" t="n"/>
      <c r="J379" s="10">
        <f>IF(D379="","",IF(H379="✓","完了",IF(G379="","",IF(G379&lt;TODAY(),"期限超過",IF(G379=TODAY(),"今日まで","予定")))))</f>
        <v/>
      </c>
      <c r="K379" s="22" t="n"/>
      <c r="L379" s="26" t="n"/>
    </row>
    <row r="380">
      <c r="A380" s="11" t="n"/>
      <c r="B380" s="11" t="n"/>
      <c r="C380" s="10" t="n"/>
      <c r="D380" s="11" t="n"/>
      <c r="E380" s="10" t="n"/>
      <c r="F380" s="22" t="n"/>
      <c r="G380" s="24" t="n"/>
      <c r="H380" s="23" t="n"/>
      <c r="I380" s="25" t="n"/>
      <c r="J380" s="10">
        <f>IF(D380="","",IF(H380="✓","完了",IF(G380="","",IF(G380&lt;TODAY(),"期限超過",IF(G380=TODAY(),"今日まで","予定")))))</f>
        <v/>
      </c>
      <c r="K380" s="22" t="n"/>
      <c r="L380" s="26" t="n"/>
    </row>
    <row r="381">
      <c r="A381" s="11" t="n"/>
      <c r="B381" s="11" t="n"/>
      <c r="C381" s="10" t="n"/>
      <c r="D381" s="11" t="n"/>
      <c r="E381" s="10" t="n"/>
      <c r="F381" s="22" t="n"/>
      <c r="G381" s="24" t="n"/>
      <c r="H381" s="23" t="n"/>
      <c r="I381" s="25" t="n"/>
      <c r="J381" s="10">
        <f>IF(D381="","",IF(H381="✓","完了",IF(G381="","",IF(G381&lt;TODAY(),"期限超過",IF(G381=TODAY(),"今日まで","予定")))))</f>
        <v/>
      </c>
      <c r="K381" s="22" t="n"/>
      <c r="L381" s="26" t="n"/>
    </row>
    <row r="382">
      <c r="A382" s="11" t="n"/>
      <c r="B382" s="11" t="n"/>
      <c r="C382" s="10" t="n"/>
      <c r="D382" s="11" t="n"/>
      <c r="E382" s="10" t="n"/>
      <c r="F382" s="22" t="n"/>
      <c r="G382" s="24" t="n"/>
      <c r="H382" s="23" t="n"/>
      <c r="I382" s="25" t="n"/>
      <c r="J382" s="10">
        <f>IF(D382="","",IF(H382="✓","完了",IF(G382="","",IF(G382&lt;TODAY(),"期限超過",IF(G382=TODAY(),"今日まで","予定")))))</f>
        <v/>
      </c>
      <c r="K382" s="22" t="n"/>
      <c r="L382" s="26" t="n"/>
    </row>
    <row r="383">
      <c r="A383" s="11" t="n"/>
      <c r="B383" s="11" t="n"/>
      <c r="C383" s="10" t="n"/>
      <c r="D383" s="11" t="n"/>
      <c r="E383" s="10" t="n"/>
      <c r="F383" s="22" t="n"/>
      <c r="G383" s="24" t="n"/>
      <c r="H383" s="23" t="n"/>
      <c r="I383" s="25" t="n"/>
      <c r="J383" s="10">
        <f>IF(D383="","",IF(H383="✓","完了",IF(G383="","",IF(G383&lt;TODAY(),"期限超過",IF(G383=TODAY(),"今日まで","予定")))))</f>
        <v/>
      </c>
      <c r="K383" s="22" t="n"/>
      <c r="L383" s="26" t="n"/>
    </row>
    <row r="384">
      <c r="A384" s="11" t="n"/>
      <c r="B384" s="11" t="n"/>
      <c r="C384" s="10" t="n"/>
      <c r="D384" s="11" t="n"/>
      <c r="E384" s="10" t="n"/>
      <c r="F384" s="22" t="n"/>
      <c r="G384" s="24" t="n"/>
      <c r="H384" s="23" t="n"/>
      <c r="I384" s="25" t="n"/>
      <c r="J384" s="10">
        <f>IF(D384="","",IF(H384="✓","完了",IF(G384="","",IF(G384&lt;TODAY(),"期限超過",IF(G384=TODAY(),"今日まで","予定")))))</f>
        <v/>
      </c>
      <c r="K384" s="22" t="n"/>
      <c r="L384" s="26" t="n"/>
    </row>
    <row r="385">
      <c r="A385" s="11" t="n"/>
      <c r="B385" s="11" t="n"/>
      <c r="C385" s="10" t="n"/>
      <c r="D385" s="11" t="n"/>
      <c r="E385" s="10" t="n"/>
      <c r="F385" s="22" t="n"/>
      <c r="G385" s="24" t="n"/>
      <c r="H385" s="23" t="n"/>
      <c r="I385" s="25" t="n"/>
      <c r="J385" s="10">
        <f>IF(D385="","",IF(H385="✓","完了",IF(G385="","",IF(G385&lt;TODAY(),"期限超過",IF(G385=TODAY(),"今日まで","予定")))))</f>
        <v/>
      </c>
      <c r="K385" s="22" t="n"/>
      <c r="L385" s="26" t="n"/>
    </row>
    <row r="386">
      <c r="A386" s="11" t="n"/>
      <c r="B386" s="11" t="n"/>
      <c r="C386" s="10" t="n"/>
      <c r="D386" s="11" t="n"/>
      <c r="E386" s="10" t="n"/>
      <c r="F386" s="22" t="n"/>
      <c r="G386" s="24" t="n"/>
      <c r="H386" s="23" t="n"/>
      <c r="I386" s="25" t="n"/>
      <c r="J386" s="10">
        <f>IF(D386="","",IF(H386="✓","完了",IF(G386="","",IF(G386&lt;TODAY(),"期限超過",IF(G386=TODAY(),"今日まで","予定")))))</f>
        <v/>
      </c>
      <c r="K386" s="22" t="n"/>
      <c r="L386" s="26" t="n"/>
    </row>
    <row r="387">
      <c r="A387" s="11" t="n"/>
      <c r="B387" s="11" t="n"/>
      <c r="C387" s="10" t="n"/>
      <c r="D387" s="11" t="n"/>
      <c r="E387" s="10" t="n"/>
      <c r="F387" s="22" t="n"/>
      <c r="G387" s="24" t="n"/>
      <c r="H387" s="23" t="n"/>
      <c r="I387" s="25" t="n"/>
      <c r="J387" s="10">
        <f>IF(D387="","",IF(H387="✓","完了",IF(G387="","",IF(G387&lt;TODAY(),"期限超過",IF(G387=TODAY(),"今日まで","予定")))))</f>
        <v/>
      </c>
      <c r="K387" s="22" t="n"/>
      <c r="L387" s="26" t="n"/>
    </row>
    <row r="388">
      <c r="A388" s="11" t="n"/>
      <c r="B388" s="11" t="n"/>
      <c r="C388" s="10" t="n"/>
      <c r="D388" s="11" t="n"/>
      <c r="E388" s="10" t="n"/>
      <c r="F388" s="22" t="n"/>
      <c r="G388" s="24" t="n"/>
      <c r="H388" s="23" t="n"/>
      <c r="I388" s="25" t="n"/>
      <c r="J388" s="10">
        <f>IF(D388="","",IF(H388="✓","完了",IF(G388="","",IF(G388&lt;TODAY(),"期限超過",IF(G388=TODAY(),"今日まで","予定")))))</f>
        <v/>
      </c>
      <c r="K388" s="22" t="n"/>
      <c r="L388" s="26" t="n"/>
    </row>
    <row r="389">
      <c r="A389" s="11" t="n"/>
      <c r="B389" s="11" t="n"/>
      <c r="C389" s="10" t="n"/>
      <c r="D389" s="11" t="n"/>
      <c r="E389" s="10" t="n"/>
      <c r="F389" s="22" t="n"/>
      <c r="G389" s="24" t="n"/>
      <c r="H389" s="23" t="n"/>
      <c r="I389" s="25" t="n"/>
      <c r="J389" s="10">
        <f>IF(D389="","",IF(H389="✓","完了",IF(G389="","",IF(G389&lt;TODAY(),"期限超過",IF(G389=TODAY(),"今日まで","予定")))))</f>
        <v/>
      </c>
      <c r="K389" s="22" t="n"/>
      <c r="L389" s="26" t="n"/>
    </row>
    <row r="390">
      <c r="A390" s="11" t="n"/>
      <c r="B390" s="11" t="n"/>
      <c r="C390" s="10" t="n"/>
      <c r="D390" s="11" t="n"/>
      <c r="E390" s="10" t="n"/>
      <c r="F390" s="22" t="n"/>
      <c r="G390" s="24" t="n"/>
      <c r="H390" s="23" t="n"/>
      <c r="I390" s="25" t="n"/>
      <c r="J390" s="10">
        <f>IF(D390="","",IF(H390="✓","完了",IF(G390="","",IF(G390&lt;TODAY(),"期限超過",IF(G390=TODAY(),"今日まで","予定")))))</f>
        <v/>
      </c>
      <c r="K390" s="22" t="n"/>
      <c r="L390" s="26" t="n"/>
    </row>
    <row r="391">
      <c r="A391" s="11" t="n"/>
      <c r="B391" s="11" t="n"/>
      <c r="C391" s="10" t="n"/>
      <c r="D391" s="11" t="n"/>
      <c r="E391" s="10" t="n"/>
      <c r="F391" s="22" t="n"/>
      <c r="G391" s="24" t="n"/>
      <c r="H391" s="23" t="n"/>
      <c r="I391" s="25" t="n"/>
      <c r="J391" s="10">
        <f>IF(D391="","",IF(H391="✓","完了",IF(G391="","",IF(G391&lt;TODAY(),"期限超過",IF(G391=TODAY(),"今日まで","予定")))))</f>
        <v/>
      </c>
      <c r="K391" s="22" t="n"/>
      <c r="L391" s="26" t="n"/>
    </row>
    <row r="392">
      <c r="A392" s="11" t="n"/>
      <c r="B392" s="11" t="n"/>
      <c r="C392" s="10" t="n"/>
      <c r="D392" s="11" t="n"/>
      <c r="E392" s="10" t="n"/>
      <c r="F392" s="22" t="n"/>
      <c r="G392" s="24" t="n"/>
      <c r="H392" s="23" t="n"/>
      <c r="I392" s="25" t="n"/>
      <c r="J392" s="10">
        <f>IF(D392="","",IF(H392="✓","完了",IF(G392="","",IF(G392&lt;TODAY(),"期限超過",IF(G392=TODAY(),"今日まで","予定")))))</f>
        <v/>
      </c>
      <c r="K392" s="22" t="n"/>
      <c r="L392" s="26" t="n"/>
    </row>
    <row r="393">
      <c r="A393" s="11" t="n"/>
      <c r="B393" s="11" t="n"/>
      <c r="C393" s="10" t="n"/>
      <c r="D393" s="11" t="n"/>
      <c r="E393" s="10" t="n"/>
      <c r="F393" s="22" t="n"/>
      <c r="G393" s="24" t="n"/>
      <c r="H393" s="23" t="n"/>
      <c r="I393" s="25" t="n"/>
      <c r="J393" s="10">
        <f>IF(D393="","",IF(H393="✓","完了",IF(G393="","",IF(G393&lt;TODAY(),"期限超過",IF(G393=TODAY(),"今日まで","予定")))))</f>
        <v/>
      </c>
      <c r="K393" s="22" t="n"/>
      <c r="L393" s="26" t="n"/>
    </row>
    <row r="394">
      <c r="A394" s="11" t="n"/>
      <c r="B394" s="11" t="n"/>
      <c r="C394" s="10" t="n"/>
      <c r="D394" s="11" t="n"/>
      <c r="E394" s="10" t="n"/>
      <c r="F394" s="22" t="n"/>
      <c r="G394" s="24" t="n"/>
      <c r="H394" s="23" t="n"/>
      <c r="I394" s="25" t="n"/>
      <c r="J394" s="10">
        <f>IF(D394="","",IF(H394="✓","完了",IF(G394="","",IF(G394&lt;TODAY(),"期限超過",IF(G394=TODAY(),"今日まで","予定")))))</f>
        <v/>
      </c>
      <c r="K394" s="22" t="n"/>
      <c r="L394" s="26" t="n"/>
    </row>
    <row r="395">
      <c r="A395" s="11" t="n"/>
      <c r="B395" s="11" t="n"/>
      <c r="C395" s="10" t="n"/>
      <c r="D395" s="11" t="n"/>
      <c r="E395" s="10" t="n"/>
      <c r="F395" s="22" t="n"/>
      <c r="G395" s="24" t="n"/>
      <c r="H395" s="23" t="n"/>
      <c r="I395" s="25" t="n"/>
      <c r="J395" s="10">
        <f>IF(D395="","",IF(H395="✓","完了",IF(G395="","",IF(G395&lt;TODAY(),"期限超過",IF(G395=TODAY(),"今日まで","予定")))))</f>
        <v/>
      </c>
      <c r="K395" s="22" t="n"/>
      <c r="L395" s="26" t="n"/>
    </row>
    <row r="396">
      <c r="A396" s="11" t="n"/>
      <c r="B396" s="11" t="n"/>
      <c r="C396" s="10" t="n"/>
      <c r="D396" s="11" t="n"/>
      <c r="E396" s="10" t="n"/>
      <c r="F396" s="22" t="n"/>
      <c r="G396" s="24" t="n"/>
      <c r="H396" s="23" t="n"/>
      <c r="I396" s="25" t="n"/>
      <c r="J396" s="10">
        <f>IF(D396="","",IF(H396="✓","完了",IF(G396="","",IF(G396&lt;TODAY(),"期限超過",IF(G396=TODAY(),"今日まで","予定")))))</f>
        <v/>
      </c>
      <c r="K396" s="22" t="n"/>
      <c r="L396" s="26" t="n"/>
    </row>
    <row r="397">
      <c r="A397" s="11" t="n"/>
      <c r="B397" s="11" t="n"/>
      <c r="C397" s="10" t="n"/>
      <c r="D397" s="11" t="n"/>
      <c r="E397" s="10" t="n"/>
      <c r="F397" s="22" t="n"/>
      <c r="G397" s="24" t="n"/>
      <c r="H397" s="23" t="n"/>
      <c r="I397" s="25" t="n"/>
      <c r="J397" s="10">
        <f>IF(D397="","",IF(H397="✓","完了",IF(G397="","",IF(G397&lt;TODAY(),"期限超過",IF(G397=TODAY(),"今日まで","予定")))))</f>
        <v/>
      </c>
      <c r="K397" s="22" t="n"/>
      <c r="L397" s="26" t="n"/>
    </row>
    <row r="398">
      <c r="A398" s="11" t="n"/>
      <c r="B398" s="11" t="n"/>
      <c r="C398" s="10" t="n"/>
      <c r="D398" s="11" t="n"/>
      <c r="E398" s="10" t="n"/>
      <c r="F398" s="22" t="n"/>
      <c r="G398" s="24" t="n"/>
      <c r="H398" s="23" t="n"/>
      <c r="I398" s="25" t="n"/>
      <c r="J398" s="10">
        <f>IF(D398="","",IF(H398="✓","完了",IF(G398="","",IF(G398&lt;TODAY(),"期限超過",IF(G398=TODAY(),"今日まで","予定")))))</f>
        <v/>
      </c>
      <c r="K398" s="22" t="n"/>
      <c r="L398" s="26" t="n"/>
    </row>
    <row r="399">
      <c r="A399" s="11" t="n"/>
      <c r="B399" s="11" t="n"/>
      <c r="C399" s="10" t="n"/>
      <c r="D399" s="11" t="n"/>
      <c r="E399" s="10" t="n"/>
      <c r="F399" s="22" t="n"/>
      <c r="G399" s="24" t="n"/>
      <c r="H399" s="23" t="n"/>
      <c r="I399" s="25" t="n"/>
      <c r="J399" s="10">
        <f>IF(D399="","",IF(H399="✓","完了",IF(G399="","",IF(G399&lt;TODAY(),"期限超過",IF(G399=TODAY(),"今日まで","予定")))))</f>
        <v/>
      </c>
      <c r="K399" s="22" t="n"/>
      <c r="L399" s="26" t="n"/>
    </row>
    <row r="400">
      <c r="A400" s="11" t="n"/>
      <c r="B400" s="11" t="n"/>
      <c r="C400" s="10" t="n"/>
      <c r="D400" s="11" t="n"/>
      <c r="E400" s="10" t="n"/>
      <c r="F400" s="22" t="n"/>
      <c r="G400" s="24" t="n"/>
      <c r="H400" s="23" t="n"/>
      <c r="I400" s="25" t="n"/>
      <c r="J400" s="10">
        <f>IF(D400="","",IF(H400="✓","完了",IF(G400="","",IF(G400&lt;TODAY(),"期限超過",IF(G400=TODAY(),"今日まで","予定")))))</f>
        <v/>
      </c>
      <c r="K400" s="22" t="n"/>
      <c r="L400" s="26" t="n"/>
    </row>
    <row r="401">
      <c r="A401" s="11" t="n"/>
      <c r="B401" s="11" t="n"/>
      <c r="C401" s="10" t="n"/>
      <c r="D401" s="11" t="n"/>
      <c r="E401" s="10" t="n"/>
      <c r="F401" s="22" t="n"/>
      <c r="G401" s="24" t="n"/>
      <c r="H401" s="23" t="n"/>
      <c r="I401" s="25" t="n"/>
      <c r="J401" s="10">
        <f>IF(D401="","",IF(H401="✓","完了",IF(G401="","",IF(G401&lt;TODAY(),"期限超過",IF(G401=TODAY(),"今日まで","予定")))))</f>
        <v/>
      </c>
      <c r="K401" s="22" t="n"/>
      <c r="L401" s="26" t="n"/>
    </row>
    <row r="402">
      <c r="A402" s="11" t="n"/>
      <c r="B402" s="11" t="n"/>
      <c r="C402" s="10" t="n"/>
      <c r="D402" s="11" t="n"/>
      <c r="E402" s="10" t="n"/>
      <c r="F402" s="22" t="n"/>
      <c r="G402" s="24" t="n"/>
      <c r="H402" s="23" t="n"/>
      <c r="I402" s="25" t="n"/>
      <c r="J402" s="10">
        <f>IF(D402="","",IF(H402="✓","完了",IF(G402="","",IF(G402&lt;TODAY(),"期限超過",IF(G402=TODAY(),"今日まで","予定")))))</f>
        <v/>
      </c>
      <c r="K402" s="22" t="n"/>
      <c r="L402" s="26" t="n"/>
    </row>
    <row r="403">
      <c r="A403" s="11" t="n"/>
      <c r="B403" s="11" t="n"/>
      <c r="C403" s="10" t="n"/>
      <c r="D403" s="11" t="n"/>
      <c r="E403" s="10" t="n"/>
      <c r="F403" s="22" t="n"/>
      <c r="G403" s="24" t="n"/>
      <c r="H403" s="23" t="n"/>
      <c r="I403" s="25" t="n"/>
      <c r="J403" s="10">
        <f>IF(D403="","",IF(H403="✓","完了",IF(G403="","",IF(G403&lt;TODAY(),"期限超過",IF(G403=TODAY(),"今日まで","予定")))))</f>
        <v/>
      </c>
      <c r="K403" s="22" t="n"/>
      <c r="L403" s="26" t="n"/>
    </row>
    <row r="404">
      <c r="A404" s="11" t="n"/>
      <c r="B404" s="11" t="n"/>
      <c r="C404" s="10" t="n"/>
      <c r="D404" s="11" t="n"/>
      <c r="E404" s="10" t="n"/>
      <c r="F404" s="22" t="n"/>
      <c r="G404" s="24" t="n"/>
      <c r="H404" s="23" t="n"/>
      <c r="I404" s="25" t="n"/>
      <c r="J404" s="10">
        <f>IF(D404="","",IF(H404="✓","完了",IF(G404="","",IF(G404&lt;TODAY(),"期限超過",IF(G404=TODAY(),"今日まで","予定")))))</f>
        <v/>
      </c>
      <c r="K404" s="22" t="n"/>
      <c r="L404" s="26" t="n"/>
    </row>
    <row r="405">
      <c r="A405" s="11" t="n"/>
      <c r="B405" s="11" t="n"/>
      <c r="C405" s="10" t="n"/>
      <c r="D405" s="11" t="n"/>
      <c r="E405" s="10" t="n"/>
      <c r="F405" s="22" t="n"/>
      <c r="G405" s="24" t="n"/>
      <c r="H405" s="23" t="n"/>
      <c r="I405" s="25" t="n"/>
      <c r="J405" s="10">
        <f>IF(D405="","",IF(H405="✓","完了",IF(G405="","",IF(G405&lt;TODAY(),"期限超過",IF(G405=TODAY(),"今日まで","予定")))))</f>
        <v/>
      </c>
      <c r="K405" s="22" t="n"/>
      <c r="L405" s="26" t="n"/>
    </row>
    <row r="406">
      <c r="A406" s="11" t="n"/>
      <c r="B406" s="11" t="n"/>
      <c r="C406" s="10" t="n"/>
      <c r="D406" s="11" t="n"/>
      <c r="E406" s="10" t="n"/>
      <c r="F406" s="22" t="n"/>
      <c r="G406" s="24" t="n"/>
      <c r="H406" s="23" t="n"/>
      <c r="I406" s="25" t="n"/>
      <c r="J406" s="10">
        <f>IF(D406="","",IF(H406="✓","完了",IF(G406="","",IF(G406&lt;TODAY(),"期限超過",IF(G406=TODAY(),"今日まで","予定")))))</f>
        <v/>
      </c>
      <c r="K406" s="22" t="n"/>
      <c r="L406" s="26" t="n"/>
    </row>
    <row r="407">
      <c r="A407" s="11" t="n"/>
      <c r="B407" s="11" t="n"/>
      <c r="C407" s="10" t="n"/>
      <c r="D407" s="11" t="n"/>
      <c r="E407" s="10" t="n"/>
      <c r="F407" s="22" t="n"/>
      <c r="G407" s="24" t="n"/>
      <c r="H407" s="23" t="n"/>
      <c r="I407" s="25" t="n"/>
      <c r="J407" s="10">
        <f>IF(D407="","",IF(H407="✓","完了",IF(G407="","",IF(G407&lt;TODAY(),"期限超過",IF(G407=TODAY(),"今日まで","予定")))))</f>
        <v/>
      </c>
      <c r="K407" s="22" t="n"/>
      <c r="L407" s="26" t="n"/>
    </row>
    <row r="408">
      <c r="A408" s="11" t="n"/>
      <c r="B408" s="11" t="n"/>
      <c r="C408" s="10" t="n"/>
      <c r="D408" s="11" t="n"/>
      <c r="E408" s="10" t="n"/>
      <c r="F408" s="22" t="n"/>
      <c r="G408" s="24" t="n"/>
      <c r="H408" s="23" t="n"/>
      <c r="I408" s="25" t="n"/>
      <c r="J408" s="10">
        <f>IF(D408="","",IF(H408="✓","完了",IF(G408="","",IF(G408&lt;TODAY(),"期限超過",IF(G408=TODAY(),"今日まで","予定")))))</f>
        <v/>
      </c>
      <c r="K408" s="22" t="n"/>
      <c r="L408" s="26" t="n"/>
    </row>
    <row r="409">
      <c r="A409" s="11" t="n"/>
      <c r="B409" s="11" t="n"/>
      <c r="C409" s="10" t="n"/>
      <c r="D409" s="11" t="n"/>
      <c r="E409" s="10" t="n"/>
      <c r="F409" s="22" t="n"/>
      <c r="G409" s="24" t="n"/>
      <c r="H409" s="23" t="n"/>
      <c r="I409" s="25" t="n"/>
      <c r="J409" s="10">
        <f>IF(D409="","",IF(H409="✓","完了",IF(G409="","",IF(G409&lt;TODAY(),"期限超過",IF(G409=TODAY(),"今日まで","予定")))))</f>
        <v/>
      </c>
      <c r="K409" s="22" t="n"/>
      <c r="L409" s="26" t="n"/>
    </row>
    <row r="410">
      <c r="A410" s="11" t="n"/>
      <c r="B410" s="11" t="n"/>
      <c r="C410" s="10" t="n"/>
      <c r="D410" s="11" t="n"/>
      <c r="E410" s="10" t="n"/>
      <c r="F410" s="22" t="n"/>
      <c r="G410" s="24" t="n"/>
      <c r="H410" s="23" t="n"/>
      <c r="I410" s="25" t="n"/>
      <c r="J410" s="10">
        <f>IF(D410="","",IF(H410="✓","完了",IF(G410="","",IF(G410&lt;TODAY(),"期限超過",IF(G410=TODAY(),"今日まで","予定")))))</f>
        <v/>
      </c>
      <c r="K410" s="22" t="n"/>
      <c r="L410" s="26" t="n"/>
    </row>
    <row r="411">
      <c r="A411" s="11" t="n"/>
      <c r="B411" s="11" t="n"/>
      <c r="C411" s="10" t="n"/>
      <c r="D411" s="11" t="n"/>
      <c r="E411" s="10" t="n"/>
      <c r="F411" s="22" t="n"/>
      <c r="G411" s="24" t="n"/>
      <c r="H411" s="23" t="n"/>
      <c r="I411" s="25" t="n"/>
      <c r="J411" s="10">
        <f>IF(D411="","",IF(H411="✓","完了",IF(G411="","",IF(G411&lt;TODAY(),"期限超過",IF(G411=TODAY(),"今日まで","予定")))))</f>
        <v/>
      </c>
      <c r="K411" s="22" t="n"/>
      <c r="L411" s="26" t="n"/>
    </row>
    <row r="412">
      <c r="A412" s="11" t="n"/>
      <c r="B412" s="11" t="n"/>
      <c r="C412" s="10" t="n"/>
      <c r="D412" s="11" t="n"/>
      <c r="E412" s="10" t="n"/>
      <c r="F412" s="22" t="n"/>
      <c r="G412" s="24" t="n"/>
      <c r="H412" s="23" t="n"/>
      <c r="I412" s="25" t="n"/>
      <c r="J412" s="10">
        <f>IF(D412="","",IF(H412="✓","完了",IF(G412="","",IF(G412&lt;TODAY(),"期限超過",IF(G412=TODAY(),"今日まで","予定")))))</f>
        <v/>
      </c>
      <c r="K412" s="22" t="n"/>
      <c r="L412" s="26" t="n"/>
    </row>
    <row r="413">
      <c r="A413" s="11" t="n"/>
      <c r="B413" s="11" t="n"/>
      <c r="C413" s="10" t="n"/>
      <c r="D413" s="11" t="n"/>
      <c r="E413" s="10" t="n"/>
      <c r="F413" s="22" t="n"/>
      <c r="G413" s="24" t="n"/>
      <c r="H413" s="23" t="n"/>
      <c r="I413" s="25" t="n"/>
      <c r="J413" s="10">
        <f>IF(D413="","",IF(H413="✓","完了",IF(G413="","",IF(G413&lt;TODAY(),"期限超過",IF(G413=TODAY(),"今日まで","予定")))))</f>
        <v/>
      </c>
      <c r="K413" s="22" t="n"/>
      <c r="L413" s="26" t="n"/>
    </row>
    <row r="414">
      <c r="A414" s="11" t="n"/>
      <c r="B414" s="11" t="n"/>
      <c r="C414" s="10" t="n"/>
      <c r="D414" s="11" t="n"/>
      <c r="E414" s="10" t="n"/>
      <c r="F414" s="22" t="n"/>
      <c r="G414" s="24" t="n"/>
      <c r="H414" s="23" t="n"/>
      <c r="I414" s="25" t="n"/>
      <c r="J414" s="10">
        <f>IF(D414="","",IF(H414="✓","完了",IF(G414="","",IF(G414&lt;TODAY(),"期限超過",IF(G414=TODAY(),"今日まで","予定")))))</f>
        <v/>
      </c>
      <c r="K414" s="22" t="n"/>
      <c r="L414" s="26" t="n"/>
    </row>
    <row r="415">
      <c r="A415" s="11" t="n"/>
      <c r="B415" s="11" t="n"/>
      <c r="C415" s="10" t="n"/>
      <c r="D415" s="11" t="n"/>
      <c r="E415" s="10" t="n"/>
      <c r="F415" s="22" t="n"/>
      <c r="G415" s="24" t="n"/>
      <c r="H415" s="23" t="n"/>
      <c r="I415" s="25" t="n"/>
      <c r="J415" s="10">
        <f>IF(D415="","",IF(H415="✓","完了",IF(G415="","",IF(G415&lt;TODAY(),"期限超過",IF(G415=TODAY(),"今日まで","予定")))))</f>
        <v/>
      </c>
      <c r="K415" s="22" t="n"/>
      <c r="L415" s="26" t="n"/>
    </row>
    <row r="416">
      <c r="A416" s="11" t="n"/>
      <c r="B416" s="11" t="n"/>
      <c r="C416" s="10" t="n"/>
      <c r="D416" s="11" t="n"/>
      <c r="E416" s="10" t="n"/>
      <c r="F416" s="22" t="n"/>
      <c r="G416" s="24" t="n"/>
      <c r="H416" s="23" t="n"/>
      <c r="I416" s="25" t="n"/>
      <c r="J416" s="10">
        <f>IF(D416="","",IF(H416="✓","完了",IF(G416="","",IF(G416&lt;TODAY(),"期限超過",IF(G416=TODAY(),"今日まで","予定")))))</f>
        <v/>
      </c>
      <c r="K416" s="22" t="n"/>
      <c r="L416" s="26" t="n"/>
    </row>
    <row r="417">
      <c r="A417" s="11" t="n"/>
      <c r="B417" s="11" t="n"/>
      <c r="C417" s="10" t="n"/>
      <c r="D417" s="11" t="n"/>
      <c r="E417" s="10" t="n"/>
      <c r="F417" s="22" t="n"/>
      <c r="G417" s="24" t="n"/>
      <c r="H417" s="23" t="n"/>
      <c r="I417" s="25" t="n"/>
      <c r="J417" s="10">
        <f>IF(D417="","",IF(H417="✓","完了",IF(G417="","",IF(G417&lt;TODAY(),"期限超過",IF(G417=TODAY(),"今日まで","予定")))))</f>
        <v/>
      </c>
      <c r="K417" s="22" t="n"/>
      <c r="L417" s="26" t="n"/>
    </row>
    <row r="418">
      <c r="A418" s="11" t="n"/>
      <c r="B418" s="11" t="n"/>
      <c r="C418" s="10" t="n"/>
      <c r="D418" s="11" t="n"/>
      <c r="E418" s="10" t="n"/>
      <c r="F418" s="22" t="n"/>
      <c r="G418" s="24" t="n"/>
      <c r="H418" s="23" t="n"/>
      <c r="I418" s="25" t="n"/>
      <c r="J418" s="10">
        <f>IF(D418="","",IF(H418="✓","完了",IF(G418="","",IF(G418&lt;TODAY(),"期限超過",IF(G418=TODAY(),"今日まで","予定")))))</f>
        <v/>
      </c>
      <c r="K418" s="22" t="n"/>
      <c r="L418" s="26" t="n"/>
    </row>
    <row r="419">
      <c r="A419" s="11" t="n"/>
      <c r="B419" s="11" t="n"/>
      <c r="C419" s="10" t="n"/>
      <c r="D419" s="11" t="n"/>
      <c r="E419" s="10" t="n"/>
      <c r="F419" s="22" t="n"/>
      <c r="G419" s="24" t="n"/>
      <c r="H419" s="23" t="n"/>
      <c r="I419" s="25" t="n"/>
      <c r="J419" s="10">
        <f>IF(D419="","",IF(H419="✓","完了",IF(G419="","",IF(G419&lt;TODAY(),"期限超過",IF(G419=TODAY(),"今日まで","予定")))))</f>
        <v/>
      </c>
      <c r="K419" s="22" t="n"/>
      <c r="L419" s="26" t="n"/>
    </row>
    <row r="420">
      <c r="A420" s="11" t="n"/>
      <c r="B420" s="11" t="n"/>
      <c r="C420" s="10" t="n"/>
      <c r="D420" s="11" t="n"/>
      <c r="E420" s="10" t="n"/>
      <c r="F420" s="22" t="n"/>
      <c r="G420" s="24" t="n"/>
      <c r="H420" s="23" t="n"/>
      <c r="I420" s="25" t="n"/>
      <c r="J420" s="10">
        <f>IF(D420="","",IF(H420="✓","完了",IF(G420="","",IF(G420&lt;TODAY(),"期限超過",IF(G420=TODAY(),"今日まで","予定")))))</f>
        <v/>
      </c>
      <c r="K420" s="22" t="n"/>
      <c r="L420" s="26" t="n"/>
    </row>
    <row r="421">
      <c r="A421" s="11" t="n"/>
      <c r="B421" s="11" t="n"/>
      <c r="C421" s="10" t="n"/>
      <c r="D421" s="11" t="n"/>
      <c r="E421" s="10" t="n"/>
      <c r="F421" s="22" t="n"/>
      <c r="G421" s="24" t="n"/>
      <c r="H421" s="23" t="n"/>
      <c r="I421" s="25" t="n"/>
      <c r="J421" s="10">
        <f>IF(D421="","",IF(H421="✓","完了",IF(G421="","",IF(G421&lt;TODAY(),"期限超過",IF(G421=TODAY(),"今日まで","予定")))))</f>
        <v/>
      </c>
      <c r="K421" s="22" t="n"/>
      <c r="L421" s="26" t="n"/>
    </row>
    <row r="422">
      <c r="A422" s="11" t="n"/>
      <c r="B422" s="11" t="n"/>
      <c r="C422" s="10" t="n"/>
      <c r="D422" s="11" t="n"/>
      <c r="E422" s="10" t="n"/>
      <c r="F422" s="22" t="n"/>
      <c r="G422" s="24" t="n"/>
      <c r="H422" s="23" t="n"/>
      <c r="I422" s="25" t="n"/>
      <c r="J422" s="10">
        <f>IF(D422="","",IF(H422="✓","完了",IF(G422="","",IF(G422&lt;TODAY(),"期限超過",IF(G422=TODAY(),"今日まで","予定")))))</f>
        <v/>
      </c>
      <c r="K422" s="22" t="n"/>
      <c r="L422" s="26" t="n"/>
    </row>
    <row r="423">
      <c r="A423" s="11" t="n"/>
      <c r="B423" s="11" t="n"/>
      <c r="C423" s="10" t="n"/>
      <c r="D423" s="11" t="n"/>
      <c r="E423" s="10" t="n"/>
      <c r="F423" s="22" t="n"/>
      <c r="G423" s="24" t="n"/>
      <c r="H423" s="23" t="n"/>
      <c r="I423" s="25" t="n"/>
      <c r="J423" s="10">
        <f>IF(D423="","",IF(H423="✓","完了",IF(G423="","",IF(G423&lt;TODAY(),"期限超過",IF(G423=TODAY(),"今日まで","予定")))))</f>
        <v/>
      </c>
      <c r="K423" s="22" t="n"/>
      <c r="L423" s="26" t="n"/>
    </row>
    <row r="424">
      <c r="A424" s="11" t="n"/>
      <c r="B424" s="11" t="n"/>
      <c r="C424" s="10" t="n"/>
      <c r="D424" s="11" t="n"/>
      <c r="E424" s="10" t="n"/>
      <c r="F424" s="22" t="n"/>
      <c r="G424" s="24" t="n"/>
      <c r="H424" s="23" t="n"/>
      <c r="I424" s="25" t="n"/>
      <c r="J424" s="10">
        <f>IF(D424="","",IF(H424="✓","完了",IF(G424="","",IF(G424&lt;TODAY(),"期限超過",IF(G424=TODAY(),"今日まで","予定")))))</f>
        <v/>
      </c>
      <c r="K424" s="22" t="n"/>
      <c r="L424" s="26" t="n"/>
    </row>
    <row r="425">
      <c r="A425" s="11" t="n"/>
      <c r="B425" s="11" t="n"/>
      <c r="C425" s="10" t="n"/>
      <c r="D425" s="11" t="n"/>
      <c r="E425" s="10" t="n"/>
      <c r="F425" s="22" t="n"/>
      <c r="G425" s="24" t="n"/>
      <c r="H425" s="23" t="n"/>
      <c r="I425" s="25" t="n"/>
      <c r="J425" s="10">
        <f>IF(D425="","",IF(H425="✓","完了",IF(G425="","",IF(G425&lt;TODAY(),"期限超過",IF(G425=TODAY(),"今日まで","予定")))))</f>
        <v/>
      </c>
      <c r="K425" s="22" t="n"/>
      <c r="L425" s="26" t="n"/>
    </row>
    <row r="426">
      <c r="A426" s="11" t="n"/>
      <c r="B426" s="11" t="n"/>
      <c r="C426" s="10" t="n"/>
      <c r="D426" s="11" t="n"/>
      <c r="E426" s="10" t="n"/>
      <c r="F426" s="22" t="n"/>
      <c r="G426" s="24" t="n"/>
      <c r="H426" s="23" t="n"/>
      <c r="I426" s="25" t="n"/>
      <c r="J426" s="10">
        <f>IF(D426="","",IF(H426="✓","完了",IF(G426="","",IF(G426&lt;TODAY(),"期限超過",IF(G426=TODAY(),"今日まで","予定")))))</f>
        <v/>
      </c>
      <c r="K426" s="22" t="n"/>
      <c r="L426" s="26" t="n"/>
    </row>
    <row r="427">
      <c r="A427" s="11" t="n"/>
      <c r="B427" s="11" t="n"/>
      <c r="C427" s="10" t="n"/>
      <c r="D427" s="11" t="n"/>
      <c r="E427" s="10" t="n"/>
      <c r="F427" s="22" t="n"/>
      <c r="G427" s="24" t="n"/>
      <c r="H427" s="23" t="n"/>
      <c r="I427" s="25" t="n"/>
      <c r="J427" s="10">
        <f>IF(D427="","",IF(H427="✓","完了",IF(G427="","",IF(G427&lt;TODAY(),"期限超過",IF(G427=TODAY(),"今日まで","予定")))))</f>
        <v/>
      </c>
      <c r="K427" s="22" t="n"/>
      <c r="L427" s="26" t="n"/>
    </row>
    <row r="428">
      <c r="A428" s="11" t="n"/>
      <c r="B428" s="11" t="n"/>
      <c r="C428" s="10" t="n"/>
      <c r="D428" s="11" t="n"/>
      <c r="E428" s="10" t="n"/>
      <c r="F428" s="22" t="n"/>
      <c r="G428" s="24" t="n"/>
      <c r="H428" s="23" t="n"/>
      <c r="I428" s="25" t="n"/>
      <c r="J428" s="10">
        <f>IF(D428="","",IF(H428="✓","完了",IF(G428="","",IF(G428&lt;TODAY(),"期限超過",IF(G428=TODAY(),"今日まで","予定")))))</f>
        <v/>
      </c>
      <c r="K428" s="22" t="n"/>
      <c r="L428" s="26" t="n"/>
    </row>
    <row r="429">
      <c r="A429" s="11" t="n"/>
      <c r="B429" s="11" t="n"/>
      <c r="C429" s="10" t="n"/>
      <c r="D429" s="11" t="n"/>
      <c r="E429" s="10" t="n"/>
      <c r="F429" s="22" t="n"/>
      <c r="G429" s="24" t="n"/>
      <c r="H429" s="23" t="n"/>
      <c r="I429" s="25" t="n"/>
      <c r="J429" s="10">
        <f>IF(D429="","",IF(H429="✓","完了",IF(G429="","",IF(G429&lt;TODAY(),"期限超過",IF(G429=TODAY(),"今日まで","予定")))))</f>
        <v/>
      </c>
      <c r="K429" s="22" t="n"/>
      <c r="L429" s="26" t="n"/>
    </row>
    <row r="430">
      <c r="A430" s="11" t="n"/>
      <c r="B430" s="11" t="n"/>
      <c r="C430" s="10" t="n"/>
      <c r="D430" s="11" t="n"/>
      <c r="E430" s="10" t="n"/>
      <c r="F430" s="22" t="n"/>
      <c r="G430" s="24" t="n"/>
      <c r="H430" s="23" t="n"/>
      <c r="I430" s="25" t="n"/>
      <c r="J430" s="10">
        <f>IF(D430="","",IF(H430="✓","完了",IF(G430="","",IF(G430&lt;TODAY(),"期限超過",IF(G430=TODAY(),"今日まで","予定")))))</f>
        <v/>
      </c>
      <c r="K430" s="22" t="n"/>
      <c r="L430" s="26" t="n"/>
    </row>
    <row r="431">
      <c r="A431" s="11" t="n"/>
      <c r="B431" s="11" t="n"/>
      <c r="C431" s="10" t="n"/>
      <c r="D431" s="11" t="n"/>
      <c r="E431" s="10" t="n"/>
      <c r="F431" s="22" t="n"/>
      <c r="G431" s="24" t="n"/>
      <c r="H431" s="23" t="n"/>
      <c r="I431" s="25" t="n"/>
      <c r="J431" s="10">
        <f>IF(D431="","",IF(H431="✓","完了",IF(G431="","",IF(G431&lt;TODAY(),"期限超過",IF(G431=TODAY(),"今日まで","予定")))))</f>
        <v/>
      </c>
      <c r="K431" s="22" t="n"/>
      <c r="L431" s="26" t="n"/>
    </row>
    <row r="432">
      <c r="A432" s="11" t="n"/>
      <c r="B432" s="11" t="n"/>
      <c r="C432" s="10" t="n"/>
      <c r="D432" s="11" t="n"/>
      <c r="E432" s="10" t="n"/>
      <c r="F432" s="22" t="n"/>
      <c r="G432" s="24" t="n"/>
      <c r="H432" s="23" t="n"/>
      <c r="I432" s="25" t="n"/>
      <c r="J432" s="10">
        <f>IF(D432="","",IF(H432="✓","完了",IF(G432="","",IF(G432&lt;TODAY(),"期限超過",IF(G432=TODAY(),"今日まで","予定")))))</f>
        <v/>
      </c>
      <c r="K432" s="22" t="n"/>
      <c r="L432" s="26" t="n"/>
    </row>
    <row r="433">
      <c r="A433" s="11" t="n"/>
      <c r="B433" s="11" t="n"/>
      <c r="C433" s="10" t="n"/>
      <c r="D433" s="11" t="n"/>
      <c r="E433" s="10" t="n"/>
      <c r="F433" s="22" t="n"/>
      <c r="G433" s="24" t="n"/>
      <c r="H433" s="23" t="n"/>
      <c r="I433" s="25" t="n"/>
      <c r="J433" s="10">
        <f>IF(D433="","",IF(H433="✓","完了",IF(G433="","",IF(G433&lt;TODAY(),"期限超過",IF(G433=TODAY(),"今日まで","予定")))))</f>
        <v/>
      </c>
      <c r="K433" s="22" t="n"/>
      <c r="L433" s="26" t="n"/>
    </row>
    <row r="434">
      <c r="A434" s="11" t="n"/>
      <c r="B434" s="11" t="n"/>
      <c r="C434" s="10" t="n"/>
      <c r="D434" s="11" t="n"/>
      <c r="E434" s="10" t="n"/>
      <c r="F434" s="22" t="n"/>
      <c r="G434" s="24" t="n"/>
      <c r="H434" s="23" t="n"/>
      <c r="I434" s="25" t="n"/>
      <c r="J434" s="10">
        <f>IF(D434="","",IF(H434="✓","完了",IF(G434="","",IF(G434&lt;TODAY(),"期限超過",IF(G434=TODAY(),"今日まで","予定")))))</f>
        <v/>
      </c>
      <c r="K434" s="22" t="n"/>
      <c r="L434" s="26" t="n"/>
    </row>
    <row r="435">
      <c r="A435" s="11" t="n"/>
      <c r="B435" s="11" t="n"/>
      <c r="C435" s="10" t="n"/>
      <c r="D435" s="11" t="n"/>
      <c r="E435" s="10" t="n"/>
      <c r="F435" s="22" t="n"/>
      <c r="G435" s="24" t="n"/>
      <c r="H435" s="23" t="n"/>
      <c r="I435" s="25" t="n"/>
      <c r="J435" s="10">
        <f>IF(D435="","",IF(H435="✓","完了",IF(G435="","",IF(G435&lt;TODAY(),"期限超過",IF(G435=TODAY(),"今日まで","予定")))))</f>
        <v/>
      </c>
      <c r="K435" s="22" t="n"/>
      <c r="L435" s="26" t="n"/>
    </row>
    <row r="436">
      <c r="A436" s="11" t="n"/>
      <c r="B436" s="11" t="n"/>
      <c r="C436" s="10" t="n"/>
      <c r="D436" s="11" t="n"/>
      <c r="E436" s="10" t="n"/>
      <c r="F436" s="22" t="n"/>
      <c r="G436" s="24" t="n"/>
      <c r="H436" s="23" t="n"/>
      <c r="I436" s="25" t="n"/>
      <c r="J436" s="10">
        <f>IF(D436="","",IF(H436="✓","完了",IF(G436="","",IF(G436&lt;TODAY(),"期限超過",IF(G436=TODAY(),"今日まで","予定")))))</f>
        <v/>
      </c>
      <c r="K436" s="22" t="n"/>
      <c r="L436" s="26" t="n"/>
    </row>
    <row r="437">
      <c r="A437" s="11" t="n"/>
      <c r="B437" s="11" t="n"/>
      <c r="C437" s="10" t="n"/>
      <c r="D437" s="11" t="n"/>
      <c r="E437" s="10" t="n"/>
      <c r="F437" s="22" t="n"/>
      <c r="G437" s="24" t="n"/>
      <c r="H437" s="23" t="n"/>
      <c r="I437" s="25" t="n"/>
      <c r="J437" s="10">
        <f>IF(D437="","",IF(H437="✓","完了",IF(G437="","",IF(G437&lt;TODAY(),"期限超過",IF(G437=TODAY(),"今日まで","予定")))))</f>
        <v/>
      </c>
      <c r="K437" s="22" t="n"/>
      <c r="L437" s="26" t="n"/>
    </row>
    <row r="438">
      <c r="A438" s="11" t="n"/>
      <c r="B438" s="11" t="n"/>
      <c r="C438" s="10" t="n"/>
      <c r="D438" s="11" t="n"/>
      <c r="E438" s="10" t="n"/>
      <c r="F438" s="22" t="n"/>
      <c r="G438" s="24" t="n"/>
      <c r="H438" s="23" t="n"/>
      <c r="I438" s="25" t="n"/>
      <c r="J438" s="10">
        <f>IF(D438="","",IF(H438="✓","完了",IF(G438="","",IF(G438&lt;TODAY(),"期限超過",IF(G438=TODAY(),"今日まで","予定")))))</f>
        <v/>
      </c>
      <c r="K438" s="22" t="n"/>
      <c r="L438" s="26" t="n"/>
    </row>
    <row r="439">
      <c r="A439" s="11" t="n"/>
      <c r="B439" s="11" t="n"/>
      <c r="C439" s="10" t="n"/>
      <c r="D439" s="11" t="n"/>
      <c r="E439" s="10" t="n"/>
      <c r="F439" s="22" t="n"/>
      <c r="G439" s="24" t="n"/>
      <c r="H439" s="23" t="n"/>
      <c r="I439" s="25" t="n"/>
      <c r="J439" s="10">
        <f>IF(D439="","",IF(H439="✓","完了",IF(G439="","",IF(G439&lt;TODAY(),"期限超過",IF(G439=TODAY(),"今日まで","予定")))))</f>
        <v/>
      </c>
      <c r="K439" s="22" t="n"/>
      <c r="L439" s="26" t="n"/>
    </row>
    <row r="440">
      <c r="A440" s="11" t="n"/>
      <c r="B440" s="11" t="n"/>
      <c r="C440" s="10" t="n"/>
      <c r="D440" s="11" t="n"/>
      <c r="E440" s="10" t="n"/>
      <c r="F440" s="22" t="n"/>
      <c r="G440" s="24" t="n"/>
      <c r="H440" s="23" t="n"/>
      <c r="I440" s="25" t="n"/>
      <c r="J440" s="10">
        <f>IF(D440="","",IF(H440="✓","完了",IF(G440="","",IF(G440&lt;TODAY(),"期限超過",IF(G440=TODAY(),"今日まで","予定")))))</f>
        <v/>
      </c>
      <c r="K440" s="22" t="n"/>
      <c r="L440" s="26" t="n"/>
    </row>
    <row r="441">
      <c r="A441" s="11" t="n"/>
      <c r="B441" s="11" t="n"/>
      <c r="C441" s="10" t="n"/>
      <c r="D441" s="11" t="n"/>
      <c r="E441" s="10" t="n"/>
      <c r="F441" s="22" t="n"/>
      <c r="G441" s="24" t="n"/>
      <c r="H441" s="23" t="n"/>
      <c r="I441" s="25" t="n"/>
      <c r="J441" s="10">
        <f>IF(D441="","",IF(H441="✓","完了",IF(G441="","",IF(G441&lt;TODAY(),"期限超過",IF(G441=TODAY(),"今日まで","予定")))))</f>
        <v/>
      </c>
      <c r="K441" s="22" t="n"/>
      <c r="L441" s="26" t="n"/>
    </row>
    <row r="442">
      <c r="A442" s="11" t="n"/>
      <c r="B442" s="11" t="n"/>
      <c r="C442" s="10" t="n"/>
      <c r="D442" s="11" t="n"/>
      <c r="E442" s="10" t="n"/>
      <c r="F442" s="22" t="n"/>
      <c r="G442" s="24" t="n"/>
      <c r="H442" s="23" t="n"/>
      <c r="I442" s="25" t="n"/>
      <c r="J442" s="10">
        <f>IF(D442="","",IF(H442="✓","完了",IF(G442="","",IF(G442&lt;TODAY(),"期限超過",IF(G442=TODAY(),"今日まで","予定")))))</f>
        <v/>
      </c>
      <c r="K442" s="22" t="n"/>
      <c r="L442" s="26" t="n"/>
    </row>
    <row r="443">
      <c r="A443" s="11" t="n"/>
      <c r="B443" s="11" t="n"/>
      <c r="C443" s="10" t="n"/>
      <c r="D443" s="11" t="n"/>
      <c r="E443" s="10" t="n"/>
      <c r="F443" s="22" t="n"/>
      <c r="G443" s="24" t="n"/>
      <c r="H443" s="23" t="n"/>
      <c r="I443" s="25" t="n"/>
      <c r="J443" s="10">
        <f>IF(D443="","",IF(H443="✓","完了",IF(G443="","",IF(G443&lt;TODAY(),"期限超過",IF(G443=TODAY(),"今日まで","予定")))))</f>
        <v/>
      </c>
      <c r="K443" s="22" t="n"/>
      <c r="L443" s="26" t="n"/>
    </row>
    <row r="444">
      <c r="A444" s="11" t="n"/>
      <c r="B444" s="11" t="n"/>
      <c r="C444" s="10" t="n"/>
      <c r="D444" s="11" t="n"/>
      <c r="E444" s="10" t="n"/>
      <c r="F444" s="22" t="n"/>
      <c r="G444" s="24" t="n"/>
      <c r="H444" s="23" t="n"/>
      <c r="I444" s="25" t="n"/>
      <c r="J444" s="10">
        <f>IF(D444="","",IF(H444="✓","完了",IF(G444="","",IF(G444&lt;TODAY(),"期限超過",IF(G444=TODAY(),"今日まで","予定")))))</f>
        <v/>
      </c>
      <c r="K444" s="22" t="n"/>
      <c r="L444" s="26" t="n"/>
    </row>
    <row r="445">
      <c r="A445" s="11" t="n"/>
      <c r="B445" s="11" t="n"/>
      <c r="C445" s="10" t="n"/>
      <c r="D445" s="11" t="n"/>
      <c r="E445" s="10" t="n"/>
      <c r="F445" s="22" t="n"/>
      <c r="G445" s="24" t="n"/>
      <c r="H445" s="23" t="n"/>
      <c r="I445" s="25" t="n"/>
      <c r="J445" s="10">
        <f>IF(D445="","",IF(H445="✓","完了",IF(G445="","",IF(G445&lt;TODAY(),"期限超過",IF(G445=TODAY(),"今日まで","予定")))))</f>
        <v/>
      </c>
      <c r="K445" s="22" t="n"/>
      <c r="L445" s="26" t="n"/>
    </row>
    <row r="446">
      <c r="A446" s="11" t="n"/>
      <c r="B446" s="11" t="n"/>
      <c r="C446" s="10" t="n"/>
      <c r="D446" s="11" t="n"/>
      <c r="E446" s="10" t="n"/>
      <c r="F446" s="22" t="n"/>
      <c r="G446" s="24" t="n"/>
      <c r="H446" s="23" t="n"/>
      <c r="I446" s="25" t="n"/>
      <c r="J446" s="10">
        <f>IF(D446="","",IF(H446="✓","完了",IF(G446="","",IF(G446&lt;TODAY(),"期限超過",IF(G446=TODAY(),"今日まで","予定")))))</f>
        <v/>
      </c>
      <c r="K446" s="22" t="n"/>
      <c r="L446" s="26" t="n"/>
    </row>
    <row r="447">
      <c r="A447" s="11" t="n"/>
      <c r="B447" s="11" t="n"/>
      <c r="C447" s="10" t="n"/>
      <c r="D447" s="11" t="n"/>
      <c r="E447" s="10" t="n"/>
      <c r="F447" s="22" t="n"/>
      <c r="G447" s="24" t="n"/>
      <c r="H447" s="23" t="n"/>
      <c r="I447" s="25" t="n"/>
      <c r="J447" s="10">
        <f>IF(D447="","",IF(H447="✓","完了",IF(G447="","",IF(G447&lt;TODAY(),"期限超過",IF(G447=TODAY(),"今日まで","予定")))))</f>
        <v/>
      </c>
      <c r="K447" s="22" t="n"/>
      <c r="L447" s="26" t="n"/>
    </row>
    <row r="448">
      <c r="A448" s="11" t="n"/>
      <c r="B448" s="11" t="n"/>
      <c r="C448" s="10" t="n"/>
      <c r="D448" s="11" t="n"/>
      <c r="E448" s="10" t="n"/>
      <c r="F448" s="22" t="n"/>
      <c r="G448" s="24" t="n"/>
      <c r="H448" s="23" t="n"/>
      <c r="I448" s="25" t="n"/>
      <c r="J448" s="10">
        <f>IF(D448="","",IF(H448="✓","完了",IF(G448="","",IF(G448&lt;TODAY(),"期限超過",IF(G448=TODAY(),"今日まで","予定")))))</f>
        <v/>
      </c>
      <c r="K448" s="22" t="n"/>
      <c r="L448" s="26" t="n"/>
    </row>
    <row r="449">
      <c r="A449" s="11" t="n"/>
      <c r="B449" s="11" t="n"/>
      <c r="C449" s="10" t="n"/>
      <c r="D449" s="11" t="n"/>
      <c r="E449" s="10" t="n"/>
      <c r="F449" s="22" t="n"/>
      <c r="G449" s="24" t="n"/>
      <c r="H449" s="23" t="n"/>
      <c r="I449" s="25" t="n"/>
      <c r="J449" s="10">
        <f>IF(D449="","",IF(H449="✓","完了",IF(G449="","",IF(G449&lt;TODAY(),"期限超過",IF(G449=TODAY(),"今日まで","予定")))))</f>
        <v/>
      </c>
      <c r="K449" s="22" t="n"/>
      <c r="L449" s="26" t="n"/>
    </row>
    <row r="450">
      <c r="A450" s="11" t="n"/>
      <c r="B450" s="11" t="n"/>
      <c r="C450" s="10" t="n"/>
      <c r="D450" s="11" t="n"/>
      <c r="E450" s="10" t="n"/>
      <c r="F450" s="22" t="n"/>
      <c r="G450" s="24" t="n"/>
      <c r="H450" s="23" t="n"/>
      <c r="I450" s="25" t="n"/>
      <c r="J450" s="10">
        <f>IF(D450="","",IF(H450="✓","完了",IF(G450="","",IF(G450&lt;TODAY(),"期限超過",IF(G450=TODAY(),"今日まで","予定")))))</f>
        <v/>
      </c>
      <c r="K450" s="22" t="n"/>
      <c r="L450" s="26" t="n"/>
    </row>
    <row r="451">
      <c r="A451" s="11" t="n"/>
      <c r="B451" s="11" t="n"/>
      <c r="C451" s="10" t="n"/>
      <c r="D451" s="11" t="n"/>
      <c r="E451" s="10" t="n"/>
      <c r="F451" s="22" t="n"/>
      <c r="G451" s="24" t="n"/>
      <c r="H451" s="23" t="n"/>
      <c r="I451" s="25" t="n"/>
      <c r="J451" s="10">
        <f>IF(D451="","",IF(H451="✓","完了",IF(G451="","",IF(G451&lt;TODAY(),"期限超過",IF(G451=TODAY(),"今日まで","予定")))))</f>
        <v/>
      </c>
      <c r="K451" s="22" t="n"/>
      <c r="L451" s="26" t="n"/>
    </row>
    <row r="452">
      <c r="A452" s="11" t="n"/>
      <c r="B452" s="11" t="n"/>
      <c r="C452" s="10" t="n"/>
      <c r="D452" s="11" t="n"/>
      <c r="E452" s="10" t="n"/>
      <c r="F452" s="22" t="n"/>
      <c r="G452" s="24" t="n"/>
      <c r="H452" s="23" t="n"/>
      <c r="I452" s="25" t="n"/>
      <c r="J452" s="10">
        <f>IF(D452="","",IF(H452="✓","完了",IF(G452="","",IF(G452&lt;TODAY(),"期限超過",IF(G452=TODAY(),"今日まで","予定")))))</f>
        <v/>
      </c>
      <c r="K452" s="22" t="n"/>
      <c r="L452" s="26" t="n"/>
    </row>
    <row r="453">
      <c r="A453" s="11" t="n"/>
      <c r="B453" s="11" t="n"/>
      <c r="C453" s="10" t="n"/>
      <c r="D453" s="11" t="n"/>
      <c r="E453" s="10" t="n"/>
      <c r="F453" s="22" t="n"/>
      <c r="G453" s="24" t="n"/>
      <c r="H453" s="23" t="n"/>
      <c r="I453" s="25" t="n"/>
      <c r="J453" s="10">
        <f>IF(D453="","",IF(H453="✓","完了",IF(G453="","",IF(G453&lt;TODAY(),"期限超過",IF(G453=TODAY(),"今日まで","予定")))))</f>
        <v/>
      </c>
      <c r="K453" s="22" t="n"/>
      <c r="L453" s="26" t="n"/>
    </row>
    <row r="454">
      <c r="A454" s="11" t="n"/>
      <c r="B454" s="11" t="n"/>
      <c r="C454" s="10" t="n"/>
      <c r="D454" s="11" t="n"/>
      <c r="E454" s="10" t="n"/>
      <c r="F454" s="22" t="n"/>
      <c r="G454" s="24" t="n"/>
      <c r="H454" s="23" t="n"/>
      <c r="I454" s="25" t="n"/>
      <c r="J454" s="10">
        <f>IF(D454="","",IF(H454="✓","完了",IF(G454="","",IF(G454&lt;TODAY(),"期限超過",IF(G454=TODAY(),"今日まで","予定")))))</f>
        <v/>
      </c>
      <c r="K454" s="22" t="n"/>
      <c r="L454" s="26" t="n"/>
    </row>
    <row r="455">
      <c r="A455" s="11" t="n"/>
      <c r="B455" s="11" t="n"/>
      <c r="C455" s="10" t="n"/>
      <c r="D455" s="11" t="n"/>
      <c r="E455" s="10" t="n"/>
      <c r="F455" s="22" t="n"/>
      <c r="G455" s="24" t="n"/>
      <c r="H455" s="23" t="n"/>
      <c r="I455" s="25" t="n"/>
      <c r="J455" s="10">
        <f>IF(D455="","",IF(H455="✓","完了",IF(G455="","",IF(G455&lt;TODAY(),"期限超過",IF(G455=TODAY(),"今日まで","予定")))))</f>
        <v/>
      </c>
      <c r="K455" s="22" t="n"/>
      <c r="L455" s="26" t="n"/>
    </row>
    <row r="456">
      <c r="A456" s="11" t="n"/>
      <c r="B456" s="11" t="n"/>
      <c r="C456" s="10" t="n"/>
      <c r="D456" s="11" t="n"/>
      <c r="E456" s="10" t="n"/>
      <c r="F456" s="22" t="n"/>
      <c r="G456" s="24" t="n"/>
      <c r="H456" s="23" t="n"/>
      <c r="I456" s="25" t="n"/>
      <c r="J456" s="10">
        <f>IF(D456="","",IF(H456="✓","完了",IF(G456="","",IF(G456&lt;TODAY(),"期限超過",IF(G456=TODAY(),"今日まで","予定")))))</f>
        <v/>
      </c>
      <c r="K456" s="22" t="n"/>
      <c r="L456" s="26" t="n"/>
    </row>
    <row r="457">
      <c r="A457" s="11" t="n"/>
      <c r="B457" s="11" t="n"/>
      <c r="C457" s="10" t="n"/>
      <c r="D457" s="11" t="n"/>
      <c r="E457" s="10" t="n"/>
      <c r="F457" s="22" t="n"/>
      <c r="G457" s="24" t="n"/>
      <c r="H457" s="23" t="n"/>
      <c r="I457" s="25" t="n"/>
      <c r="J457" s="10">
        <f>IF(D457="","",IF(H457="✓","完了",IF(G457="","",IF(G457&lt;TODAY(),"期限超過",IF(G457=TODAY(),"今日まで","予定")))))</f>
        <v/>
      </c>
      <c r="K457" s="22" t="n"/>
      <c r="L457" s="26" t="n"/>
    </row>
    <row r="458">
      <c r="A458" s="11" t="n"/>
      <c r="B458" s="11" t="n"/>
      <c r="C458" s="10" t="n"/>
      <c r="D458" s="11" t="n"/>
      <c r="E458" s="10" t="n"/>
      <c r="F458" s="22" t="n"/>
      <c r="G458" s="24" t="n"/>
      <c r="H458" s="23" t="n"/>
      <c r="I458" s="25" t="n"/>
      <c r="J458" s="10">
        <f>IF(D458="","",IF(H458="✓","完了",IF(G458="","",IF(G458&lt;TODAY(),"期限超過",IF(G458=TODAY(),"今日まで","予定")))))</f>
        <v/>
      </c>
      <c r="K458" s="22" t="n"/>
      <c r="L458" s="26" t="n"/>
    </row>
    <row r="459">
      <c r="A459" s="11" t="n"/>
      <c r="B459" s="11" t="n"/>
      <c r="C459" s="10" t="n"/>
      <c r="D459" s="11" t="n"/>
      <c r="E459" s="10" t="n"/>
      <c r="F459" s="22" t="n"/>
      <c r="G459" s="24" t="n"/>
      <c r="H459" s="23" t="n"/>
      <c r="I459" s="25" t="n"/>
      <c r="J459" s="10">
        <f>IF(D459="","",IF(H459="✓","完了",IF(G459="","",IF(G459&lt;TODAY(),"期限超過",IF(G459=TODAY(),"今日まで","予定")))))</f>
        <v/>
      </c>
      <c r="K459" s="22" t="n"/>
      <c r="L459" s="26" t="n"/>
    </row>
    <row r="460">
      <c r="A460" s="11" t="n"/>
      <c r="B460" s="11" t="n"/>
      <c r="C460" s="10" t="n"/>
      <c r="D460" s="11" t="n"/>
      <c r="E460" s="10" t="n"/>
      <c r="F460" s="22" t="n"/>
      <c r="G460" s="24" t="n"/>
      <c r="H460" s="23" t="n"/>
      <c r="I460" s="25" t="n"/>
      <c r="J460" s="10">
        <f>IF(D460="","",IF(H460="✓","完了",IF(G460="","",IF(G460&lt;TODAY(),"期限超過",IF(G460=TODAY(),"今日まで","予定")))))</f>
        <v/>
      </c>
      <c r="K460" s="22" t="n"/>
      <c r="L460" s="26" t="n"/>
    </row>
    <row r="461">
      <c r="A461" s="11" t="n"/>
      <c r="B461" s="11" t="n"/>
      <c r="C461" s="10" t="n"/>
      <c r="D461" s="11" t="n"/>
      <c r="E461" s="10" t="n"/>
      <c r="F461" s="22" t="n"/>
      <c r="G461" s="24" t="n"/>
      <c r="H461" s="23" t="n"/>
      <c r="I461" s="25" t="n"/>
      <c r="J461" s="10">
        <f>IF(D461="","",IF(H461="✓","完了",IF(G461="","",IF(G461&lt;TODAY(),"期限超過",IF(G461=TODAY(),"今日まで","予定")))))</f>
        <v/>
      </c>
      <c r="K461" s="22" t="n"/>
      <c r="L461" s="26" t="n"/>
    </row>
    <row r="462">
      <c r="A462" s="11" t="n"/>
      <c r="B462" s="11" t="n"/>
      <c r="C462" s="10" t="n"/>
      <c r="D462" s="11" t="n"/>
      <c r="E462" s="10" t="n"/>
      <c r="F462" s="22" t="n"/>
      <c r="G462" s="24" t="n"/>
      <c r="H462" s="23" t="n"/>
      <c r="I462" s="25" t="n"/>
      <c r="J462" s="10">
        <f>IF(D462="","",IF(H462="✓","完了",IF(G462="","",IF(G462&lt;TODAY(),"期限超過",IF(G462=TODAY(),"今日まで","予定")))))</f>
        <v/>
      </c>
      <c r="K462" s="22" t="n"/>
      <c r="L462" s="26" t="n"/>
    </row>
    <row r="463">
      <c r="A463" s="11" t="n"/>
      <c r="B463" s="11" t="n"/>
      <c r="C463" s="10" t="n"/>
      <c r="D463" s="11" t="n"/>
      <c r="E463" s="10" t="n"/>
      <c r="F463" s="22" t="n"/>
      <c r="G463" s="24" t="n"/>
      <c r="H463" s="23" t="n"/>
      <c r="I463" s="25" t="n"/>
      <c r="J463" s="10">
        <f>IF(D463="","",IF(H463="✓","完了",IF(G463="","",IF(G463&lt;TODAY(),"期限超過",IF(G463=TODAY(),"今日まで","予定")))))</f>
        <v/>
      </c>
      <c r="K463" s="22" t="n"/>
      <c r="L463" s="26" t="n"/>
    </row>
    <row r="464">
      <c r="A464" s="11" t="n"/>
      <c r="B464" s="11" t="n"/>
      <c r="C464" s="10" t="n"/>
      <c r="D464" s="11" t="n"/>
      <c r="E464" s="10" t="n"/>
      <c r="F464" s="22" t="n"/>
      <c r="G464" s="24" t="n"/>
      <c r="H464" s="23" t="n"/>
      <c r="I464" s="25" t="n"/>
      <c r="J464" s="10">
        <f>IF(D464="","",IF(H464="✓","完了",IF(G464="","",IF(G464&lt;TODAY(),"期限超過",IF(G464=TODAY(),"今日まで","予定")))))</f>
        <v/>
      </c>
      <c r="K464" s="22" t="n"/>
      <c r="L464" s="26" t="n"/>
    </row>
    <row r="465">
      <c r="A465" s="11" t="n"/>
      <c r="B465" s="11" t="n"/>
      <c r="C465" s="10" t="n"/>
      <c r="D465" s="11" t="n"/>
      <c r="E465" s="10" t="n"/>
      <c r="F465" s="22" t="n"/>
      <c r="G465" s="24" t="n"/>
      <c r="H465" s="23" t="n"/>
      <c r="I465" s="25" t="n"/>
      <c r="J465" s="10">
        <f>IF(D465="","",IF(H465="✓","完了",IF(G465="","",IF(G465&lt;TODAY(),"期限超過",IF(G465=TODAY(),"今日まで","予定")))))</f>
        <v/>
      </c>
      <c r="K465" s="22" t="n"/>
      <c r="L465" s="26" t="n"/>
    </row>
    <row r="466">
      <c r="A466" s="11" t="n"/>
      <c r="B466" s="11" t="n"/>
      <c r="C466" s="10" t="n"/>
      <c r="D466" s="11" t="n"/>
      <c r="E466" s="10" t="n"/>
      <c r="F466" s="22" t="n"/>
      <c r="G466" s="24" t="n"/>
      <c r="H466" s="23" t="n"/>
      <c r="I466" s="25" t="n"/>
      <c r="J466" s="10">
        <f>IF(D466="","",IF(H466="✓","完了",IF(G466="","",IF(G466&lt;TODAY(),"期限超過",IF(G466=TODAY(),"今日まで","予定")))))</f>
        <v/>
      </c>
      <c r="K466" s="22" t="n"/>
      <c r="L466" s="26" t="n"/>
    </row>
    <row r="467">
      <c r="A467" s="11" t="n"/>
      <c r="B467" s="11" t="n"/>
      <c r="C467" s="10" t="n"/>
      <c r="D467" s="11" t="n"/>
      <c r="E467" s="10" t="n"/>
      <c r="F467" s="22" t="n"/>
      <c r="G467" s="24" t="n"/>
      <c r="H467" s="23" t="n"/>
      <c r="I467" s="25" t="n"/>
      <c r="J467" s="10">
        <f>IF(D467="","",IF(H467="✓","完了",IF(G467="","",IF(G467&lt;TODAY(),"期限超過",IF(G467=TODAY(),"今日まで","予定")))))</f>
        <v/>
      </c>
      <c r="K467" s="22" t="n"/>
      <c r="L467" s="26" t="n"/>
    </row>
    <row r="468">
      <c r="A468" s="11" t="n"/>
      <c r="B468" s="11" t="n"/>
      <c r="C468" s="10" t="n"/>
      <c r="D468" s="11" t="n"/>
      <c r="E468" s="10" t="n"/>
      <c r="F468" s="22" t="n"/>
      <c r="G468" s="24" t="n"/>
      <c r="H468" s="23" t="n"/>
      <c r="I468" s="25" t="n"/>
      <c r="J468" s="10">
        <f>IF(D468="","",IF(H468="✓","完了",IF(G468="","",IF(G468&lt;TODAY(),"期限超過",IF(G468=TODAY(),"今日まで","予定")))))</f>
        <v/>
      </c>
      <c r="K468" s="22" t="n"/>
      <c r="L468" s="26" t="n"/>
    </row>
    <row r="469">
      <c r="A469" s="11" t="n"/>
      <c r="B469" s="11" t="n"/>
      <c r="C469" s="10" t="n"/>
      <c r="D469" s="11" t="n"/>
      <c r="E469" s="10" t="n"/>
      <c r="F469" s="22" t="n"/>
      <c r="G469" s="24" t="n"/>
      <c r="H469" s="23" t="n"/>
      <c r="I469" s="25" t="n"/>
      <c r="J469" s="10">
        <f>IF(D469="","",IF(H469="✓","完了",IF(G469="","",IF(G469&lt;TODAY(),"期限超過",IF(G469=TODAY(),"今日まで","予定")))))</f>
        <v/>
      </c>
      <c r="K469" s="22" t="n"/>
      <c r="L469" s="26" t="n"/>
    </row>
    <row r="470">
      <c r="A470" s="11" t="n"/>
      <c r="B470" s="11" t="n"/>
      <c r="C470" s="10" t="n"/>
      <c r="D470" s="11" t="n"/>
      <c r="E470" s="10" t="n"/>
      <c r="F470" s="22" t="n"/>
      <c r="G470" s="24" t="n"/>
      <c r="H470" s="23" t="n"/>
      <c r="I470" s="25" t="n"/>
      <c r="J470" s="10">
        <f>IF(D470="","",IF(H470="✓","完了",IF(G470="","",IF(G470&lt;TODAY(),"期限超過",IF(G470=TODAY(),"今日まで","予定")))))</f>
        <v/>
      </c>
      <c r="K470" s="22" t="n"/>
      <c r="L470" s="26" t="n"/>
    </row>
    <row r="471">
      <c r="A471" s="11" t="n"/>
      <c r="B471" s="11" t="n"/>
      <c r="C471" s="10" t="n"/>
      <c r="D471" s="11" t="n"/>
      <c r="E471" s="10" t="n"/>
      <c r="F471" s="22" t="n"/>
      <c r="G471" s="24" t="n"/>
      <c r="H471" s="23" t="n"/>
      <c r="I471" s="25" t="n"/>
      <c r="J471" s="10">
        <f>IF(D471="","",IF(H471="✓","完了",IF(G471="","",IF(G471&lt;TODAY(),"期限超過",IF(G471=TODAY(),"今日まで","予定")))))</f>
        <v/>
      </c>
      <c r="K471" s="22" t="n"/>
      <c r="L471" s="26" t="n"/>
    </row>
    <row r="472">
      <c r="A472" s="11" t="n"/>
      <c r="B472" s="11" t="n"/>
      <c r="C472" s="10" t="n"/>
      <c r="D472" s="11" t="n"/>
      <c r="E472" s="10" t="n"/>
      <c r="F472" s="22" t="n"/>
      <c r="G472" s="24" t="n"/>
      <c r="H472" s="23" t="n"/>
      <c r="I472" s="25" t="n"/>
      <c r="J472" s="10">
        <f>IF(D472="","",IF(H472="✓","完了",IF(G472="","",IF(G472&lt;TODAY(),"期限超過",IF(G472=TODAY(),"今日まで","予定")))))</f>
        <v/>
      </c>
      <c r="K472" s="22" t="n"/>
      <c r="L472" s="26" t="n"/>
    </row>
    <row r="473">
      <c r="A473" s="11" t="n"/>
      <c r="B473" s="11" t="n"/>
      <c r="C473" s="10" t="n"/>
      <c r="D473" s="11" t="n"/>
      <c r="E473" s="10" t="n"/>
      <c r="F473" s="22" t="n"/>
      <c r="G473" s="24" t="n"/>
      <c r="H473" s="23" t="n"/>
      <c r="I473" s="25" t="n"/>
      <c r="J473" s="10">
        <f>IF(D473="","",IF(H473="✓","完了",IF(G473="","",IF(G473&lt;TODAY(),"期限超過",IF(G473=TODAY(),"今日まで","予定")))))</f>
        <v/>
      </c>
      <c r="K473" s="22" t="n"/>
      <c r="L473" s="26" t="n"/>
    </row>
    <row r="474">
      <c r="A474" s="11" t="n"/>
      <c r="B474" s="11" t="n"/>
      <c r="C474" s="10" t="n"/>
      <c r="D474" s="11" t="n"/>
      <c r="E474" s="10" t="n"/>
      <c r="F474" s="22" t="n"/>
      <c r="G474" s="24" t="n"/>
      <c r="H474" s="23" t="n"/>
      <c r="I474" s="25" t="n"/>
      <c r="J474" s="10">
        <f>IF(D474="","",IF(H474="✓","完了",IF(G474="","",IF(G474&lt;TODAY(),"期限超過",IF(G474=TODAY(),"今日まで","予定")))))</f>
        <v/>
      </c>
      <c r="K474" s="22" t="n"/>
      <c r="L474" s="26" t="n"/>
    </row>
    <row r="475">
      <c r="A475" s="11" t="n"/>
      <c r="B475" s="11" t="n"/>
      <c r="C475" s="10" t="n"/>
      <c r="D475" s="11" t="n"/>
      <c r="E475" s="10" t="n"/>
      <c r="F475" s="22" t="n"/>
      <c r="G475" s="24" t="n"/>
      <c r="H475" s="23" t="n"/>
      <c r="I475" s="25" t="n"/>
      <c r="J475" s="10">
        <f>IF(D475="","",IF(H475="✓","完了",IF(G475="","",IF(G475&lt;TODAY(),"期限超過",IF(G475=TODAY(),"今日まで","予定")))))</f>
        <v/>
      </c>
      <c r="K475" s="22" t="n"/>
      <c r="L475" s="26" t="n"/>
    </row>
    <row r="476">
      <c r="A476" s="11" t="n"/>
      <c r="B476" s="11" t="n"/>
      <c r="C476" s="10" t="n"/>
      <c r="D476" s="11" t="n"/>
      <c r="E476" s="10" t="n"/>
      <c r="F476" s="22" t="n"/>
      <c r="G476" s="24" t="n"/>
      <c r="H476" s="23" t="n"/>
      <c r="I476" s="25" t="n"/>
      <c r="J476" s="10">
        <f>IF(D476="","",IF(H476="✓","完了",IF(G476="","",IF(G476&lt;TODAY(),"期限超過",IF(G476=TODAY(),"今日まで","予定")))))</f>
        <v/>
      </c>
      <c r="K476" s="22" t="n"/>
      <c r="L476" s="26" t="n"/>
    </row>
    <row r="477">
      <c r="A477" s="11" t="n"/>
      <c r="B477" s="11" t="n"/>
      <c r="C477" s="10" t="n"/>
      <c r="D477" s="11" t="n"/>
      <c r="E477" s="10" t="n"/>
      <c r="F477" s="22" t="n"/>
      <c r="G477" s="24" t="n"/>
      <c r="H477" s="23" t="n"/>
      <c r="I477" s="25" t="n"/>
      <c r="J477" s="10">
        <f>IF(D477="","",IF(H477="✓","完了",IF(G477="","",IF(G477&lt;TODAY(),"期限超過",IF(G477=TODAY(),"今日まで","予定")))))</f>
        <v/>
      </c>
      <c r="K477" s="22" t="n"/>
      <c r="L477" s="26" t="n"/>
    </row>
    <row r="478">
      <c r="A478" s="11" t="n"/>
      <c r="B478" s="11" t="n"/>
      <c r="C478" s="10" t="n"/>
      <c r="D478" s="11" t="n"/>
      <c r="E478" s="10" t="n"/>
      <c r="F478" s="22" t="n"/>
      <c r="G478" s="24" t="n"/>
      <c r="H478" s="23" t="n"/>
      <c r="I478" s="25" t="n"/>
      <c r="J478" s="10">
        <f>IF(D478="","",IF(H478="✓","完了",IF(G478="","",IF(G478&lt;TODAY(),"期限超過",IF(G478=TODAY(),"今日まで","予定")))))</f>
        <v/>
      </c>
      <c r="K478" s="22" t="n"/>
      <c r="L478" s="26" t="n"/>
    </row>
    <row r="479">
      <c r="A479" s="11" t="n"/>
      <c r="B479" s="11" t="n"/>
      <c r="C479" s="10" t="n"/>
      <c r="D479" s="11" t="n"/>
      <c r="E479" s="10" t="n"/>
      <c r="F479" s="22" t="n"/>
      <c r="G479" s="24" t="n"/>
      <c r="H479" s="23" t="n"/>
      <c r="I479" s="25" t="n"/>
      <c r="J479" s="10">
        <f>IF(D479="","",IF(H479="✓","完了",IF(G479="","",IF(G479&lt;TODAY(),"期限超過",IF(G479=TODAY(),"今日まで","予定")))))</f>
        <v/>
      </c>
      <c r="K479" s="22" t="n"/>
      <c r="L479" s="26" t="n"/>
    </row>
    <row r="480">
      <c r="A480" s="11" t="n"/>
      <c r="B480" s="11" t="n"/>
      <c r="C480" s="10" t="n"/>
      <c r="D480" s="11" t="n"/>
      <c r="E480" s="10" t="n"/>
      <c r="F480" s="22" t="n"/>
      <c r="G480" s="24" t="n"/>
      <c r="H480" s="23" t="n"/>
      <c r="I480" s="25" t="n"/>
      <c r="J480" s="10">
        <f>IF(D480="","",IF(H480="✓","完了",IF(G480="","",IF(G480&lt;TODAY(),"期限超過",IF(G480=TODAY(),"今日まで","予定")))))</f>
        <v/>
      </c>
      <c r="K480" s="22" t="n"/>
      <c r="L480" s="26" t="n"/>
    </row>
    <row r="481">
      <c r="A481" s="11" t="n"/>
      <c r="B481" s="11" t="n"/>
      <c r="C481" s="10" t="n"/>
      <c r="D481" s="11" t="n"/>
      <c r="E481" s="10" t="n"/>
      <c r="F481" s="22" t="n"/>
      <c r="G481" s="24" t="n"/>
      <c r="H481" s="23" t="n"/>
      <c r="I481" s="25" t="n"/>
      <c r="J481" s="10">
        <f>IF(D481="","",IF(H481="✓","完了",IF(G481="","",IF(G481&lt;TODAY(),"期限超過",IF(G481=TODAY(),"今日まで","予定")))))</f>
        <v/>
      </c>
      <c r="K481" s="22" t="n"/>
      <c r="L481" s="26" t="n"/>
    </row>
    <row r="482">
      <c r="A482" s="11" t="n"/>
      <c r="B482" s="11" t="n"/>
      <c r="C482" s="10" t="n"/>
      <c r="D482" s="11" t="n"/>
      <c r="E482" s="10" t="n"/>
      <c r="F482" s="22" t="n"/>
      <c r="G482" s="24" t="n"/>
      <c r="H482" s="23" t="n"/>
      <c r="I482" s="25" t="n"/>
      <c r="J482" s="10">
        <f>IF(D482="","",IF(H482="✓","完了",IF(G482="","",IF(G482&lt;TODAY(),"期限超過",IF(G482=TODAY(),"今日まで","予定")))))</f>
        <v/>
      </c>
      <c r="K482" s="22" t="n"/>
      <c r="L482" s="26" t="n"/>
    </row>
    <row r="483">
      <c r="A483" s="11" t="n"/>
      <c r="B483" s="11" t="n"/>
      <c r="C483" s="10" t="n"/>
      <c r="D483" s="11" t="n"/>
      <c r="E483" s="10" t="n"/>
      <c r="F483" s="22" t="n"/>
      <c r="G483" s="24" t="n"/>
      <c r="H483" s="23" t="n"/>
      <c r="I483" s="25" t="n"/>
      <c r="J483" s="10">
        <f>IF(D483="","",IF(H483="✓","完了",IF(G483="","",IF(G483&lt;TODAY(),"期限超過",IF(G483=TODAY(),"今日まで","予定")))))</f>
        <v/>
      </c>
      <c r="K483" s="22" t="n"/>
      <c r="L483" s="26" t="n"/>
    </row>
    <row r="484">
      <c r="A484" s="11" t="n"/>
      <c r="B484" s="11" t="n"/>
      <c r="C484" s="10" t="n"/>
      <c r="D484" s="11" t="n"/>
      <c r="E484" s="10" t="n"/>
      <c r="F484" s="22" t="n"/>
      <c r="G484" s="24" t="n"/>
      <c r="H484" s="23" t="n"/>
      <c r="I484" s="25" t="n"/>
      <c r="J484" s="10">
        <f>IF(D484="","",IF(H484="✓","完了",IF(G484="","",IF(G484&lt;TODAY(),"期限超過",IF(G484=TODAY(),"今日まで","予定")))))</f>
        <v/>
      </c>
      <c r="K484" s="22" t="n"/>
      <c r="L484" s="26" t="n"/>
    </row>
    <row r="485">
      <c r="A485" s="11" t="n"/>
      <c r="B485" s="11" t="n"/>
      <c r="C485" s="10" t="n"/>
      <c r="D485" s="11" t="n"/>
      <c r="E485" s="10" t="n"/>
      <c r="F485" s="22" t="n"/>
      <c r="G485" s="24" t="n"/>
      <c r="H485" s="23" t="n"/>
      <c r="I485" s="25" t="n"/>
      <c r="J485" s="10">
        <f>IF(D485="","",IF(H485="✓","完了",IF(G485="","",IF(G485&lt;TODAY(),"期限超過",IF(G485=TODAY(),"今日まで","予定")))))</f>
        <v/>
      </c>
      <c r="K485" s="22" t="n"/>
      <c r="L485" s="26" t="n"/>
    </row>
    <row r="486">
      <c r="A486" s="11" t="n"/>
      <c r="B486" s="11" t="n"/>
      <c r="C486" s="10" t="n"/>
      <c r="D486" s="11" t="n"/>
      <c r="E486" s="10" t="n"/>
      <c r="F486" s="22" t="n"/>
      <c r="G486" s="24" t="n"/>
      <c r="H486" s="23" t="n"/>
      <c r="I486" s="25" t="n"/>
      <c r="J486" s="10">
        <f>IF(D486="","",IF(H486="✓","完了",IF(G486="","",IF(G486&lt;TODAY(),"期限超過",IF(G486=TODAY(),"今日まで","予定")))))</f>
        <v/>
      </c>
      <c r="K486" s="22" t="n"/>
      <c r="L486" s="26" t="n"/>
    </row>
    <row r="487">
      <c r="A487" s="11" t="n"/>
      <c r="B487" s="11" t="n"/>
      <c r="C487" s="10" t="n"/>
      <c r="D487" s="11" t="n"/>
      <c r="E487" s="10" t="n"/>
      <c r="F487" s="22" t="n"/>
      <c r="G487" s="24" t="n"/>
      <c r="H487" s="23" t="n"/>
      <c r="I487" s="25" t="n"/>
      <c r="J487" s="10">
        <f>IF(D487="","",IF(H487="✓","完了",IF(G487="","",IF(G487&lt;TODAY(),"期限超過",IF(G487=TODAY(),"今日まで","予定")))))</f>
        <v/>
      </c>
      <c r="K487" s="22" t="n"/>
      <c r="L487" s="26" t="n"/>
    </row>
    <row r="488">
      <c r="A488" s="11" t="n"/>
      <c r="B488" s="11" t="n"/>
      <c r="C488" s="10" t="n"/>
      <c r="D488" s="11" t="n"/>
      <c r="E488" s="10" t="n"/>
      <c r="F488" s="22" t="n"/>
      <c r="G488" s="24" t="n"/>
      <c r="H488" s="23" t="n"/>
      <c r="I488" s="25" t="n"/>
      <c r="J488" s="10">
        <f>IF(D488="","",IF(H488="✓","完了",IF(G488="","",IF(G488&lt;TODAY(),"期限超過",IF(G488=TODAY(),"今日まで","予定")))))</f>
        <v/>
      </c>
      <c r="K488" s="22" t="n"/>
      <c r="L488" s="26" t="n"/>
    </row>
    <row r="489">
      <c r="A489" s="11" t="n"/>
      <c r="B489" s="11" t="n"/>
      <c r="C489" s="10" t="n"/>
      <c r="D489" s="11" t="n"/>
      <c r="E489" s="10" t="n"/>
      <c r="F489" s="22" t="n"/>
      <c r="G489" s="24" t="n"/>
      <c r="H489" s="23" t="n"/>
      <c r="I489" s="25" t="n"/>
      <c r="J489" s="10">
        <f>IF(D489="","",IF(H489="✓","完了",IF(G489="","",IF(G489&lt;TODAY(),"期限超過",IF(G489=TODAY(),"今日まで","予定")))))</f>
        <v/>
      </c>
      <c r="K489" s="22" t="n"/>
      <c r="L489" s="26" t="n"/>
    </row>
    <row r="490">
      <c r="A490" s="11" t="n"/>
      <c r="B490" s="11" t="n"/>
      <c r="C490" s="10" t="n"/>
      <c r="D490" s="11" t="n"/>
      <c r="E490" s="10" t="n"/>
      <c r="F490" s="22" t="n"/>
      <c r="G490" s="24" t="n"/>
      <c r="H490" s="23" t="n"/>
      <c r="I490" s="25" t="n"/>
      <c r="J490" s="10">
        <f>IF(D490="","",IF(H490="✓","完了",IF(G490="","",IF(G490&lt;TODAY(),"期限超過",IF(G490=TODAY(),"今日まで","予定")))))</f>
        <v/>
      </c>
      <c r="K490" s="22" t="n"/>
      <c r="L490" s="26" t="n"/>
    </row>
    <row r="491">
      <c r="A491" s="11" t="n"/>
      <c r="B491" s="11" t="n"/>
      <c r="C491" s="10" t="n"/>
      <c r="D491" s="11" t="n"/>
      <c r="E491" s="10" t="n"/>
      <c r="F491" s="22" t="n"/>
      <c r="G491" s="24" t="n"/>
      <c r="H491" s="23" t="n"/>
      <c r="I491" s="25" t="n"/>
      <c r="J491" s="10">
        <f>IF(D491="","",IF(H491="✓","完了",IF(G491="","",IF(G491&lt;TODAY(),"期限超過",IF(G491=TODAY(),"今日まで","予定")))))</f>
        <v/>
      </c>
      <c r="K491" s="22" t="n"/>
      <c r="L491" s="26" t="n"/>
    </row>
    <row r="492">
      <c r="A492" s="11" t="n"/>
      <c r="B492" s="11" t="n"/>
      <c r="C492" s="10" t="n"/>
      <c r="D492" s="11" t="n"/>
      <c r="E492" s="10" t="n"/>
      <c r="F492" s="22" t="n"/>
      <c r="G492" s="24" t="n"/>
      <c r="H492" s="23" t="n"/>
      <c r="I492" s="25" t="n"/>
      <c r="J492" s="10">
        <f>IF(D492="","",IF(H492="✓","完了",IF(G492="","",IF(G492&lt;TODAY(),"期限超過",IF(G492=TODAY(),"今日まで","予定")))))</f>
        <v/>
      </c>
      <c r="K492" s="22" t="n"/>
      <c r="L492" s="26" t="n"/>
    </row>
    <row r="493">
      <c r="A493" s="11" t="n"/>
      <c r="B493" s="11" t="n"/>
      <c r="C493" s="10" t="n"/>
      <c r="D493" s="11" t="n"/>
      <c r="E493" s="10" t="n"/>
      <c r="F493" s="22" t="n"/>
      <c r="G493" s="24" t="n"/>
      <c r="H493" s="23" t="n"/>
      <c r="I493" s="25" t="n"/>
      <c r="J493" s="10">
        <f>IF(D493="","",IF(H493="✓","完了",IF(G493="","",IF(G493&lt;TODAY(),"期限超過",IF(G493=TODAY(),"今日まで","予定")))))</f>
        <v/>
      </c>
      <c r="K493" s="22" t="n"/>
      <c r="L493" s="26" t="n"/>
    </row>
    <row r="494">
      <c r="A494" s="11" t="n"/>
      <c r="B494" s="11" t="n"/>
      <c r="C494" s="10" t="n"/>
      <c r="D494" s="11" t="n"/>
      <c r="E494" s="10" t="n"/>
      <c r="F494" s="22" t="n"/>
      <c r="G494" s="24" t="n"/>
      <c r="H494" s="23" t="n"/>
      <c r="I494" s="25" t="n"/>
      <c r="J494" s="10">
        <f>IF(D494="","",IF(H494="✓","完了",IF(G494="","",IF(G494&lt;TODAY(),"期限超過",IF(G494=TODAY(),"今日まで","予定")))))</f>
        <v/>
      </c>
      <c r="K494" s="22" t="n"/>
      <c r="L494" s="26" t="n"/>
    </row>
    <row r="495">
      <c r="A495" s="11" t="n"/>
      <c r="B495" s="11" t="n"/>
      <c r="C495" s="10" t="n"/>
      <c r="D495" s="11" t="n"/>
      <c r="E495" s="10" t="n"/>
      <c r="F495" s="22" t="n"/>
      <c r="G495" s="24" t="n"/>
      <c r="H495" s="23" t="n"/>
      <c r="I495" s="25" t="n"/>
      <c r="J495" s="10">
        <f>IF(D495="","",IF(H495="✓","完了",IF(G495="","",IF(G495&lt;TODAY(),"期限超過",IF(G495=TODAY(),"今日まで","予定")))))</f>
        <v/>
      </c>
      <c r="K495" s="22" t="n"/>
      <c r="L495" s="26" t="n"/>
    </row>
    <row r="496">
      <c r="A496" s="11" t="n"/>
      <c r="B496" s="11" t="n"/>
      <c r="C496" s="10" t="n"/>
      <c r="D496" s="11" t="n"/>
      <c r="E496" s="10" t="n"/>
      <c r="F496" s="22" t="n"/>
      <c r="G496" s="24" t="n"/>
      <c r="H496" s="23" t="n"/>
      <c r="I496" s="25" t="n"/>
      <c r="J496" s="10">
        <f>IF(D496="","",IF(H496="✓","完了",IF(G496="","",IF(G496&lt;TODAY(),"期限超過",IF(G496=TODAY(),"今日まで","予定")))))</f>
        <v/>
      </c>
      <c r="K496" s="22" t="n"/>
      <c r="L496" s="26" t="n"/>
    </row>
    <row r="497">
      <c r="A497" s="11" t="n"/>
      <c r="B497" s="11" t="n"/>
      <c r="C497" s="10" t="n"/>
      <c r="D497" s="11" t="n"/>
      <c r="E497" s="10" t="n"/>
      <c r="F497" s="22" t="n"/>
      <c r="G497" s="24" t="n"/>
      <c r="H497" s="23" t="n"/>
      <c r="I497" s="25" t="n"/>
      <c r="J497" s="10">
        <f>IF(D497="","",IF(H497="✓","完了",IF(G497="","",IF(G497&lt;TODAY(),"期限超過",IF(G497=TODAY(),"今日まで","予定")))))</f>
        <v/>
      </c>
      <c r="K497" s="22" t="n"/>
      <c r="L497" s="26" t="n"/>
    </row>
    <row r="498">
      <c r="A498" s="11" t="n"/>
      <c r="B498" s="11" t="n"/>
      <c r="C498" s="10" t="n"/>
      <c r="D498" s="11" t="n"/>
      <c r="E498" s="10" t="n"/>
      <c r="F498" s="22" t="n"/>
      <c r="G498" s="24" t="n"/>
      <c r="H498" s="23" t="n"/>
      <c r="I498" s="25" t="n"/>
      <c r="J498" s="10">
        <f>IF(D498="","",IF(H498="✓","完了",IF(G498="","",IF(G498&lt;TODAY(),"期限超過",IF(G498=TODAY(),"今日まで","予定")))))</f>
        <v/>
      </c>
      <c r="K498" s="22" t="n"/>
      <c r="L498" s="26" t="n"/>
    </row>
    <row r="499">
      <c r="A499" s="11" t="n"/>
      <c r="B499" s="11" t="n"/>
      <c r="C499" s="10" t="n"/>
      <c r="D499" s="11" t="n"/>
      <c r="E499" s="10" t="n"/>
      <c r="F499" s="22" t="n"/>
      <c r="G499" s="24" t="n"/>
      <c r="H499" s="23" t="n"/>
      <c r="I499" s="25" t="n"/>
      <c r="J499" s="10">
        <f>IF(D499="","",IF(H499="✓","完了",IF(G499="","",IF(G499&lt;TODAY(),"期限超過",IF(G499=TODAY(),"今日まで","予定")))))</f>
        <v/>
      </c>
      <c r="K499" s="22" t="n"/>
      <c r="L499" s="26" t="n"/>
    </row>
    <row r="500">
      <c r="A500" s="11" t="n"/>
      <c r="B500" s="11" t="n"/>
      <c r="C500" s="10" t="n"/>
      <c r="D500" s="11" t="n"/>
      <c r="E500" s="10" t="n"/>
      <c r="F500" s="22" t="n"/>
      <c r="G500" s="24" t="n"/>
      <c r="H500" s="23" t="n"/>
      <c r="I500" s="25" t="n"/>
      <c r="J500" s="10">
        <f>IF(D500="","",IF(H500="✓","完了",IF(G500="","",IF(G500&lt;TODAY(),"期限超過",IF(G500=TODAY(),"今日まで","予定")))))</f>
        <v/>
      </c>
      <c r="K500" s="22" t="n"/>
      <c r="L500" s="26" t="n"/>
    </row>
    <row r="501">
      <c r="A501" s="11" t="n"/>
      <c r="B501" s="11" t="n"/>
      <c r="C501" s="10" t="n"/>
      <c r="D501" s="11" t="n"/>
      <c r="E501" s="10" t="n"/>
      <c r="F501" s="22" t="n"/>
      <c r="G501" s="24" t="n"/>
      <c r="H501" s="23" t="n"/>
      <c r="I501" s="25" t="n"/>
      <c r="J501" s="10">
        <f>IF(D501="","",IF(H501="✓","完了",IF(G501="","",IF(G501&lt;TODAY(),"期限超過",IF(G501=TODAY(),"今日まで","予定")))))</f>
        <v/>
      </c>
      <c r="K501" s="22" t="n"/>
      <c r="L501" s="26" t="n"/>
    </row>
    <row r="502">
      <c r="A502" s="11" t="n"/>
      <c r="B502" s="11" t="n"/>
      <c r="C502" s="10" t="n"/>
      <c r="D502" s="11" t="n"/>
      <c r="E502" s="10" t="n"/>
      <c r="F502" s="22" t="n"/>
      <c r="G502" s="24" t="n"/>
      <c r="H502" s="23" t="n"/>
      <c r="I502" s="25" t="n"/>
      <c r="J502" s="10">
        <f>IF(D502="","",IF(H502="✓","完了",IF(G502="","",IF(G502&lt;TODAY(),"期限超過",IF(G502=TODAY(),"今日まで","予定")))))</f>
        <v/>
      </c>
      <c r="K502" s="22" t="n"/>
      <c r="L502" s="26" t="n"/>
    </row>
    <row r="503">
      <c r="A503" s="11" t="n"/>
      <c r="B503" s="11" t="n"/>
      <c r="C503" s="10" t="n"/>
      <c r="D503" s="11" t="n"/>
      <c r="E503" s="10" t="n"/>
      <c r="F503" s="22" t="n"/>
      <c r="G503" s="24" t="n"/>
      <c r="H503" s="23" t="n"/>
      <c r="I503" s="25" t="n"/>
      <c r="J503" s="10">
        <f>IF(D503="","",IF(H503="✓","完了",IF(G503="","",IF(G503&lt;TODAY(),"期限超過",IF(G503=TODAY(),"今日まで","予定")))))</f>
        <v/>
      </c>
      <c r="K503" s="22" t="n"/>
      <c r="L503" s="26" t="n"/>
    </row>
    <row r="504">
      <c r="A504" s="11" t="n"/>
      <c r="B504" s="11" t="n"/>
      <c r="C504" s="10" t="n"/>
      <c r="D504" s="11" t="n"/>
      <c r="E504" s="10" t="n"/>
      <c r="F504" s="22" t="n"/>
      <c r="G504" s="24" t="n"/>
      <c r="H504" s="23" t="n"/>
      <c r="I504" s="25" t="n"/>
      <c r="J504" s="10">
        <f>IF(D504="","",IF(H504="✓","完了",IF(G504="","",IF(G504&lt;TODAY(),"期限超過",IF(G504=TODAY(),"今日まで","予定")))))</f>
        <v/>
      </c>
      <c r="K504" s="22" t="n"/>
      <c r="L504" s="26" t="n"/>
    </row>
    <row r="505">
      <c r="A505" s="11" t="n"/>
      <c r="B505" s="11" t="n"/>
      <c r="C505" s="10" t="n"/>
      <c r="D505" s="11" t="n"/>
      <c r="E505" s="10" t="n"/>
      <c r="F505" s="22" t="n"/>
      <c r="G505" s="24" t="n"/>
      <c r="H505" s="23" t="n"/>
      <c r="I505" s="25" t="n"/>
      <c r="J505" s="10">
        <f>IF(D505="","",IF(H505="✓","完了",IF(G505="","",IF(G505&lt;TODAY(),"期限超過",IF(G505=TODAY(),"今日まで","予定")))))</f>
        <v/>
      </c>
      <c r="K505" s="22" t="n"/>
      <c r="L505" s="26" t="n"/>
    </row>
    <row r="506">
      <c r="A506" s="11" t="n"/>
      <c r="B506" s="11" t="n"/>
      <c r="C506" s="10" t="n"/>
      <c r="D506" s="11" t="n"/>
      <c r="E506" s="10" t="n"/>
      <c r="F506" s="22" t="n"/>
      <c r="G506" s="24" t="n"/>
      <c r="H506" s="23" t="n"/>
      <c r="I506" s="25" t="n"/>
      <c r="J506" s="10">
        <f>IF(D506="","",IF(H506="✓","完了",IF(G506="","",IF(G506&lt;TODAY(),"期限超過",IF(G506=TODAY(),"今日まで","予定")))))</f>
        <v/>
      </c>
      <c r="K506" s="22" t="n"/>
      <c r="L506" s="26" t="n"/>
    </row>
    <row r="507">
      <c r="A507" s="11" t="n"/>
      <c r="B507" s="11" t="n"/>
      <c r="C507" s="10" t="n"/>
      <c r="D507" s="11" t="n"/>
      <c r="E507" s="10" t="n"/>
      <c r="F507" s="22" t="n"/>
      <c r="G507" s="24" t="n"/>
      <c r="H507" s="23" t="n"/>
      <c r="I507" s="25" t="n"/>
      <c r="J507" s="10">
        <f>IF(D507="","",IF(H507="✓","完了",IF(G507="","",IF(G507&lt;TODAY(),"期限超過",IF(G507=TODAY(),"今日まで","予定")))))</f>
        <v/>
      </c>
      <c r="K507" s="22" t="n"/>
      <c r="L507" s="26" t="n"/>
    </row>
    <row r="508">
      <c r="A508" s="11" t="n"/>
      <c r="B508" s="11" t="n"/>
      <c r="C508" s="10" t="n"/>
      <c r="D508" s="11" t="n"/>
      <c r="E508" s="10" t="n"/>
      <c r="F508" s="22" t="n"/>
      <c r="G508" s="24" t="n"/>
      <c r="H508" s="23" t="n"/>
      <c r="I508" s="25" t="n"/>
      <c r="J508" s="10">
        <f>IF(D508="","",IF(H508="✓","完了",IF(G508="","",IF(G508&lt;TODAY(),"期限超過",IF(G508=TODAY(),"今日まで","予定")))))</f>
        <v/>
      </c>
      <c r="K508" s="22" t="n"/>
      <c r="L508" s="26" t="n"/>
    </row>
    <row r="509">
      <c r="A509" s="11" t="n"/>
      <c r="B509" s="11" t="n"/>
      <c r="C509" s="10" t="n"/>
      <c r="D509" s="11" t="n"/>
      <c r="E509" s="10" t="n"/>
      <c r="F509" s="22" t="n"/>
      <c r="G509" s="24" t="n"/>
      <c r="H509" s="23" t="n"/>
      <c r="I509" s="25" t="n"/>
      <c r="J509" s="10">
        <f>IF(D509="","",IF(H509="✓","完了",IF(G509="","",IF(G509&lt;TODAY(),"期限超過",IF(G509=TODAY(),"今日まで","予定")))))</f>
        <v/>
      </c>
      <c r="K509" s="22" t="n"/>
      <c r="L509" s="26" t="n"/>
    </row>
    <row r="510">
      <c r="A510" s="11" t="n"/>
      <c r="B510" s="11" t="n"/>
      <c r="C510" s="10" t="n"/>
      <c r="D510" s="11" t="n"/>
      <c r="E510" s="10" t="n"/>
      <c r="F510" s="22" t="n"/>
      <c r="G510" s="24" t="n"/>
      <c r="H510" s="23" t="n"/>
      <c r="I510" s="25" t="n"/>
      <c r="J510" s="10">
        <f>IF(D510="","",IF(H510="✓","完了",IF(G510="","",IF(G510&lt;TODAY(),"期限超過",IF(G510=TODAY(),"今日まで","予定")))))</f>
        <v/>
      </c>
      <c r="K510" s="22" t="n"/>
      <c r="L510" s="26" t="n"/>
    </row>
    <row r="511">
      <c r="A511" s="11" t="n"/>
      <c r="B511" s="11" t="n"/>
      <c r="C511" s="10" t="n"/>
      <c r="D511" s="11" t="n"/>
      <c r="E511" s="10" t="n"/>
      <c r="F511" s="22" t="n"/>
      <c r="G511" s="24" t="n"/>
      <c r="H511" s="23" t="n"/>
      <c r="I511" s="25" t="n"/>
      <c r="J511" s="10">
        <f>IF(D511="","",IF(H511="✓","完了",IF(G511="","",IF(G511&lt;TODAY(),"期限超過",IF(G511=TODAY(),"今日まで","予定")))))</f>
        <v/>
      </c>
      <c r="K511" s="22" t="n"/>
      <c r="L511" s="26" t="n"/>
    </row>
    <row r="512">
      <c r="A512" s="11" t="n"/>
      <c r="B512" s="11" t="n"/>
      <c r="C512" s="10" t="n"/>
      <c r="D512" s="11" t="n"/>
      <c r="E512" s="10" t="n"/>
      <c r="F512" s="22" t="n"/>
      <c r="G512" s="24" t="n"/>
      <c r="H512" s="23" t="n"/>
      <c r="I512" s="25" t="n"/>
      <c r="J512" s="10">
        <f>IF(D512="","",IF(H512="✓","完了",IF(G512="","",IF(G512&lt;TODAY(),"期限超過",IF(G512=TODAY(),"今日まで","予定")))))</f>
        <v/>
      </c>
      <c r="K512" s="22" t="n"/>
      <c r="L512" s="26" t="n"/>
    </row>
    <row r="513">
      <c r="A513" s="11" t="n"/>
      <c r="B513" s="11" t="n"/>
      <c r="C513" s="10" t="n"/>
      <c r="D513" s="11" t="n"/>
      <c r="E513" s="10" t="n"/>
      <c r="F513" s="22" t="n"/>
      <c r="G513" s="24" t="n"/>
      <c r="H513" s="23" t="n"/>
      <c r="I513" s="25" t="n"/>
      <c r="J513" s="10">
        <f>IF(D513="","",IF(H513="✓","完了",IF(G513="","",IF(G513&lt;TODAY(),"期限超過",IF(G513=TODAY(),"今日まで","予定")))))</f>
        <v/>
      </c>
      <c r="K513" s="22" t="n"/>
      <c r="L513" s="26" t="n"/>
    </row>
    <row r="514">
      <c r="A514" s="11" t="n"/>
      <c r="B514" s="11" t="n"/>
      <c r="C514" s="10" t="n"/>
      <c r="D514" s="11" t="n"/>
      <c r="E514" s="10" t="n"/>
      <c r="F514" s="22" t="n"/>
      <c r="G514" s="24" t="n"/>
      <c r="H514" s="23" t="n"/>
      <c r="I514" s="25" t="n"/>
      <c r="J514" s="10">
        <f>IF(D514="","",IF(H514="✓","完了",IF(G514="","",IF(G514&lt;TODAY(),"期限超過",IF(G514=TODAY(),"今日まで","予定")))))</f>
        <v/>
      </c>
      <c r="K514" s="22" t="n"/>
      <c r="L514" s="26" t="n"/>
    </row>
    <row r="515">
      <c r="A515" s="11" t="n"/>
      <c r="B515" s="11" t="n"/>
      <c r="C515" s="10" t="n"/>
      <c r="D515" s="11" t="n"/>
      <c r="E515" s="10" t="n"/>
      <c r="F515" s="22" t="n"/>
      <c r="G515" s="24" t="n"/>
      <c r="H515" s="23" t="n"/>
      <c r="I515" s="25" t="n"/>
      <c r="J515" s="10">
        <f>IF(D515="","",IF(H515="✓","完了",IF(G515="","",IF(G515&lt;TODAY(),"期限超過",IF(G515=TODAY(),"今日まで","予定")))))</f>
        <v/>
      </c>
      <c r="K515" s="22" t="n"/>
      <c r="L515" s="26" t="n"/>
    </row>
    <row r="516">
      <c r="A516" s="11" t="n"/>
      <c r="B516" s="11" t="n"/>
      <c r="C516" s="10" t="n"/>
      <c r="D516" s="11" t="n"/>
      <c r="E516" s="10" t="n"/>
      <c r="F516" s="22" t="n"/>
      <c r="G516" s="24" t="n"/>
      <c r="H516" s="23" t="n"/>
      <c r="I516" s="25" t="n"/>
      <c r="J516" s="10">
        <f>IF(D516="","",IF(H516="✓","完了",IF(G516="","",IF(G516&lt;TODAY(),"期限超過",IF(G516=TODAY(),"今日まで","予定")))))</f>
        <v/>
      </c>
      <c r="K516" s="22" t="n"/>
      <c r="L516" s="26" t="n"/>
    </row>
    <row r="517">
      <c r="A517" s="11" t="n"/>
      <c r="B517" s="11" t="n"/>
      <c r="C517" s="10" t="n"/>
      <c r="D517" s="11" t="n"/>
      <c r="E517" s="10" t="n"/>
      <c r="F517" s="22" t="n"/>
      <c r="G517" s="24" t="n"/>
      <c r="H517" s="23" t="n"/>
      <c r="I517" s="25" t="n"/>
      <c r="J517" s="10">
        <f>IF(D517="","",IF(H517="✓","完了",IF(G517="","",IF(G517&lt;TODAY(),"期限超過",IF(G517=TODAY(),"今日まで","予定")))))</f>
        <v/>
      </c>
      <c r="K517" s="22" t="n"/>
      <c r="L517" s="26" t="n"/>
    </row>
    <row r="518">
      <c r="A518" s="11" t="n"/>
      <c r="B518" s="11" t="n"/>
      <c r="C518" s="10" t="n"/>
      <c r="D518" s="11" t="n"/>
      <c r="E518" s="10" t="n"/>
      <c r="F518" s="22" t="n"/>
      <c r="G518" s="24" t="n"/>
      <c r="H518" s="23" t="n"/>
      <c r="I518" s="25" t="n"/>
      <c r="J518" s="10">
        <f>IF(D518="","",IF(H518="✓","完了",IF(G518="","",IF(G518&lt;TODAY(),"期限超過",IF(G518=TODAY(),"今日まで","予定")))))</f>
        <v/>
      </c>
      <c r="K518" s="22" t="n"/>
      <c r="L518" s="26" t="n"/>
    </row>
    <row r="519">
      <c r="A519" s="11" t="n"/>
      <c r="B519" s="11" t="n"/>
      <c r="C519" s="10" t="n"/>
      <c r="D519" s="11" t="n"/>
      <c r="E519" s="10" t="n"/>
      <c r="F519" s="22" t="n"/>
      <c r="G519" s="24" t="n"/>
      <c r="H519" s="23" t="n"/>
      <c r="I519" s="25" t="n"/>
      <c r="J519" s="10">
        <f>IF(D519="","",IF(H519="✓","完了",IF(G519="","",IF(G519&lt;TODAY(),"期限超過",IF(G519=TODAY(),"今日まで","予定")))))</f>
        <v/>
      </c>
      <c r="K519" s="22" t="n"/>
      <c r="L519" s="26" t="n"/>
    </row>
    <row r="520">
      <c r="A520" s="11" t="n"/>
      <c r="B520" s="11" t="n"/>
      <c r="C520" s="10" t="n"/>
      <c r="D520" s="11" t="n"/>
      <c r="E520" s="10" t="n"/>
      <c r="F520" s="22" t="n"/>
      <c r="G520" s="24" t="n"/>
      <c r="H520" s="23" t="n"/>
      <c r="I520" s="25" t="n"/>
      <c r="J520" s="10">
        <f>IF(D520="","",IF(H520="✓","完了",IF(G520="","",IF(G520&lt;TODAY(),"期限超過",IF(G520=TODAY(),"今日まで","予定")))))</f>
        <v/>
      </c>
      <c r="K520" s="22" t="n"/>
      <c r="L520" s="26" t="n"/>
    </row>
    <row r="521">
      <c r="A521" s="11" t="n"/>
      <c r="B521" s="11" t="n"/>
      <c r="C521" s="10" t="n"/>
      <c r="D521" s="11" t="n"/>
      <c r="E521" s="10" t="n"/>
      <c r="F521" s="22" t="n"/>
      <c r="G521" s="24" t="n"/>
      <c r="H521" s="23" t="n"/>
      <c r="I521" s="25" t="n"/>
      <c r="J521" s="10">
        <f>IF(D521="","",IF(H521="✓","完了",IF(G521="","",IF(G521&lt;TODAY(),"期限超過",IF(G521=TODAY(),"今日まで","予定")))))</f>
        <v/>
      </c>
      <c r="K521" s="22" t="n"/>
      <c r="L521" s="26" t="n"/>
    </row>
    <row r="522">
      <c r="A522" s="11" t="n"/>
      <c r="B522" s="11" t="n"/>
      <c r="C522" s="10" t="n"/>
      <c r="D522" s="11" t="n"/>
      <c r="E522" s="10" t="n"/>
      <c r="F522" s="22" t="n"/>
      <c r="G522" s="24" t="n"/>
      <c r="H522" s="23" t="n"/>
      <c r="I522" s="25" t="n"/>
      <c r="J522" s="10">
        <f>IF(D522="","",IF(H522="✓","完了",IF(G522="","",IF(G522&lt;TODAY(),"期限超過",IF(G522=TODAY(),"今日まで","予定")))))</f>
        <v/>
      </c>
      <c r="K522" s="22" t="n"/>
      <c r="L522" s="26" t="n"/>
    </row>
    <row r="523">
      <c r="A523" s="11" t="n"/>
      <c r="B523" s="11" t="n"/>
      <c r="C523" s="10" t="n"/>
      <c r="D523" s="11" t="n"/>
      <c r="E523" s="10" t="n"/>
      <c r="F523" s="22" t="n"/>
      <c r="G523" s="24" t="n"/>
      <c r="H523" s="23" t="n"/>
      <c r="I523" s="25" t="n"/>
      <c r="J523" s="10">
        <f>IF(D523="","",IF(H523="✓","完了",IF(G523="","",IF(G523&lt;TODAY(),"期限超過",IF(G523=TODAY(),"今日まで","予定")))))</f>
        <v/>
      </c>
      <c r="K523" s="22" t="n"/>
      <c r="L523" s="26" t="n"/>
    </row>
    <row r="524">
      <c r="A524" s="11" t="n"/>
      <c r="B524" s="11" t="n"/>
      <c r="C524" s="10" t="n"/>
      <c r="D524" s="11" t="n"/>
      <c r="E524" s="10" t="n"/>
      <c r="F524" s="22" t="n"/>
      <c r="G524" s="24" t="n"/>
      <c r="H524" s="23" t="n"/>
      <c r="I524" s="25" t="n"/>
      <c r="J524" s="10">
        <f>IF(D524="","",IF(H524="✓","完了",IF(G524="","",IF(G524&lt;TODAY(),"期限超過",IF(G524=TODAY(),"今日まで","予定")))))</f>
        <v/>
      </c>
      <c r="K524" s="22" t="n"/>
      <c r="L524" s="26" t="n"/>
    </row>
    <row r="525">
      <c r="A525" s="11" t="n"/>
      <c r="B525" s="11" t="n"/>
      <c r="C525" s="10" t="n"/>
      <c r="D525" s="11" t="n"/>
      <c r="E525" s="10" t="n"/>
      <c r="F525" s="22" t="n"/>
      <c r="G525" s="24" t="n"/>
      <c r="H525" s="23" t="n"/>
      <c r="I525" s="25" t="n"/>
      <c r="J525" s="10">
        <f>IF(D525="","",IF(H525="✓","完了",IF(G525="","",IF(G525&lt;TODAY(),"期限超過",IF(G525=TODAY(),"今日まで","予定")))))</f>
        <v/>
      </c>
      <c r="K525" s="22" t="n"/>
      <c r="L525" s="26" t="n"/>
    </row>
    <row r="526">
      <c r="A526" s="11" t="n"/>
      <c r="B526" s="11" t="n"/>
      <c r="C526" s="10" t="n"/>
      <c r="D526" s="11" t="n"/>
      <c r="E526" s="10" t="n"/>
      <c r="F526" s="22" t="n"/>
      <c r="G526" s="24" t="n"/>
      <c r="H526" s="23" t="n"/>
      <c r="I526" s="25" t="n"/>
      <c r="J526" s="10">
        <f>IF(D526="","",IF(H526="✓","完了",IF(G526="","",IF(G526&lt;TODAY(),"期限超過",IF(G526=TODAY(),"今日まで","予定")))))</f>
        <v/>
      </c>
      <c r="K526" s="22" t="n"/>
      <c r="L526" s="26" t="n"/>
    </row>
    <row r="527">
      <c r="A527" s="11" t="n"/>
      <c r="B527" s="11" t="n"/>
      <c r="C527" s="10" t="n"/>
      <c r="D527" s="11" t="n"/>
      <c r="E527" s="10" t="n"/>
      <c r="F527" s="22" t="n"/>
      <c r="G527" s="24" t="n"/>
      <c r="H527" s="23" t="n"/>
      <c r="I527" s="25" t="n"/>
      <c r="J527" s="10">
        <f>IF(D527="","",IF(H527="✓","完了",IF(G527="","",IF(G527&lt;TODAY(),"期限超過",IF(G527=TODAY(),"今日まで","予定")))))</f>
        <v/>
      </c>
      <c r="K527" s="22" t="n"/>
      <c r="L527" s="26" t="n"/>
    </row>
    <row r="528">
      <c r="A528" s="11" t="n"/>
      <c r="B528" s="11" t="n"/>
      <c r="C528" s="10" t="n"/>
      <c r="D528" s="11" t="n"/>
      <c r="E528" s="10" t="n"/>
      <c r="F528" s="22" t="n"/>
      <c r="G528" s="24" t="n"/>
      <c r="H528" s="23" t="n"/>
      <c r="I528" s="25" t="n"/>
      <c r="J528" s="10">
        <f>IF(D528="","",IF(H528="✓","完了",IF(G528="","",IF(G528&lt;TODAY(),"期限超過",IF(G528=TODAY(),"今日まで","予定")))))</f>
        <v/>
      </c>
      <c r="K528" s="22" t="n"/>
      <c r="L528" s="26" t="n"/>
    </row>
    <row r="529">
      <c r="A529" s="11" t="n"/>
      <c r="B529" s="11" t="n"/>
      <c r="C529" s="10" t="n"/>
      <c r="D529" s="11" t="n"/>
      <c r="E529" s="10" t="n"/>
      <c r="F529" s="22" t="n"/>
      <c r="G529" s="24" t="n"/>
      <c r="H529" s="23" t="n"/>
      <c r="I529" s="25" t="n"/>
      <c r="J529" s="10">
        <f>IF(D529="","",IF(H529="✓","完了",IF(G529="","",IF(G529&lt;TODAY(),"期限超過",IF(G529=TODAY(),"今日まで","予定")))))</f>
        <v/>
      </c>
      <c r="K529" s="22" t="n"/>
      <c r="L529" s="26" t="n"/>
    </row>
    <row r="530">
      <c r="A530" s="11" t="n"/>
      <c r="B530" s="11" t="n"/>
      <c r="C530" s="10" t="n"/>
      <c r="D530" s="11" t="n"/>
      <c r="E530" s="10" t="n"/>
      <c r="F530" s="22" t="n"/>
      <c r="G530" s="24" t="n"/>
      <c r="H530" s="23" t="n"/>
      <c r="I530" s="25" t="n"/>
      <c r="J530" s="10">
        <f>IF(D530="","",IF(H530="✓","完了",IF(G530="","",IF(G530&lt;TODAY(),"期限超過",IF(G530=TODAY(),"今日まで","予定")))))</f>
        <v/>
      </c>
      <c r="K530" s="22" t="n"/>
      <c r="L530" s="26" t="n"/>
    </row>
    <row r="531">
      <c r="A531" s="11" t="n"/>
      <c r="B531" s="11" t="n"/>
      <c r="C531" s="10" t="n"/>
      <c r="D531" s="11" t="n"/>
      <c r="E531" s="10" t="n"/>
      <c r="F531" s="22" t="n"/>
      <c r="G531" s="24" t="n"/>
      <c r="H531" s="23" t="n"/>
      <c r="I531" s="25" t="n"/>
      <c r="J531" s="10">
        <f>IF(D531="","",IF(H531="✓","完了",IF(G531="","",IF(G531&lt;TODAY(),"期限超過",IF(G531=TODAY(),"今日まで","予定")))))</f>
        <v/>
      </c>
      <c r="K531" s="22" t="n"/>
      <c r="L531" s="26" t="n"/>
    </row>
    <row r="532">
      <c r="A532" s="11" t="n"/>
      <c r="B532" s="11" t="n"/>
      <c r="C532" s="10" t="n"/>
      <c r="D532" s="11" t="n"/>
      <c r="E532" s="10" t="n"/>
      <c r="F532" s="22" t="n"/>
      <c r="G532" s="24" t="n"/>
      <c r="H532" s="23" t="n"/>
      <c r="I532" s="25" t="n"/>
      <c r="J532" s="10">
        <f>IF(D532="","",IF(H532="✓","完了",IF(G532="","",IF(G532&lt;TODAY(),"期限超過",IF(G532=TODAY(),"今日まで","予定")))))</f>
        <v/>
      </c>
      <c r="K532" s="22" t="n"/>
      <c r="L532" s="26" t="n"/>
    </row>
    <row r="533">
      <c r="A533" s="11" t="n"/>
      <c r="B533" s="11" t="n"/>
      <c r="C533" s="10" t="n"/>
      <c r="D533" s="11" t="n"/>
      <c r="E533" s="10" t="n"/>
      <c r="F533" s="22" t="n"/>
      <c r="G533" s="24" t="n"/>
      <c r="H533" s="23" t="n"/>
      <c r="I533" s="25" t="n"/>
      <c r="J533" s="10">
        <f>IF(D533="","",IF(H533="✓","完了",IF(G533="","",IF(G533&lt;TODAY(),"期限超過",IF(G533=TODAY(),"今日まで","予定")))))</f>
        <v/>
      </c>
      <c r="K533" s="22" t="n"/>
      <c r="L533" s="26" t="n"/>
    </row>
    <row r="534">
      <c r="A534" s="11" t="n"/>
      <c r="B534" s="11" t="n"/>
      <c r="C534" s="10" t="n"/>
      <c r="D534" s="11" t="n"/>
      <c r="E534" s="10" t="n"/>
      <c r="F534" s="22" t="n"/>
      <c r="G534" s="24" t="n"/>
      <c r="H534" s="23" t="n"/>
      <c r="I534" s="25" t="n"/>
      <c r="J534" s="10">
        <f>IF(D534="","",IF(H534="✓","完了",IF(G534="","",IF(G534&lt;TODAY(),"期限超過",IF(G534=TODAY(),"今日まで","予定")))))</f>
        <v/>
      </c>
      <c r="K534" s="22" t="n"/>
      <c r="L534" s="26" t="n"/>
    </row>
    <row r="535">
      <c r="A535" s="11" t="n"/>
      <c r="B535" s="11" t="n"/>
      <c r="C535" s="10" t="n"/>
      <c r="D535" s="11" t="n"/>
      <c r="E535" s="10" t="n"/>
      <c r="F535" s="22" t="n"/>
      <c r="G535" s="24" t="n"/>
      <c r="H535" s="23" t="n"/>
      <c r="I535" s="25" t="n"/>
      <c r="J535" s="10">
        <f>IF(D535="","",IF(H535="✓","完了",IF(G535="","",IF(G535&lt;TODAY(),"期限超過",IF(G535=TODAY(),"今日まで","予定")))))</f>
        <v/>
      </c>
      <c r="K535" s="22" t="n"/>
      <c r="L535" s="26" t="n"/>
    </row>
    <row r="536">
      <c r="A536" s="11" t="n"/>
      <c r="B536" s="11" t="n"/>
      <c r="C536" s="10" t="n"/>
      <c r="D536" s="11" t="n"/>
      <c r="E536" s="10" t="n"/>
      <c r="F536" s="22" t="n"/>
      <c r="G536" s="24" t="n"/>
      <c r="H536" s="23" t="n"/>
      <c r="I536" s="25" t="n"/>
      <c r="J536" s="10">
        <f>IF(D536="","",IF(H536="✓","完了",IF(G536="","",IF(G536&lt;TODAY(),"期限超過",IF(G536=TODAY(),"今日まで","予定")))))</f>
        <v/>
      </c>
      <c r="K536" s="22" t="n"/>
      <c r="L536" s="26" t="n"/>
    </row>
    <row r="537">
      <c r="A537" s="11" t="n"/>
      <c r="B537" s="11" t="n"/>
      <c r="C537" s="10" t="n"/>
      <c r="D537" s="11" t="n"/>
      <c r="E537" s="10" t="n"/>
      <c r="F537" s="22" t="n"/>
      <c r="G537" s="24" t="n"/>
      <c r="H537" s="23" t="n"/>
      <c r="I537" s="25" t="n"/>
      <c r="J537" s="10">
        <f>IF(D537="","",IF(H537="✓","完了",IF(G537="","",IF(G537&lt;TODAY(),"期限超過",IF(G537=TODAY(),"今日まで","予定")))))</f>
        <v/>
      </c>
      <c r="K537" s="22" t="n"/>
      <c r="L537" s="26" t="n"/>
    </row>
    <row r="538">
      <c r="A538" s="11" t="n"/>
      <c r="B538" s="11" t="n"/>
      <c r="C538" s="10" t="n"/>
      <c r="D538" s="11" t="n"/>
      <c r="E538" s="10" t="n"/>
      <c r="F538" s="22" t="n"/>
      <c r="G538" s="24" t="n"/>
      <c r="H538" s="23" t="n"/>
      <c r="I538" s="25" t="n"/>
      <c r="J538" s="10">
        <f>IF(D538="","",IF(H538="✓","完了",IF(G538="","",IF(G538&lt;TODAY(),"期限超過",IF(G538=TODAY(),"今日まで","予定")))))</f>
        <v/>
      </c>
      <c r="K538" s="22" t="n"/>
      <c r="L538" s="26" t="n"/>
    </row>
    <row r="539">
      <c r="A539" s="11" t="n"/>
      <c r="B539" s="11" t="n"/>
      <c r="C539" s="10" t="n"/>
      <c r="D539" s="11" t="n"/>
      <c r="E539" s="10" t="n"/>
      <c r="F539" s="22" t="n"/>
      <c r="G539" s="24" t="n"/>
      <c r="H539" s="23" t="n"/>
      <c r="I539" s="25" t="n"/>
      <c r="J539" s="10">
        <f>IF(D539="","",IF(H539="✓","完了",IF(G539="","",IF(G539&lt;TODAY(),"期限超過",IF(G539=TODAY(),"今日まで","予定")))))</f>
        <v/>
      </c>
      <c r="K539" s="22" t="n"/>
      <c r="L539" s="26" t="n"/>
    </row>
    <row r="540">
      <c r="A540" s="11" t="n"/>
      <c r="B540" s="11" t="n"/>
      <c r="C540" s="10" t="n"/>
      <c r="D540" s="11" t="n"/>
      <c r="E540" s="10" t="n"/>
      <c r="F540" s="22" t="n"/>
      <c r="G540" s="24" t="n"/>
      <c r="H540" s="23" t="n"/>
      <c r="I540" s="25" t="n"/>
      <c r="J540" s="10">
        <f>IF(D540="","",IF(H540="✓","完了",IF(G540="","",IF(G540&lt;TODAY(),"期限超過",IF(G540=TODAY(),"今日まで","予定")))))</f>
        <v/>
      </c>
      <c r="K540" s="22" t="n"/>
      <c r="L540" s="26" t="n"/>
    </row>
    <row r="541">
      <c r="A541" s="11" t="n"/>
      <c r="B541" s="11" t="n"/>
      <c r="C541" s="10" t="n"/>
      <c r="D541" s="11" t="n"/>
      <c r="E541" s="10" t="n"/>
      <c r="F541" s="22" t="n"/>
      <c r="G541" s="24" t="n"/>
      <c r="H541" s="23" t="n"/>
      <c r="I541" s="25" t="n"/>
      <c r="J541" s="10">
        <f>IF(D541="","",IF(H541="✓","完了",IF(G541="","",IF(G541&lt;TODAY(),"期限超過",IF(G541=TODAY(),"今日まで","予定")))))</f>
        <v/>
      </c>
      <c r="K541" s="22" t="n"/>
      <c r="L541" s="26" t="n"/>
    </row>
    <row r="542">
      <c r="A542" s="11" t="n"/>
      <c r="B542" s="11" t="n"/>
      <c r="C542" s="10" t="n"/>
      <c r="D542" s="11" t="n"/>
      <c r="E542" s="10" t="n"/>
      <c r="F542" s="22" t="n"/>
      <c r="G542" s="24" t="n"/>
      <c r="H542" s="23" t="n"/>
      <c r="I542" s="25" t="n"/>
      <c r="J542" s="10">
        <f>IF(D542="","",IF(H542="✓","完了",IF(G542="","",IF(G542&lt;TODAY(),"期限超過",IF(G542=TODAY(),"今日まで","予定")))))</f>
        <v/>
      </c>
      <c r="K542" s="22" t="n"/>
      <c r="L542" s="26" t="n"/>
    </row>
    <row r="543">
      <c r="A543" s="11" t="n"/>
      <c r="B543" s="11" t="n"/>
      <c r="C543" s="10" t="n"/>
      <c r="D543" s="11" t="n"/>
      <c r="E543" s="10" t="n"/>
      <c r="F543" s="22" t="n"/>
      <c r="G543" s="24" t="n"/>
      <c r="H543" s="23" t="n"/>
      <c r="I543" s="25" t="n"/>
      <c r="J543" s="10">
        <f>IF(D543="","",IF(H543="✓","完了",IF(G543="","",IF(G543&lt;TODAY(),"期限超過",IF(G543=TODAY(),"今日まで","予定")))))</f>
        <v/>
      </c>
      <c r="K543" s="22" t="n"/>
      <c r="L543" s="26" t="n"/>
    </row>
    <row r="544">
      <c r="A544" s="11" t="n"/>
      <c r="B544" s="11" t="n"/>
      <c r="C544" s="10" t="n"/>
      <c r="D544" s="11" t="n"/>
      <c r="E544" s="10" t="n"/>
      <c r="F544" s="22" t="n"/>
      <c r="G544" s="24" t="n"/>
      <c r="H544" s="23" t="n"/>
      <c r="I544" s="25" t="n"/>
      <c r="J544" s="10">
        <f>IF(D544="","",IF(H544="✓","完了",IF(G544="","",IF(G544&lt;TODAY(),"期限超過",IF(G544=TODAY(),"今日まで","予定")))))</f>
        <v/>
      </c>
      <c r="K544" s="22" t="n"/>
      <c r="L544" s="26" t="n"/>
    </row>
    <row r="545">
      <c r="A545" s="11" t="n"/>
      <c r="B545" s="11" t="n"/>
      <c r="C545" s="10" t="n"/>
      <c r="D545" s="11" t="n"/>
      <c r="E545" s="10" t="n"/>
      <c r="F545" s="22" t="n"/>
      <c r="G545" s="24" t="n"/>
      <c r="H545" s="23" t="n"/>
      <c r="I545" s="25" t="n"/>
      <c r="J545" s="10">
        <f>IF(D545="","",IF(H545="✓","完了",IF(G545="","",IF(G545&lt;TODAY(),"期限超過",IF(G545=TODAY(),"今日まで","予定")))))</f>
        <v/>
      </c>
      <c r="K545" s="22" t="n"/>
      <c r="L545" s="26" t="n"/>
    </row>
    <row r="546">
      <c r="A546" s="11" t="n"/>
      <c r="B546" s="11" t="n"/>
      <c r="C546" s="10" t="n"/>
      <c r="D546" s="11" t="n"/>
      <c r="E546" s="10" t="n"/>
      <c r="F546" s="22" t="n"/>
      <c r="G546" s="24" t="n"/>
      <c r="H546" s="23" t="n"/>
      <c r="I546" s="25" t="n"/>
      <c r="J546" s="10">
        <f>IF(D546="","",IF(H546="✓","完了",IF(G546="","",IF(G546&lt;TODAY(),"期限超過",IF(G546=TODAY(),"今日まで","予定")))))</f>
        <v/>
      </c>
      <c r="K546" s="22" t="n"/>
      <c r="L546" s="26" t="n"/>
    </row>
    <row r="547">
      <c r="A547" s="11" t="n"/>
      <c r="B547" s="11" t="n"/>
      <c r="C547" s="10" t="n"/>
      <c r="D547" s="11" t="n"/>
      <c r="E547" s="10" t="n"/>
      <c r="F547" s="22" t="n"/>
      <c r="G547" s="24" t="n"/>
      <c r="H547" s="23" t="n"/>
      <c r="I547" s="25" t="n"/>
      <c r="J547" s="10">
        <f>IF(D547="","",IF(H547="✓","完了",IF(G547="","",IF(G547&lt;TODAY(),"期限超過",IF(G547=TODAY(),"今日まで","予定")))))</f>
        <v/>
      </c>
      <c r="K547" s="22" t="n"/>
      <c r="L547" s="26" t="n"/>
    </row>
    <row r="548">
      <c r="A548" s="11" t="n"/>
      <c r="B548" s="11" t="n"/>
      <c r="C548" s="10" t="n"/>
      <c r="D548" s="11" t="n"/>
      <c r="E548" s="10" t="n"/>
      <c r="F548" s="22" t="n"/>
      <c r="G548" s="24" t="n"/>
      <c r="H548" s="23" t="n"/>
      <c r="I548" s="25" t="n"/>
      <c r="J548" s="10">
        <f>IF(D548="","",IF(H548="✓","完了",IF(G548="","",IF(G548&lt;TODAY(),"期限超過",IF(G548=TODAY(),"今日まで","予定")))))</f>
        <v/>
      </c>
      <c r="K548" s="22" t="n"/>
      <c r="L548" s="26" t="n"/>
    </row>
    <row r="549">
      <c r="A549" s="11" t="n"/>
      <c r="B549" s="11" t="n"/>
      <c r="C549" s="10" t="n"/>
      <c r="D549" s="11" t="n"/>
      <c r="E549" s="10" t="n"/>
      <c r="F549" s="22" t="n"/>
      <c r="G549" s="24" t="n"/>
      <c r="H549" s="23" t="n"/>
      <c r="I549" s="25" t="n"/>
      <c r="J549" s="10">
        <f>IF(D549="","",IF(H549="✓","完了",IF(G549="","",IF(G549&lt;TODAY(),"期限超過",IF(G549=TODAY(),"今日まで","予定")))))</f>
        <v/>
      </c>
      <c r="K549" s="22" t="n"/>
      <c r="L549" s="26" t="n"/>
    </row>
    <row r="550">
      <c r="A550" s="11" t="n"/>
      <c r="B550" s="11" t="n"/>
      <c r="C550" s="10" t="n"/>
      <c r="D550" s="11" t="n"/>
      <c r="E550" s="10" t="n"/>
      <c r="F550" s="22" t="n"/>
      <c r="G550" s="24" t="n"/>
      <c r="H550" s="23" t="n"/>
      <c r="I550" s="25" t="n"/>
      <c r="J550" s="10">
        <f>IF(D550="","",IF(H550="✓","完了",IF(G550="","",IF(G550&lt;TODAY(),"期限超過",IF(G550=TODAY(),"今日まで","予定")))))</f>
        <v/>
      </c>
      <c r="K550" s="22" t="n"/>
      <c r="L550" s="26" t="n"/>
    </row>
    <row r="551">
      <c r="A551" s="11" t="n"/>
      <c r="B551" s="11" t="n"/>
      <c r="C551" s="10" t="n"/>
      <c r="D551" s="11" t="n"/>
      <c r="E551" s="10" t="n"/>
      <c r="F551" s="22" t="n"/>
      <c r="G551" s="24" t="n"/>
      <c r="H551" s="23" t="n"/>
      <c r="I551" s="25" t="n"/>
      <c r="J551" s="10">
        <f>IF(D551="","",IF(H551="✓","完了",IF(G551="","",IF(G551&lt;TODAY(),"期限超過",IF(G551=TODAY(),"今日まで","予定")))))</f>
        <v/>
      </c>
      <c r="K551" s="22" t="n"/>
      <c r="L551" s="26" t="n"/>
    </row>
    <row r="552">
      <c r="A552" s="11" t="n"/>
      <c r="B552" s="11" t="n"/>
      <c r="C552" s="10" t="n"/>
      <c r="D552" s="11" t="n"/>
      <c r="E552" s="10" t="n"/>
      <c r="F552" s="22" t="n"/>
      <c r="G552" s="24" t="n"/>
      <c r="H552" s="23" t="n"/>
      <c r="I552" s="25" t="n"/>
      <c r="J552" s="10">
        <f>IF(D552="","",IF(H552="✓","完了",IF(G552="","",IF(G552&lt;TODAY(),"期限超過",IF(G552=TODAY(),"今日まで","予定")))))</f>
        <v/>
      </c>
      <c r="K552" s="22" t="n"/>
      <c r="L552" s="26" t="n"/>
    </row>
    <row r="553">
      <c r="A553" s="11" t="n"/>
      <c r="B553" s="11" t="n"/>
      <c r="C553" s="10" t="n"/>
      <c r="D553" s="11" t="n"/>
      <c r="E553" s="10" t="n"/>
      <c r="F553" s="22" t="n"/>
      <c r="G553" s="24" t="n"/>
      <c r="H553" s="23" t="n"/>
      <c r="I553" s="25" t="n"/>
      <c r="J553" s="10">
        <f>IF(D553="","",IF(H553="✓","完了",IF(G553="","",IF(G553&lt;TODAY(),"期限超過",IF(G553=TODAY(),"今日まで","予定")))))</f>
        <v/>
      </c>
      <c r="K553" s="22" t="n"/>
      <c r="L553" s="26" t="n"/>
    </row>
    <row r="554">
      <c r="A554" s="11" t="n"/>
      <c r="B554" s="11" t="n"/>
      <c r="C554" s="10" t="n"/>
      <c r="D554" s="11" t="n"/>
      <c r="E554" s="10" t="n"/>
      <c r="F554" s="22" t="n"/>
      <c r="G554" s="24" t="n"/>
      <c r="H554" s="23" t="n"/>
      <c r="I554" s="25" t="n"/>
      <c r="J554" s="10">
        <f>IF(D554="","",IF(H554="✓","完了",IF(G554="","",IF(G554&lt;TODAY(),"期限超過",IF(G554=TODAY(),"今日まで","予定")))))</f>
        <v/>
      </c>
      <c r="K554" s="22" t="n"/>
      <c r="L554" s="26" t="n"/>
    </row>
    <row r="555">
      <c r="A555" s="11" t="n"/>
      <c r="B555" s="11" t="n"/>
      <c r="C555" s="10" t="n"/>
      <c r="D555" s="11" t="n"/>
      <c r="E555" s="10" t="n"/>
      <c r="F555" s="22" t="n"/>
      <c r="G555" s="24" t="n"/>
      <c r="H555" s="23" t="n"/>
      <c r="I555" s="25" t="n"/>
      <c r="J555" s="10">
        <f>IF(D555="","",IF(H555="✓","完了",IF(G555="","",IF(G555&lt;TODAY(),"期限超過",IF(G555=TODAY(),"今日まで","予定")))))</f>
        <v/>
      </c>
      <c r="K555" s="22" t="n"/>
      <c r="L555" s="26" t="n"/>
    </row>
    <row r="556">
      <c r="A556" s="11" t="n"/>
      <c r="B556" s="11" t="n"/>
      <c r="C556" s="10" t="n"/>
      <c r="D556" s="11" t="n"/>
      <c r="E556" s="10" t="n"/>
      <c r="F556" s="22" t="n"/>
      <c r="G556" s="24" t="n"/>
      <c r="H556" s="23" t="n"/>
      <c r="I556" s="25" t="n"/>
      <c r="J556" s="10">
        <f>IF(D556="","",IF(H556="✓","完了",IF(G556="","",IF(G556&lt;TODAY(),"期限超過",IF(G556=TODAY(),"今日まで","予定")))))</f>
        <v/>
      </c>
      <c r="K556" s="22" t="n"/>
      <c r="L556" s="26" t="n"/>
    </row>
    <row r="557">
      <c r="A557" s="11" t="n"/>
      <c r="B557" s="11" t="n"/>
      <c r="C557" s="10" t="n"/>
      <c r="D557" s="11" t="n"/>
      <c r="E557" s="10" t="n"/>
      <c r="F557" s="22" t="n"/>
      <c r="G557" s="24" t="n"/>
      <c r="H557" s="23" t="n"/>
      <c r="I557" s="25" t="n"/>
      <c r="J557" s="10">
        <f>IF(D557="","",IF(H557="✓","完了",IF(G557="","",IF(G557&lt;TODAY(),"期限超過",IF(G557=TODAY(),"今日まで","予定")))))</f>
        <v/>
      </c>
      <c r="K557" s="22" t="n"/>
      <c r="L557" s="26" t="n"/>
    </row>
    <row r="558">
      <c r="A558" s="11" t="n"/>
      <c r="B558" s="11" t="n"/>
      <c r="C558" s="10" t="n"/>
      <c r="D558" s="11" t="n"/>
      <c r="E558" s="10" t="n"/>
      <c r="F558" s="22" t="n"/>
      <c r="G558" s="24" t="n"/>
      <c r="H558" s="23" t="n"/>
      <c r="I558" s="25" t="n"/>
      <c r="J558" s="10">
        <f>IF(D558="","",IF(H558="✓","完了",IF(G558="","",IF(G558&lt;TODAY(),"期限超過",IF(G558=TODAY(),"今日まで","予定")))))</f>
        <v/>
      </c>
      <c r="K558" s="22" t="n"/>
      <c r="L558" s="26" t="n"/>
    </row>
    <row r="559">
      <c r="A559" s="11" t="n"/>
      <c r="B559" s="11" t="n"/>
      <c r="C559" s="10" t="n"/>
      <c r="D559" s="11" t="n"/>
      <c r="E559" s="10" t="n"/>
      <c r="F559" s="22" t="n"/>
      <c r="G559" s="24" t="n"/>
      <c r="H559" s="23" t="n"/>
      <c r="I559" s="25" t="n"/>
      <c r="J559" s="10">
        <f>IF(D559="","",IF(H559="✓","完了",IF(G559="","",IF(G559&lt;TODAY(),"期限超過",IF(G559=TODAY(),"今日まで","予定")))))</f>
        <v/>
      </c>
      <c r="K559" s="22" t="n"/>
      <c r="L559" s="26" t="n"/>
    </row>
    <row r="560">
      <c r="A560" s="11" t="n"/>
      <c r="B560" s="11" t="n"/>
      <c r="C560" s="10" t="n"/>
      <c r="D560" s="11" t="n"/>
      <c r="E560" s="10" t="n"/>
      <c r="F560" s="22" t="n"/>
      <c r="G560" s="24" t="n"/>
      <c r="H560" s="23" t="n"/>
      <c r="I560" s="25" t="n"/>
      <c r="J560" s="10">
        <f>IF(D560="","",IF(H560="✓","完了",IF(G560="","",IF(G560&lt;TODAY(),"期限超過",IF(G560=TODAY(),"今日まで","予定")))))</f>
        <v/>
      </c>
      <c r="K560" s="22" t="n"/>
      <c r="L560" s="26" t="n"/>
    </row>
    <row r="561">
      <c r="A561" s="11" t="n"/>
      <c r="B561" s="11" t="n"/>
      <c r="C561" s="10" t="n"/>
      <c r="D561" s="11" t="n"/>
      <c r="E561" s="10" t="n"/>
      <c r="F561" s="22" t="n"/>
      <c r="G561" s="24" t="n"/>
      <c r="H561" s="23" t="n"/>
      <c r="I561" s="25" t="n"/>
      <c r="J561" s="10">
        <f>IF(D561="","",IF(H561="✓","完了",IF(G561="","",IF(G561&lt;TODAY(),"期限超過",IF(G561=TODAY(),"今日まで","予定")))))</f>
        <v/>
      </c>
      <c r="K561" s="22" t="n"/>
      <c r="L561" s="26" t="n"/>
    </row>
    <row r="562">
      <c r="A562" s="11" t="n"/>
      <c r="B562" s="11" t="n"/>
      <c r="C562" s="10" t="n"/>
      <c r="D562" s="11" t="n"/>
      <c r="E562" s="10" t="n"/>
      <c r="F562" s="22" t="n"/>
      <c r="G562" s="24" t="n"/>
      <c r="H562" s="23" t="n"/>
      <c r="I562" s="25" t="n"/>
      <c r="J562" s="10">
        <f>IF(D562="","",IF(H562="✓","完了",IF(G562="","",IF(G562&lt;TODAY(),"期限超過",IF(G562=TODAY(),"今日まで","予定")))))</f>
        <v/>
      </c>
      <c r="K562" s="22" t="n"/>
      <c r="L562" s="26" t="n"/>
    </row>
    <row r="563">
      <c r="A563" s="11" t="n"/>
      <c r="B563" s="11" t="n"/>
      <c r="C563" s="10" t="n"/>
      <c r="D563" s="11" t="n"/>
      <c r="E563" s="10" t="n"/>
      <c r="F563" s="22" t="n"/>
      <c r="G563" s="24" t="n"/>
      <c r="H563" s="23" t="n"/>
      <c r="I563" s="25" t="n"/>
      <c r="J563" s="10">
        <f>IF(D563="","",IF(H563="✓","完了",IF(G563="","",IF(G563&lt;TODAY(),"期限超過",IF(G563=TODAY(),"今日まで","予定")))))</f>
        <v/>
      </c>
      <c r="K563" s="22" t="n"/>
      <c r="L563" s="26" t="n"/>
    </row>
    <row r="564">
      <c r="A564" s="11" t="n"/>
      <c r="B564" s="11" t="n"/>
      <c r="C564" s="10" t="n"/>
      <c r="D564" s="11" t="n"/>
      <c r="E564" s="10" t="n"/>
      <c r="F564" s="22" t="n"/>
      <c r="G564" s="24" t="n"/>
      <c r="H564" s="23" t="n"/>
      <c r="I564" s="25" t="n"/>
      <c r="J564" s="10">
        <f>IF(D564="","",IF(H564="✓","完了",IF(G564="","",IF(G564&lt;TODAY(),"期限超過",IF(G564=TODAY(),"今日まで","予定")))))</f>
        <v/>
      </c>
      <c r="K564" s="22" t="n"/>
      <c r="L564" s="26" t="n"/>
    </row>
    <row r="565">
      <c r="A565" s="11" t="n"/>
      <c r="B565" s="11" t="n"/>
      <c r="C565" s="10" t="n"/>
      <c r="D565" s="11" t="n"/>
      <c r="E565" s="10" t="n"/>
      <c r="F565" s="22" t="n"/>
      <c r="G565" s="24" t="n"/>
      <c r="H565" s="23" t="n"/>
      <c r="I565" s="25" t="n"/>
      <c r="J565" s="10">
        <f>IF(D565="","",IF(H565="✓","完了",IF(G565="","",IF(G565&lt;TODAY(),"期限超過",IF(G565=TODAY(),"今日まで","予定")))))</f>
        <v/>
      </c>
      <c r="K565" s="22" t="n"/>
      <c r="L565" s="26" t="n"/>
    </row>
    <row r="566">
      <c r="A566" s="11" t="n"/>
      <c r="B566" s="11" t="n"/>
      <c r="C566" s="10" t="n"/>
      <c r="D566" s="11" t="n"/>
      <c r="E566" s="10" t="n"/>
      <c r="F566" s="22" t="n"/>
      <c r="G566" s="24" t="n"/>
      <c r="H566" s="23" t="n"/>
      <c r="I566" s="25" t="n"/>
      <c r="J566" s="10">
        <f>IF(D566="","",IF(H566="✓","完了",IF(G566="","",IF(G566&lt;TODAY(),"期限超過",IF(G566=TODAY(),"今日まで","予定")))))</f>
        <v/>
      </c>
      <c r="K566" s="22" t="n"/>
      <c r="L566" s="26" t="n"/>
    </row>
    <row r="567">
      <c r="A567" s="11" t="n"/>
      <c r="B567" s="11" t="n"/>
      <c r="C567" s="10" t="n"/>
      <c r="D567" s="11" t="n"/>
      <c r="E567" s="10" t="n"/>
      <c r="F567" s="22" t="n"/>
      <c r="G567" s="24" t="n"/>
      <c r="H567" s="23" t="n"/>
      <c r="I567" s="25" t="n"/>
      <c r="J567" s="10">
        <f>IF(D567="","",IF(H567="✓","完了",IF(G567="","",IF(G567&lt;TODAY(),"期限超過",IF(G567=TODAY(),"今日まで","予定")))))</f>
        <v/>
      </c>
      <c r="K567" s="22" t="n"/>
      <c r="L567" s="26" t="n"/>
    </row>
    <row r="568">
      <c r="A568" s="11" t="n"/>
      <c r="B568" s="11" t="n"/>
      <c r="C568" s="10" t="n"/>
      <c r="D568" s="11" t="n"/>
      <c r="E568" s="10" t="n"/>
      <c r="F568" s="22" t="n"/>
      <c r="G568" s="24" t="n"/>
      <c r="H568" s="23" t="n"/>
      <c r="I568" s="25" t="n"/>
      <c r="J568" s="10">
        <f>IF(D568="","",IF(H568="✓","完了",IF(G568="","",IF(G568&lt;TODAY(),"期限超過",IF(G568=TODAY(),"今日まで","予定")))))</f>
        <v/>
      </c>
      <c r="K568" s="22" t="n"/>
      <c r="L568" s="26" t="n"/>
    </row>
    <row r="569">
      <c r="A569" s="11" t="n"/>
      <c r="B569" s="11" t="n"/>
      <c r="C569" s="10" t="n"/>
      <c r="D569" s="11" t="n"/>
      <c r="E569" s="10" t="n"/>
      <c r="F569" s="22" t="n"/>
      <c r="G569" s="24" t="n"/>
      <c r="H569" s="23" t="n"/>
      <c r="I569" s="25" t="n"/>
      <c r="J569" s="10">
        <f>IF(D569="","",IF(H569="✓","完了",IF(G569="","",IF(G569&lt;TODAY(),"期限超過",IF(G569=TODAY(),"今日まで","予定")))))</f>
        <v/>
      </c>
      <c r="K569" s="22" t="n"/>
      <c r="L569" s="26" t="n"/>
    </row>
    <row r="570">
      <c r="A570" s="11" t="n"/>
      <c r="B570" s="11" t="n"/>
      <c r="C570" s="10" t="n"/>
      <c r="D570" s="11" t="n"/>
      <c r="E570" s="10" t="n"/>
      <c r="F570" s="22" t="n"/>
      <c r="G570" s="24" t="n"/>
      <c r="H570" s="23" t="n"/>
      <c r="I570" s="25" t="n"/>
      <c r="J570" s="10">
        <f>IF(D570="","",IF(H570="✓","完了",IF(G570="","",IF(G570&lt;TODAY(),"期限超過",IF(G570=TODAY(),"今日まで","予定")))))</f>
        <v/>
      </c>
      <c r="K570" s="22" t="n"/>
      <c r="L570" s="26" t="n"/>
    </row>
    <row r="571">
      <c r="A571" s="11" t="n"/>
      <c r="B571" s="11" t="n"/>
      <c r="C571" s="10" t="n"/>
      <c r="D571" s="11" t="n"/>
      <c r="E571" s="10" t="n"/>
      <c r="F571" s="22" t="n"/>
      <c r="G571" s="24" t="n"/>
      <c r="H571" s="23" t="n"/>
      <c r="I571" s="25" t="n"/>
      <c r="J571" s="10">
        <f>IF(D571="","",IF(H571="✓","完了",IF(G571="","",IF(G571&lt;TODAY(),"期限超過",IF(G571=TODAY(),"今日まで","予定")))))</f>
        <v/>
      </c>
      <c r="K571" s="22" t="n"/>
      <c r="L571" s="26" t="n"/>
    </row>
    <row r="572">
      <c r="A572" s="11" t="n"/>
      <c r="B572" s="11" t="n"/>
      <c r="C572" s="10" t="n"/>
      <c r="D572" s="11" t="n"/>
      <c r="E572" s="10" t="n"/>
      <c r="F572" s="22" t="n"/>
      <c r="G572" s="24" t="n"/>
      <c r="H572" s="23" t="n"/>
      <c r="I572" s="25" t="n"/>
      <c r="J572" s="10">
        <f>IF(D572="","",IF(H572="✓","完了",IF(G572="","",IF(G572&lt;TODAY(),"期限超過",IF(G572=TODAY(),"今日まで","予定")))))</f>
        <v/>
      </c>
      <c r="K572" s="22" t="n"/>
      <c r="L572" s="26" t="n"/>
    </row>
    <row r="573">
      <c r="A573" s="11" t="n"/>
      <c r="B573" s="11" t="n"/>
      <c r="C573" s="10" t="n"/>
      <c r="D573" s="11" t="n"/>
      <c r="E573" s="10" t="n"/>
      <c r="F573" s="22" t="n"/>
      <c r="G573" s="24" t="n"/>
      <c r="H573" s="23" t="n"/>
      <c r="I573" s="25" t="n"/>
      <c r="J573" s="10">
        <f>IF(D573="","",IF(H573="✓","完了",IF(G573="","",IF(G573&lt;TODAY(),"期限超過",IF(G573=TODAY(),"今日まで","予定")))))</f>
        <v/>
      </c>
      <c r="K573" s="22" t="n"/>
      <c r="L573" s="26" t="n"/>
    </row>
    <row r="574">
      <c r="A574" s="11" t="n"/>
      <c r="B574" s="11" t="n"/>
      <c r="C574" s="10" t="n"/>
      <c r="D574" s="11" t="n"/>
      <c r="E574" s="10" t="n"/>
      <c r="F574" s="22" t="n"/>
      <c r="G574" s="24" t="n"/>
      <c r="H574" s="23" t="n"/>
      <c r="I574" s="25" t="n"/>
      <c r="J574" s="10">
        <f>IF(D574="","",IF(H574="✓","完了",IF(G574="","",IF(G574&lt;TODAY(),"期限超過",IF(G574=TODAY(),"今日まで","予定")))))</f>
        <v/>
      </c>
      <c r="K574" s="22" t="n"/>
      <c r="L574" s="26" t="n"/>
    </row>
    <row r="575">
      <c r="A575" s="11" t="n"/>
      <c r="B575" s="11" t="n"/>
      <c r="C575" s="10" t="n"/>
      <c r="D575" s="11" t="n"/>
      <c r="E575" s="10" t="n"/>
      <c r="F575" s="22" t="n"/>
      <c r="G575" s="24" t="n"/>
      <c r="H575" s="23" t="n"/>
      <c r="I575" s="25" t="n"/>
      <c r="J575" s="10">
        <f>IF(D575="","",IF(H575="✓","完了",IF(G575="","",IF(G575&lt;TODAY(),"期限超過",IF(G575=TODAY(),"今日まで","予定")))))</f>
        <v/>
      </c>
      <c r="K575" s="22" t="n"/>
      <c r="L575" s="26" t="n"/>
    </row>
    <row r="576">
      <c r="A576" s="11" t="n"/>
      <c r="B576" s="11" t="n"/>
      <c r="C576" s="10" t="n"/>
      <c r="D576" s="11" t="n"/>
      <c r="E576" s="10" t="n"/>
      <c r="F576" s="22" t="n"/>
      <c r="G576" s="24" t="n"/>
      <c r="H576" s="23" t="n"/>
      <c r="I576" s="25" t="n"/>
      <c r="J576" s="10">
        <f>IF(D576="","",IF(H576="✓","完了",IF(G576="","",IF(G576&lt;TODAY(),"期限超過",IF(G576=TODAY(),"今日まで","予定")))))</f>
        <v/>
      </c>
      <c r="K576" s="22" t="n"/>
      <c r="L576" s="26" t="n"/>
    </row>
    <row r="577">
      <c r="A577" s="11" t="n"/>
      <c r="B577" s="11" t="n"/>
      <c r="C577" s="10" t="n"/>
      <c r="D577" s="11" t="n"/>
      <c r="E577" s="10" t="n"/>
      <c r="F577" s="22" t="n"/>
      <c r="G577" s="24" t="n"/>
      <c r="H577" s="23" t="n"/>
      <c r="I577" s="25" t="n"/>
      <c r="J577" s="10">
        <f>IF(D577="","",IF(H577="✓","完了",IF(G577="","",IF(G577&lt;TODAY(),"期限超過",IF(G577=TODAY(),"今日まで","予定")))))</f>
        <v/>
      </c>
      <c r="K577" s="22" t="n"/>
      <c r="L577" s="26" t="n"/>
    </row>
    <row r="578">
      <c r="A578" s="11" t="n"/>
      <c r="B578" s="11" t="n"/>
      <c r="C578" s="10" t="n"/>
      <c r="D578" s="11" t="n"/>
      <c r="E578" s="10" t="n"/>
      <c r="F578" s="22" t="n"/>
      <c r="G578" s="24" t="n"/>
      <c r="H578" s="23" t="n"/>
      <c r="I578" s="25" t="n"/>
      <c r="J578" s="10">
        <f>IF(D578="","",IF(H578="✓","完了",IF(G578="","",IF(G578&lt;TODAY(),"期限超過",IF(G578=TODAY(),"今日まで","予定")))))</f>
        <v/>
      </c>
      <c r="K578" s="22" t="n"/>
      <c r="L578" s="26" t="n"/>
    </row>
    <row r="579">
      <c r="A579" s="11" t="n"/>
      <c r="B579" s="11" t="n"/>
      <c r="C579" s="10" t="n"/>
      <c r="D579" s="11" t="n"/>
      <c r="E579" s="10" t="n"/>
      <c r="F579" s="22" t="n"/>
      <c r="G579" s="24" t="n"/>
      <c r="H579" s="23" t="n"/>
      <c r="I579" s="25" t="n"/>
      <c r="J579" s="10">
        <f>IF(D579="","",IF(H579="✓","完了",IF(G579="","",IF(G579&lt;TODAY(),"期限超過",IF(G579=TODAY(),"今日まで","予定")))))</f>
        <v/>
      </c>
      <c r="K579" s="22" t="n"/>
      <c r="L579" s="26" t="n"/>
    </row>
    <row r="580">
      <c r="A580" s="11" t="n"/>
      <c r="B580" s="11" t="n"/>
      <c r="C580" s="10" t="n"/>
      <c r="D580" s="11" t="n"/>
      <c r="E580" s="10" t="n"/>
      <c r="F580" s="22" t="n"/>
      <c r="G580" s="24" t="n"/>
      <c r="H580" s="23" t="n"/>
      <c r="I580" s="25" t="n"/>
      <c r="J580" s="10">
        <f>IF(D580="","",IF(H580="✓","完了",IF(G580="","",IF(G580&lt;TODAY(),"期限超過",IF(G580=TODAY(),"今日まで","予定")))))</f>
        <v/>
      </c>
      <c r="K580" s="22" t="n"/>
      <c r="L580" s="26" t="n"/>
    </row>
    <row r="581">
      <c r="A581" s="11" t="n"/>
      <c r="B581" s="11" t="n"/>
      <c r="C581" s="10" t="n"/>
      <c r="D581" s="11" t="n"/>
      <c r="E581" s="10" t="n"/>
      <c r="F581" s="22" t="n"/>
      <c r="G581" s="24" t="n"/>
      <c r="H581" s="23" t="n"/>
      <c r="I581" s="25" t="n"/>
      <c r="J581" s="10">
        <f>IF(D581="","",IF(H581="✓","完了",IF(G581="","",IF(G581&lt;TODAY(),"期限超過",IF(G581=TODAY(),"今日まで","予定")))))</f>
        <v/>
      </c>
      <c r="K581" s="22" t="n"/>
      <c r="L581" s="26" t="n"/>
    </row>
    <row r="582">
      <c r="A582" s="11" t="n"/>
      <c r="B582" s="11" t="n"/>
      <c r="C582" s="10" t="n"/>
      <c r="D582" s="11" t="n"/>
      <c r="E582" s="10" t="n"/>
      <c r="F582" s="22" t="n"/>
      <c r="G582" s="24" t="n"/>
      <c r="H582" s="23" t="n"/>
      <c r="I582" s="25" t="n"/>
      <c r="J582" s="10">
        <f>IF(D582="","",IF(H582="✓","完了",IF(G582="","",IF(G582&lt;TODAY(),"期限超過",IF(G582=TODAY(),"今日まで","予定")))))</f>
        <v/>
      </c>
      <c r="K582" s="22" t="n"/>
      <c r="L582" s="26" t="n"/>
    </row>
    <row r="583">
      <c r="A583" s="11" t="n"/>
      <c r="B583" s="11" t="n"/>
      <c r="C583" s="10" t="n"/>
      <c r="D583" s="11" t="n"/>
      <c r="E583" s="10" t="n"/>
      <c r="F583" s="22" t="n"/>
      <c r="G583" s="24" t="n"/>
      <c r="H583" s="23" t="n"/>
      <c r="I583" s="25" t="n"/>
      <c r="J583" s="10">
        <f>IF(D583="","",IF(H583="✓","完了",IF(G583="","",IF(G583&lt;TODAY(),"期限超過",IF(G583=TODAY(),"今日まで","予定")))))</f>
        <v/>
      </c>
      <c r="K583" s="22" t="n"/>
      <c r="L583" s="26" t="n"/>
    </row>
    <row r="584">
      <c r="A584" s="11" t="n"/>
      <c r="B584" s="11" t="n"/>
      <c r="C584" s="10" t="n"/>
      <c r="D584" s="11" t="n"/>
      <c r="E584" s="10" t="n"/>
      <c r="F584" s="22" t="n"/>
      <c r="G584" s="24" t="n"/>
      <c r="H584" s="23" t="n"/>
      <c r="I584" s="25" t="n"/>
      <c r="J584" s="10">
        <f>IF(D584="","",IF(H584="✓","完了",IF(G584="","",IF(G584&lt;TODAY(),"期限超過",IF(G584=TODAY(),"今日まで","予定")))))</f>
        <v/>
      </c>
      <c r="K584" s="22" t="n"/>
      <c r="L584" s="26" t="n"/>
    </row>
    <row r="585">
      <c r="A585" s="11" t="n"/>
      <c r="B585" s="11" t="n"/>
      <c r="C585" s="10" t="n"/>
      <c r="D585" s="11" t="n"/>
      <c r="E585" s="10" t="n"/>
      <c r="F585" s="22" t="n"/>
      <c r="G585" s="24" t="n"/>
      <c r="H585" s="23" t="n"/>
      <c r="I585" s="25" t="n"/>
      <c r="J585" s="10">
        <f>IF(D585="","",IF(H585="✓","完了",IF(G585="","",IF(G585&lt;TODAY(),"期限超過",IF(G585=TODAY(),"今日まで","予定")))))</f>
        <v/>
      </c>
      <c r="K585" s="22" t="n"/>
      <c r="L585" s="26" t="n"/>
    </row>
    <row r="586">
      <c r="A586" s="11" t="n"/>
      <c r="B586" s="11" t="n"/>
      <c r="C586" s="10" t="n"/>
      <c r="D586" s="11" t="n"/>
      <c r="E586" s="10" t="n"/>
      <c r="F586" s="22" t="n"/>
      <c r="G586" s="24" t="n"/>
      <c r="H586" s="23" t="n"/>
      <c r="I586" s="25" t="n"/>
      <c r="J586" s="10">
        <f>IF(D586="","",IF(H586="✓","完了",IF(G586="","",IF(G586&lt;TODAY(),"期限超過",IF(G586=TODAY(),"今日まで","予定")))))</f>
        <v/>
      </c>
      <c r="K586" s="22" t="n"/>
      <c r="L586" s="26" t="n"/>
    </row>
    <row r="587">
      <c r="A587" s="11" t="n"/>
      <c r="B587" s="11" t="n"/>
      <c r="C587" s="10" t="n"/>
      <c r="D587" s="11" t="n"/>
      <c r="E587" s="10" t="n"/>
      <c r="F587" s="22" t="n"/>
      <c r="G587" s="24" t="n"/>
      <c r="H587" s="23" t="n"/>
      <c r="I587" s="25" t="n"/>
      <c r="J587" s="10">
        <f>IF(D587="","",IF(H587="✓","完了",IF(G587="","",IF(G587&lt;TODAY(),"期限超過",IF(G587=TODAY(),"今日まで","予定")))))</f>
        <v/>
      </c>
      <c r="K587" s="22" t="n"/>
      <c r="L587" s="26" t="n"/>
    </row>
    <row r="588">
      <c r="A588" s="11" t="n"/>
      <c r="B588" s="11" t="n"/>
      <c r="C588" s="10" t="n"/>
      <c r="D588" s="11" t="n"/>
      <c r="E588" s="10" t="n"/>
      <c r="F588" s="22" t="n"/>
      <c r="G588" s="24" t="n"/>
      <c r="H588" s="23" t="n"/>
      <c r="I588" s="25" t="n"/>
      <c r="J588" s="10">
        <f>IF(D588="","",IF(H588="✓","完了",IF(G588="","",IF(G588&lt;TODAY(),"期限超過",IF(G588=TODAY(),"今日まで","予定")))))</f>
        <v/>
      </c>
      <c r="K588" s="22" t="n"/>
      <c r="L588" s="26" t="n"/>
    </row>
    <row r="589">
      <c r="A589" s="11" t="n"/>
      <c r="B589" s="11" t="n"/>
      <c r="C589" s="10" t="n"/>
      <c r="D589" s="11" t="n"/>
      <c r="E589" s="10" t="n"/>
      <c r="F589" s="22" t="n"/>
      <c r="G589" s="24" t="n"/>
      <c r="H589" s="23" t="n"/>
      <c r="I589" s="25" t="n"/>
      <c r="J589" s="10">
        <f>IF(D589="","",IF(H589="✓","完了",IF(G589="","",IF(G589&lt;TODAY(),"期限超過",IF(G589=TODAY(),"今日まで","予定")))))</f>
        <v/>
      </c>
      <c r="K589" s="22" t="n"/>
      <c r="L589" s="26" t="n"/>
    </row>
    <row r="590">
      <c r="A590" s="11" t="n"/>
      <c r="B590" s="11" t="n"/>
      <c r="C590" s="10" t="n"/>
      <c r="D590" s="11" t="n"/>
      <c r="E590" s="10" t="n"/>
      <c r="F590" s="22" t="n"/>
      <c r="G590" s="24" t="n"/>
      <c r="H590" s="23" t="n"/>
      <c r="I590" s="25" t="n"/>
      <c r="J590" s="10">
        <f>IF(D590="","",IF(H590="✓","完了",IF(G590="","",IF(G590&lt;TODAY(),"期限超過",IF(G590=TODAY(),"今日まで","予定")))))</f>
        <v/>
      </c>
      <c r="K590" s="22" t="n"/>
      <c r="L590" s="26" t="n"/>
    </row>
    <row r="591">
      <c r="A591" s="11" t="n"/>
      <c r="B591" s="11" t="n"/>
      <c r="C591" s="10" t="n"/>
      <c r="D591" s="11" t="n"/>
      <c r="E591" s="10" t="n"/>
      <c r="F591" s="22" t="n"/>
      <c r="G591" s="24" t="n"/>
      <c r="H591" s="23" t="n"/>
      <c r="I591" s="25" t="n"/>
      <c r="J591" s="10">
        <f>IF(D591="","",IF(H591="✓","完了",IF(G591="","",IF(G591&lt;TODAY(),"期限超過",IF(G591=TODAY(),"今日まで","予定")))))</f>
        <v/>
      </c>
      <c r="K591" s="22" t="n"/>
      <c r="L591" s="26" t="n"/>
    </row>
    <row r="592">
      <c r="A592" s="11" t="n"/>
      <c r="B592" s="11" t="n"/>
      <c r="C592" s="10" t="n"/>
      <c r="D592" s="11" t="n"/>
      <c r="E592" s="10" t="n"/>
      <c r="F592" s="22" t="n"/>
      <c r="G592" s="24" t="n"/>
      <c r="H592" s="23" t="n"/>
      <c r="I592" s="25" t="n"/>
      <c r="J592" s="10">
        <f>IF(D592="","",IF(H592="✓","完了",IF(G592="","",IF(G592&lt;TODAY(),"期限超過",IF(G592=TODAY(),"今日まで","予定")))))</f>
        <v/>
      </c>
      <c r="K592" s="22" t="n"/>
      <c r="L592" s="26" t="n"/>
    </row>
    <row r="593">
      <c r="A593" s="11" t="n"/>
      <c r="B593" s="11" t="n"/>
      <c r="C593" s="10" t="n"/>
      <c r="D593" s="11" t="n"/>
      <c r="E593" s="10" t="n"/>
      <c r="F593" s="22" t="n"/>
      <c r="G593" s="24" t="n"/>
      <c r="H593" s="23" t="n"/>
      <c r="I593" s="25" t="n"/>
      <c r="J593" s="10">
        <f>IF(D593="","",IF(H593="✓","完了",IF(G593="","",IF(G593&lt;TODAY(),"期限超過",IF(G593=TODAY(),"今日まで","予定")))))</f>
        <v/>
      </c>
      <c r="K593" s="22" t="n"/>
      <c r="L593" s="26" t="n"/>
    </row>
    <row r="594">
      <c r="A594" s="11" t="n"/>
      <c r="B594" s="11" t="n"/>
      <c r="C594" s="10" t="n"/>
      <c r="D594" s="11" t="n"/>
      <c r="E594" s="10" t="n"/>
      <c r="F594" s="22" t="n"/>
      <c r="G594" s="24" t="n"/>
      <c r="H594" s="23" t="n"/>
      <c r="I594" s="25" t="n"/>
      <c r="J594" s="10">
        <f>IF(D594="","",IF(H594="✓","完了",IF(G594="","",IF(G594&lt;TODAY(),"期限超過",IF(G594=TODAY(),"今日まで","予定")))))</f>
        <v/>
      </c>
      <c r="K594" s="22" t="n"/>
      <c r="L594" s="26" t="n"/>
    </row>
    <row r="595">
      <c r="A595" s="11" t="n"/>
      <c r="B595" s="11" t="n"/>
      <c r="C595" s="10" t="n"/>
      <c r="D595" s="11" t="n"/>
      <c r="E595" s="10" t="n"/>
      <c r="F595" s="22" t="n"/>
      <c r="G595" s="24" t="n"/>
      <c r="H595" s="23" t="n"/>
      <c r="I595" s="25" t="n"/>
      <c r="J595" s="10">
        <f>IF(D595="","",IF(H595="✓","完了",IF(G595="","",IF(G595&lt;TODAY(),"期限超過",IF(G595=TODAY(),"今日まで","予定")))))</f>
        <v/>
      </c>
      <c r="K595" s="22" t="n"/>
      <c r="L595" s="26" t="n"/>
    </row>
    <row r="596">
      <c r="A596" s="11" t="n"/>
      <c r="B596" s="11" t="n"/>
      <c r="C596" s="10" t="n"/>
      <c r="D596" s="11" t="n"/>
      <c r="E596" s="10" t="n"/>
      <c r="F596" s="22" t="n"/>
      <c r="G596" s="24" t="n"/>
      <c r="H596" s="23" t="n"/>
      <c r="I596" s="25" t="n"/>
      <c r="J596" s="10">
        <f>IF(D596="","",IF(H596="✓","完了",IF(G596="","",IF(G596&lt;TODAY(),"期限超過",IF(G596=TODAY(),"今日まで","予定")))))</f>
        <v/>
      </c>
      <c r="K596" s="22" t="n"/>
      <c r="L596" s="26" t="n"/>
    </row>
    <row r="597">
      <c r="A597" s="11" t="n"/>
      <c r="B597" s="11" t="n"/>
      <c r="C597" s="10" t="n"/>
      <c r="D597" s="11" t="n"/>
      <c r="E597" s="10" t="n"/>
      <c r="F597" s="22" t="n"/>
      <c r="G597" s="24" t="n"/>
      <c r="H597" s="23" t="n"/>
      <c r="I597" s="25" t="n"/>
      <c r="J597" s="10">
        <f>IF(D597="","",IF(H597="✓","完了",IF(G597="","",IF(G597&lt;TODAY(),"期限超過",IF(G597=TODAY(),"今日まで","予定")))))</f>
        <v/>
      </c>
      <c r="K597" s="22" t="n"/>
      <c r="L597" s="26" t="n"/>
    </row>
    <row r="598">
      <c r="A598" s="11" t="n"/>
      <c r="B598" s="11" t="n"/>
      <c r="C598" s="10" t="n"/>
      <c r="D598" s="11" t="n"/>
      <c r="E598" s="10" t="n"/>
      <c r="F598" s="22" t="n"/>
      <c r="G598" s="24" t="n"/>
      <c r="H598" s="23" t="n"/>
      <c r="I598" s="25" t="n"/>
      <c r="J598" s="10">
        <f>IF(D598="","",IF(H598="✓","完了",IF(G598="","",IF(G598&lt;TODAY(),"期限超過",IF(G598=TODAY(),"今日まで","予定")))))</f>
        <v/>
      </c>
      <c r="K598" s="22" t="n"/>
      <c r="L598" s="26" t="n"/>
    </row>
    <row r="599">
      <c r="A599" s="11" t="n"/>
      <c r="B599" s="11" t="n"/>
      <c r="C599" s="10" t="n"/>
      <c r="D599" s="11" t="n"/>
      <c r="E599" s="10" t="n"/>
      <c r="F599" s="22" t="n"/>
      <c r="G599" s="24" t="n"/>
      <c r="H599" s="23" t="n"/>
      <c r="I599" s="25" t="n"/>
      <c r="J599" s="10">
        <f>IF(D599="","",IF(H599="✓","完了",IF(G599="","",IF(G599&lt;TODAY(),"期限超過",IF(G599=TODAY(),"今日まで","予定")))))</f>
        <v/>
      </c>
      <c r="K599" s="22" t="n"/>
      <c r="L599" s="26" t="n"/>
    </row>
    <row r="600">
      <c r="A600" s="11" t="n"/>
      <c r="B600" s="11" t="n"/>
      <c r="C600" s="10" t="n"/>
      <c r="D600" s="11" t="n"/>
      <c r="E600" s="10" t="n"/>
      <c r="F600" s="22" t="n"/>
      <c r="G600" s="24" t="n"/>
      <c r="H600" s="23" t="n"/>
      <c r="I600" s="25" t="n"/>
      <c r="J600" s="10">
        <f>IF(D600="","",IF(H600="✓","完了",IF(G600="","",IF(G600&lt;TODAY(),"期限超過",IF(G600=TODAY(),"今日まで","予定")))))</f>
        <v/>
      </c>
      <c r="K600" s="22" t="n"/>
      <c r="L600" s="26" t="n"/>
    </row>
    <row r="601">
      <c r="A601" s="11" t="n"/>
      <c r="B601" s="11" t="n"/>
      <c r="C601" s="10" t="n"/>
      <c r="D601" s="11" t="n"/>
      <c r="E601" s="10" t="n"/>
      <c r="F601" s="22" t="n"/>
      <c r="G601" s="24" t="n"/>
      <c r="H601" s="23" t="n"/>
      <c r="I601" s="25" t="n"/>
      <c r="J601" s="10">
        <f>IF(D601="","",IF(H601="✓","完了",IF(G601="","",IF(G601&lt;TODAY(),"期限超過",IF(G601=TODAY(),"今日まで","予定")))))</f>
        <v/>
      </c>
      <c r="K601" s="22" t="n"/>
      <c r="L601" s="26" t="n"/>
    </row>
    <row r="602">
      <c r="A602" s="11" t="n"/>
      <c r="B602" s="11" t="n"/>
      <c r="C602" s="10" t="n"/>
      <c r="D602" s="11" t="n"/>
      <c r="E602" s="10" t="n"/>
      <c r="F602" s="22" t="n"/>
      <c r="G602" s="24" t="n"/>
      <c r="H602" s="23" t="n"/>
      <c r="I602" s="25" t="n"/>
      <c r="J602" s="10">
        <f>IF(D602="","",IF(H602="✓","完了",IF(G602="","",IF(G602&lt;TODAY(),"期限超過",IF(G602=TODAY(),"今日まで","予定")))))</f>
        <v/>
      </c>
      <c r="K602" s="22" t="n"/>
      <c r="L602" s="26" t="n"/>
    </row>
    <row r="603">
      <c r="A603" s="11" t="n"/>
      <c r="B603" s="11" t="n"/>
      <c r="C603" s="10" t="n"/>
      <c r="D603" s="11" t="n"/>
      <c r="E603" s="10" t="n"/>
      <c r="F603" s="22" t="n"/>
      <c r="G603" s="24" t="n"/>
      <c r="H603" s="23" t="n"/>
      <c r="I603" s="25" t="n"/>
      <c r="J603" s="10">
        <f>IF(D603="","",IF(H603="✓","完了",IF(G603="","",IF(G603&lt;TODAY(),"期限超過",IF(G603=TODAY(),"今日まで","予定")))))</f>
        <v/>
      </c>
      <c r="K603" s="22" t="n"/>
      <c r="L603" s="26" t="n"/>
    </row>
    <row r="604">
      <c r="A604" s="11" t="n"/>
      <c r="B604" s="11" t="n"/>
      <c r="C604" s="10" t="n"/>
      <c r="D604" s="11" t="n"/>
      <c r="E604" s="10" t="n"/>
      <c r="F604" s="22" t="n"/>
      <c r="G604" s="24" t="n"/>
      <c r="H604" s="23" t="n"/>
      <c r="I604" s="25" t="n"/>
      <c r="J604" s="10">
        <f>IF(D604="","",IF(H604="✓","完了",IF(G604="","",IF(G604&lt;TODAY(),"期限超過",IF(G604=TODAY(),"今日まで","予定")))))</f>
        <v/>
      </c>
      <c r="K604" s="22" t="n"/>
      <c r="L604" s="26" t="n"/>
    </row>
    <row r="605">
      <c r="A605" s="11" t="n"/>
      <c r="B605" s="11" t="n"/>
      <c r="C605" s="10" t="n"/>
      <c r="D605" s="11" t="n"/>
      <c r="E605" s="10" t="n"/>
      <c r="F605" s="22" t="n"/>
      <c r="G605" s="24" t="n"/>
      <c r="H605" s="23" t="n"/>
      <c r="I605" s="25" t="n"/>
      <c r="J605" s="10">
        <f>IF(D605="","",IF(H605="✓","完了",IF(G605="","",IF(G605&lt;TODAY(),"期限超過",IF(G605=TODAY(),"今日まで","予定")))))</f>
        <v/>
      </c>
      <c r="K605" s="22" t="n"/>
      <c r="L605" s="26" t="n"/>
    </row>
    <row r="606">
      <c r="A606" s="11" t="n"/>
      <c r="B606" s="11" t="n"/>
      <c r="C606" s="10" t="n"/>
      <c r="D606" s="11" t="n"/>
      <c r="E606" s="10" t="n"/>
      <c r="F606" s="22" t="n"/>
      <c r="G606" s="24" t="n"/>
      <c r="H606" s="23" t="n"/>
      <c r="I606" s="25" t="n"/>
      <c r="J606" s="10">
        <f>IF(D606="","",IF(H606="✓","完了",IF(G606="","",IF(G606&lt;TODAY(),"期限超過",IF(G606=TODAY(),"今日まで","予定")))))</f>
        <v/>
      </c>
      <c r="K606" s="22" t="n"/>
      <c r="L606" s="26" t="n"/>
    </row>
    <row r="607">
      <c r="A607" s="11" t="n"/>
      <c r="B607" s="11" t="n"/>
      <c r="C607" s="10" t="n"/>
      <c r="D607" s="11" t="n"/>
      <c r="E607" s="10" t="n"/>
      <c r="F607" s="22" t="n"/>
      <c r="G607" s="24" t="n"/>
      <c r="H607" s="23" t="n"/>
      <c r="I607" s="25" t="n"/>
      <c r="J607" s="10">
        <f>IF(D607="","",IF(H607="✓","完了",IF(G607="","",IF(G607&lt;TODAY(),"期限超過",IF(G607=TODAY(),"今日まで","予定")))))</f>
        <v/>
      </c>
      <c r="K607" s="22" t="n"/>
      <c r="L607" s="26" t="n"/>
    </row>
    <row r="608">
      <c r="A608" s="11" t="n"/>
      <c r="B608" s="11" t="n"/>
      <c r="C608" s="10" t="n"/>
      <c r="D608" s="11" t="n"/>
      <c r="E608" s="10" t="n"/>
      <c r="F608" s="22" t="n"/>
      <c r="G608" s="24" t="n"/>
      <c r="H608" s="23" t="n"/>
      <c r="I608" s="25" t="n"/>
      <c r="J608" s="10">
        <f>IF(D608="","",IF(H608="✓","完了",IF(G608="","",IF(G608&lt;TODAY(),"期限超過",IF(G608=TODAY(),"今日まで","予定")))))</f>
        <v/>
      </c>
      <c r="K608" s="22" t="n"/>
      <c r="L608" s="26" t="n"/>
    </row>
    <row r="609">
      <c r="A609" s="11" t="n"/>
      <c r="B609" s="11" t="n"/>
      <c r="C609" s="10" t="n"/>
      <c r="D609" s="11" t="n"/>
      <c r="E609" s="10" t="n"/>
      <c r="F609" s="22" t="n"/>
      <c r="G609" s="24" t="n"/>
      <c r="H609" s="23" t="n"/>
      <c r="I609" s="25" t="n"/>
      <c r="J609" s="10">
        <f>IF(D609="","",IF(H609="✓","完了",IF(G609="","",IF(G609&lt;TODAY(),"期限超過",IF(G609=TODAY(),"今日まで","予定")))))</f>
        <v/>
      </c>
      <c r="K609" s="22" t="n"/>
      <c r="L609" s="26" t="n"/>
    </row>
    <row r="610">
      <c r="A610" s="11" t="n"/>
      <c r="B610" s="11" t="n"/>
      <c r="C610" s="10" t="n"/>
      <c r="D610" s="11" t="n"/>
      <c r="E610" s="10" t="n"/>
      <c r="F610" s="22" t="n"/>
      <c r="G610" s="24" t="n"/>
      <c r="H610" s="23" t="n"/>
      <c r="I610" s="25" t="n"/>
      <c r="J610" s="10">
        <f>IF(D610="","",IF(H610="✓","完了",IF(G610="","",IF(G610&lt;TODAY(),"期限超過",IF(G610=TODAY(),"今日まで","予定")))))</f>
        <v/>
      </c>
      <c r="K610" s="22" t="n"/>
      <c r="L610" s="26" t="n"/>
    </row>
    <row r="611">
      <c r="A611" s="11" t="n"/>
      <c r="B611" s="11" t="n"/>
      <c r="C611" s="10" t="n"/>
      <c r="D611" s="11" t="n"/>
      <c r="E611" s="10" t="n"/>
      <c r="F611" s="22" t="n"/>
      <c r="G611" s="24" t="n"/>
      <c r="H611" s="23" t="n"/>
      <c r="I611" s="25" t="n"/>
      <c r="J611" s="10">
        <f>IF(D611="","",IF(H611="✓","完了",IF(G611="","",IF(G611&lt;TODAY(),"期限超過",IF(G611=TODAY(),"今日まで","予定")))))</f>
        <v/>
      </c>
      <c r="K611" s="22" t="n"/>
      <c r="L611" s="26" t="n"/>
    </row>
    <row r="612">
      <c r="A612" s="11" t="n"/>
      <c r="B612" s="11" t="n"/>
      <c r="C612" s="10" t="n"/>
      <c r="D612" s="11" t="n"/>
      <c r="E612" s="10" t="n"/>
      <c r="F612" s="22" t="n"/>
      <c r="G612" s="24" t="n"/>
      <c r="H612" s="23" t="n"/>
      <c r="I612" s="25" t="n"/>
      <c r="J612" s="10">
        <f>IF(D612="","",IF(H612="✓","完了",IF(G612="","",IF(G612&lt;TODAY(),"期限超過",IF(G612=TODAY(),"今日まで","予定")))))</f>
        <v/>
      </c>
      <c r="K612" s="22" t="n"/>
      <c r="L612" s="26" t="n"/>
    </row>
    <row r="613">
      <c r="A613" s="11" t="n"/>
      <c r="B613" s="11" t="n"/>
      <c r="C613" s="10" t="n"/>
      <c r="D613" s="11" t="n"/>
      <c r="E613" s="10" t="n"/>
      <c r="F613" s="22" t="n"/>
      <c r="G613" s="24" t="n"/>
      <c r="H613" s="23" t="n"/>
      <c r="I613" s="25" t="n"/>
      <c r="J613" s="10">
        <f>IF(D613="","",IF(H613="✓","完了",IF(G613="","",IF(G613&lt;TODAY(),"期限超過",IF(G613=TODAY(),"今日まで","予定")))))</f>
        <v/>
      </c>
      <c r="K613" s="22" t="n"/>
      <c r="L613" s="26" t="n"/>
    </row>
    <row r="614">
      <c r="A614" s="11" t="n"/>
      <c r="B614" s="11" t="n"/>
      <c r="C614" s="10" t="n"/>
      <c r="D614" s="11" t="n"/>
      <c r="E614" s="10" t="n"/>
      <c r="F614" s="22" t="n"/>
      <c r="G614" s="24" t="n"/>
      <c r="H614" s="23" t="n"/>
      <c r="I614" s="25" t="n"/>
      <c r="J614" s="10">
        <f>IF(D614="","",IF(H614="✓","完了",IF(G614="","",IF(G614&lt;TODAY(),"期限超過",IF(G614=TODAY(),"今日まで","予定")))))</f>
        <v/>
      </c>
      <c r="K614" s="22" t="n"/>
      <c r="L614" s="26" t="n"/>
    </row>
    <row r="615">
      <c r="A615" s="11" t="n"/>
      <c r="B615" s="11" t="n"/>
      <c r="C615" s="10" t="n"/>
      <c r="D615" s="11" t="n"/>
      <c r="E615" s="10" t="n"/>
      <c r="F615" s="22" t="n"/>
      <c r="G615" s="24" t="n"/>
      <c r="H615" s="23" t="n"/>
      <c r="I615" s="25" t="n"/>
      <c r="J615" s="10">
        <f>IF(D615="","",IF(H615="✓","完了",IF(G615="","",IF(G615&lt;TODAY(),"期限超過",IF(G615=TODAY(),"今日まで","予定")))))</f>
        <v/>
      </c>
      <c r="K615" s="22" t="n"/>
      <c r="L615" s="26" t="n"/>
    </row>
    <row r="616">
      <c r="A616" s="11" t="n"/>
      <c r="B616" s="11" t="n"/>
      <c r="C616" s="10" t="n"/>
      <c r="D616" s="11" t="n"/>
      <c r="E616" s="10" t="n"/>
      <c r="F616" s="22" t="n"/>
      <c r="G616" s="24" t="n"/>
      <c r="H616" s="23" t="n"/>
      <c r="I616" s="25" t="n"/>
      <c r="J616" s="10">
        <f>IF(D616="","",IF(H616="✓","完了",IF(G616="","",IF(G616&lt;TODAY(),"期限超過",IF(G616=TODAY(),"今日まで","予定")))))</f>
        <v/>
      </c>
      <c r="K616" s="22" t="n"/>
      <c r="L616" s="26" t="n"/>
    </row>
    <row r="617">
      <c r="A617" s="11" t="n"/>
      <c r="B617" s="11" t="n"/>
      <c r="C617" s="10" t="n"/>
      <c r="D617" s="11" t="n"/>
      <c r="E617" s="10" t="n"/>
      <c r="F617" s="22" t="n"/>
      <c r="G617" s="24" t="n"/>
      <c r="H617" s="23" t="n"/>
      <c r="I617" s="25" t="n"/>
      <c r="J617" s="10">
        <f>IF(D617="","",IF(H617="✓","完了",IF(G617="","",IF(G617&lt;TODAY(),"期限超過",IF(G617=TODAY(),"今日まで","予定")))))</f>
        <v/>
      </c>
      <c r="K617" s="22" t="n"/>
      <c r="L617" s="26" t="n"/>
    </row>
    <row r="618">
      <c r="A618" s="11" t="n"/>
      <c r="B618" s="11" t="n"/>
      <c r="C618" s="10" t="n"/>
      <c r="D618" s="11" t="n"/>
      <c r="E618" s="10" t="n"/>
      <c r="F618" s="22" t="n"/>
      <c r="G618" s="24" t="n"/>
      <c r="H618" s="23" t="n"/>
      <c r="I618" s="25" t="n"/>
      <c r="J618" s="10">
        <f>IF(D618="","",IF(H618="✓","完了",IF(G618="","",IF(G618&lt;TODAY(),"期限超過",IF(G618=TODAY(),"今日まで","予定")))))</f>
        <v/>
      </c>
      <c r="K618" s="22" t="n"/>
      <c r="L618" s="26" t="n"/>
    </row>
    <row r="619">
      <c r="A619" s="11" t="n"/>
      <c r="B619" s="11" t="n"/>
      <c r="C619" s="10" t="n"/>
      <c r="D619" s="11" t="n"/>
      <c r="E619" s="10" t="n"/>
      <c r="F619" s="22" t="n"/>
      <c r="G619" s="24" t="n"/>
      <c r="H619" s="23" t="n"/>
      <c r="I619" s="25" t="n"/>
      <c r="J619" s="10">
        <f>IF(D619="","",IF(H619="✓","完了",IF(G619="","",IF(G619&lt;TODAY(),"期限超過",IF(G619=TODAY(),"今日まで","予定")))))</f>
        <v/>
      </c>
      <c r="K619" s="22" t="n"/>
      <c r="L619" s="26" t="n"/>
    </row>
    <row r="620">
      <c r="A620" s="11" t="n"/>
      <c r="B620" s="11" t="n"/>
      <c r="C620" s="10" t="n"/>
      <c r="D620" s="11" t="n"/>
      <c r="E620" s="10" t="n"/>
      <c r="F620" s="22" t="n"/>
      <c r="G620" s="24" t="n"/>
      <c r="H620" s="23" t="n"/>
      <c r="I620" s="25" t="n"/>
      <c r="J620" s="10">
        <f>IF(D620="","",IF(H620="✓","完了",IF(G620="","",IF(G620&lt;TODAY(),"期限超過",IF(G620=TODAY(),"今日まで","予定")))))</f>
        <v/>
      </c>
      <c r="K620" s="22" t="n"/>
      <c r="L620" s="26" t="n"/>
    </row>
    <row r="621">
      <c r="A621" s="11" t="n"/>
      <c r="B621" s="11" t="n"/>
      <c r="C621" s="10" t="n"/>
      <c r="D621" s="11" t="n"/>
      <c r="E621" s="10" t="n"/>
      <c r="F621" s="22" t="n"/>
      <c r="G621" s="24" t="n"/>
      <c r="H621" s="23" t="n"/>
      <c r="I621" s="25" t="n"/>
      <c r="J621" s="10">
        <f>IF(D621="","",IF(H621="✓","完了",IF(G621="","",IF(G621&lt;TODAY(),"期限超過",IF(G621=TODAY(),"今日まで","予定")))))</f>
        <v/>
      </c>
      <c r="K621" s="22" t="n"/>
      <c r="L621" s="26" t="n"/>
    </row>
    <row r="622">
      <c r="A622" s="11" t="n"/>
      <c r="B622" s="11" t="n"/>
      <c r="C622" s="10" t="n"/>
      <c r="D622" s="11" t="n"/>
      <c r="E622" s="10" t="n"/>
      <c r="F622" s="22" t="n"/>
      <c r="G622" s="24" t="n"/>
      <c r="H622" s="23" t="n"/>
      <c r="I622" s="25" t="n"/>
      <c r="J622" s="10">
        <f>IF(D622="","",IF(H622="✓","完了",IF(G622="","",IF(G622&lt;TODAY(),"期限超過",IF(G622=TODAY(),"今日まで","予定")))))</f>
        <v/>
      </c>
      <c r="K622" s="22" t="n"/>
      <c r="L622" s="26" t="n"/>
    </row>
    <row r="623">
      <c r="A623" s="11" t="n"/>
      <c r="B623" s="11" t="n"/>
      <c r="C623" s="10" t="n"/>
      <c r="D623" s="11" t="n"/>
      <c r="E623" s="10" t="n"/>
      <c r="F623" s="22" t="n"/>
      <c r="G623" s="24" t="n"/>
      <c r="H623" s="23" t="n"/>
      <c r="I623" s="25" t="n"/>
      <c r="J623" s="10">
        <f>IF(D623="","",IF(H623="✓","完了",IF(G623="","",IF(G623&lt;TODAY(),"期限超過",IF(G623=TODAY(),"今日まで","予定")))))</f>
        <v/>
      </c>
      <c r="K623" s="22" t="n"/>
      <c r="L623" s="26" t="n"/>
    </row>
    <row r="624">
      <c r="A624" s="11" t="n"/>
      <c r="B624" s="11" t="n"/>
      <c r="C624" s="10" t="n"/>
      <c r="D624" s="11" t="n"/>
      <c r="E624" s="10" t="n"/>
      <c r="F624" s="22" t="n"/>
      <c r="G624" s="24" t="n"/>
      <c r="H624" s="23" t="n"/>
      <c r="I624" s="25" t="n"/>
      <c r="J624" s="10">
        <f>IF(D624="","",IF(H624="✓","完了",IF(G624="","",IF(G624&lt;TODAY(),"期限超過",IF(G624=TODAY(),"今日まで","予定")))))</f>
        <v/>
      </c>
      <c r="K624" s="22" t="n"/>
      <c r="L624" s="26" t="n"/>
    </row>
    <row r="625">
      <c r="A625" s="11" t="n"/>
      <c r="B625" s="11" t="n"/>
      <c r="C625" s="10" t="n"/>
      <c r="D625" s="11" t="n"/>
      <c r="E625" s="10" t="n"/>
      <c r="F625" s="22" t="n"/>
      <c r="G625" s="24" t="n"/>
      <c r="H625" s="23" t="n"/>
      <c r="I625" s="25" t="n"/>
      <c r="J625" s="10">
        <f>IF(D625="","",IF(H625="✓","完了",IF(G625="","",IF(G625&lt;TODAY(),"期限超過",IF(G625=TODAY(),"今日まで","予定")))))</f>
        <v/>
      </c>
      <c r="K625" s="22" t="n"/>
      <c r="L625" s="26" t="n"/>
    </row>
    <row r="626">
      <c r="A626" s="11" t="n"/>
      <c r="B626" s="11" t="n"/>
      <c r="C626" s="10" t="n"/>
      <c r="D626" s="11" t="n"/>
      <c r="E626" s="10" t="n"/>
      <c r="F626" s="22" t="n"/>
      <c r="G626" s="24" t="n"/>
      <c r="H626" s="23" t="n"/>
      <c r="I626" s="25" t="n"/>
      <c r="J626" s="10">
        <f>IF(D626="","",IF(H626="✓","完了",IF(G626="","",IF(G626&lt;TODAY(),"期限超過",IF(G626=TODAY(),"今日まで","予定")))))</f>
        <v/>
      </c>
      <c r="K626" s="22" t="n"/>
      <c r="L626" s="26" t="n"/>
    </row>
    <row r="627">
      <c r="A627" s="11" t="n"/>
      <c r="B627" s="11" t="n"/>
      <c r="C627" s="10" t="n"/>
      <c r="D627" s="11" t="n"/>
      <c r="E627" s="10" t="n"/>
      <c r="F627" s="22" t="n"/>
      <c r="G627" s="24" t="n"/>
      <c r="H627" s="23" t="n"/>
      <c r="I627" s="25" t="n"/>
      <c r="J627" s="10">
        <f>IF(D627="","",IF(H627="✓","完了",IF(G627="","",IF(G627&lt;TODAY(),"期限超過",IF(G627=TODAY(),"今日まで","予定")))))</f>
        <v/>
      </c>
      <c r="K627" s="22" t="n"/>
      <c r="L627" s="26" t="n"/>
    </row>
    <row r="628">
      <c r="A628" s="11" t="n"/>
      <c r="B628" s="11" t="n"/>
      <c r="C628" s="10" t="n"/>
      <c r="D628" s="11" t="n"/>
      <c r="E628" s="10" t="n"/>
      <c r="F628" s="22" t="n"/>
      <c r="G628" s="24" t="n"/>
      <c r="H628" s="23" t="n"/>
      <c r="I628" s="25" t="n"/>
      <c r="J628" s="10">
        <f>IF(D628="","",IF(H628="✓","完了",IF(G628="","",IF(G628&lt;TODAY(),"期限超過",IF(G628=TODAY(),"今日まで","予定")))))</f>
        <v/>
      </c>
      <c r="K628" s="22" t="n"/>
      <c r="L628" s="26" t="n"/>
    </row>
    <row r="629">
      <c r="A629" s="11" t="n"/>
      <c r="B629" s="11" t="n"/>
      <c r="C629" s="10" t="n"/>
      <c r="D629" s="11" t="n"/>
      <c r="E629" s="10" t="n"/>
      <c r="F629" s="22" t="n"/>
      <c r="G629" s="24" t="n"/>
      <c r="H629" s="23" t="n"/>
      <c r="I629" s="25" t="n"/>
      <c r="J629" s="10">
        <f>IF(D629="","",IF(H629="✓","完了",IF(G629="","",IF(G629&lt;TODAY(),"期限超過",IF(G629=TODAY(),"今日まで","予定")))))</f>
        <v/>
      </c>
      <c r="K629" s="22" t="n"/>
      <c r="L629" s="26" t="n"/>
    </row>
    <row r="630">
      <c r="A630" s="11" t="n"/>
      <c r="B630" s="11" t="n"/>
      <c r="C630" s="10" t="n"/>
      <c r="D630" s="11" t="n"/>
      <c r="E630" s="10" t="n"/>
      <c r="F630" s="22" t="n"/>
      <c r="G630" s="24" t="n"/>
      <c r="H630" s="23" t="n"/>
      <c r="I630" s="25" t="n"/>
      <c r="J630" s="10">
        <f>IF(D630="","",IF(H630="✓","完了",IF(G630="","",IF(G630&lt;TODAY(),"期限超過",IF(G630=TODAY(),"今日まで","予定")))))</f>
        <v/>
      </c>
      <c r="K630" s="22" t="n"/>
      <c r="L630" s="26" t="n"/>
    </row>
    <row r="631">
      <c r="A631" s="11" t="n"/>
      <c r="B631" s="11" t="n"/>
      <c r="C631" s="10" t="n"/>
      <c r="D631" s="11" t="n"/>
      <c r="E631" s="10" t="n"/>
      <c r="F631" s="22" t="n"/>
      <c r="G631" s="24" t="n"/>
      <c r="H631" s="23" t="n"/>
      <c r="I631" s="25" t="n"/>
      <c r="J631" s="10">
        <f>IF(D631="","",IF(H631="✓","完了",IF(G631="","",IF(G631&lt;TODAY(),"期限超過",IF(G631=TODAY(),"今日まで","予定")))))</f>
        <v/>
      </c>
      <c r="K631" s="22" t="n"/>
      <c r="L631" s="26" t="n"/>
    </row>
    <row r="632">
      <c r="A632" s="11" t="n"/>
      <c r="B632" s="11" t="n"/>
      <c r="C632" s="10" t="n"/>
      <c r="D632" s="11" t="n"/>
      <c r="E632" s="10" t="n"/>
      <c r="F632" s="22" t="n"/>
      <c r="G632" s="24" t="n"/>
      <c r="H632" s="23" t="n"/>
      <c r="I632" s="25" t="n"/>
      <c r="J632" s="10">
        <f>IF(D632="","",IF(H632="✓","完了",IF(G632="","",IF(G632&lt;TODAY(),"期限超過",IF(G632=TODAY(),"今日まで","予定")))))</f>
        <v/>
      </c>
      <c r="K632" s="22" t="n"/>
      <c r="L632" s="26" t="n"/>
    </row>
    <row r="633">
      <c r="A633" s="11" t="n"/>
      <c r="B633" s="11" t="n"/>
      <c r="C633" s="10" t="n"/>
      <c r="D633" s="11" t="n"/>
      <c r="E633" s="10" t="n"/>
      <c r="F633" s="22" t="n"/>
      <c r="G633" s="24" t="n"/>
      <c r="H633" s="23" t="n"/>
      <c r="I633" s="25" t="n"/>
      <c r="J633" s="10">
        <f>IF(D633="","",IF(H633="✓","完了",IF(G633="","",IF(G633&lt;TODAY(),"期限超過",IF(G633=TODAY(),"今日まで","予定")))))</f>
        <v/>
      </c>
      <c r="K633" s="22" t="n"/>
      <c r="L633" s="26" t="n"/>
    </row>
    <row r="634">
      <c r="A634" s="11" t="n"/>
      <c r="B634" s="11" t="n"/>
      <c r="C634" s="10" t="n"/>
      <c r="D634" s="11" t="n"/>
      <c r="E634" s="10" t="n"/>
      <c r="F634" s="22" t="n"/>
      <c r="G634" s="24" t="n"/>
      <c r="H634" s="23" t="n"/>
      <c r="I634" s="25" t="n"/>
      <c r="J634" s="10">
        <f>IF(D634="","",IF(H634="✓","完了",IF(G634="","",IF(G634&lt;TODAY(),"期限超過",IF(G634=TODAY(),"今日まで","予定")))))</f>
        <v/>
      </c>
      <c r="K634" s="22" t="n"/>
      <c r="L634" s="26" t="n"/>
    </row>
    <row r="635">
      <c r="A635" s="11" t="n"/>
      <c r="B635" s="11" t="n"/>
      <c r="C635" s="10" t="n"/>
      <c r="D635" s="11" t="n"/>
      <c r="E635" s="10" t="n"/>
      <c r="F635" s="22" t="n"/>
      <c r="G635" s="24" t="n"/>
      <c r="H635" s="23" t="n"/>
      <c r="I635" s="25" t="n"/>
      <c r="J635" s="10">
        <f>IF(D635="","",IF(H635="✓","完了",IF(G635="","",IF(G635&lt;TODAY(),"期限超過",IF(G635=TODAY(),"今日まで","予定")))))</f>
        <v/>
      </c>
      <c r="K635" s="22" t="n"/>
      <c r="L635" s="26" t="n"/>
    </row>
    <row r="636">
      <c r="A636" s="11" t="n"/>
      <c r="B636" s="11" t="n"/>
      <c r="C636" s="10" t="n"/>
      <c r="D636" s="11" t="n"/>
      <c r="E636" s="10" t="n"/>
      <c r="F636" s="22" t="n"/>
      <c r="G636" s="24" t="n"/>
      <c r="H636" s="23" t="n"/>
      <c r="I636" s="25" t="n"/>
      <c r="J636" s="10">
        <f>IF(D636="","",IF(H636="✓","完了",IF(G636="","",IF(G636&lt;TODAY(),"期限超過",IF(G636=TODAY(),"今日まで","予定")))))</f>
        <v/>
      </c>
      <c r="K636" s="22" t="n"/>
      <c r="L636" s="26" t="n"/>
    </row>
    <row r="637">
      <c r="A637" s="11" t="n"/>
      <c r="B637" s="11" t="n"/>
      <c r="C637" s="10" t="n"/>
      <c r="D637" s="11" t="n"/>
      <c r="E637" s="10" t="n"/>
      <c r="F637" s="22" t="n"/>
      <c r="G637" s="24" t="n"/>
      <c r="H637" s="23" t="n"/>
      <c r="I637" s="25" t="n"/>
      <c r="J637" s="10">
        <f>IF(D637="","",IF(H637="✓","完了",IF(G637="","",IF(G637&lt;TODAY(),"期限超過",IF(G637=TODAY(),"今日まで","予定")))))</f>
        <v/>
      </c>
      <c r="K637" s="22" t="n"/>
      <c r="L637" s="26" t="n"/>
    </row>
    <row r="638">
      <c r="A638" s="11" t="n"/>
      <c r="B638" s="11" t="n"/>
      <c r="C638" s="10" t="n"/>
      <c r="D638" s="11" t="n"/>
      <c r="E638" s="10" t="n"/>
      <c r="F638" s="22" t="n"/>
      <c r="G638" s="24" t="n"/>
      <c r="H638" s="23" t="n"/>
      <c r="I638" s="25" t="n"/>
      <c r="J638" s="10">
        <f>IF(D638="","",IF(H638="✓","完了",IF(G638="","",IF(G638&lt;TODAY(),"期限超過",IF(G638=TODAY(),"今日まで","予定")))))</f>
        <v/>
      </c>
      <c r="K638" s="22" t="n"/>
      <c r="L638" s="26" t="n"/>
    </row>
    <row r="639">
      <c r="A639" s="11" t="n"/>
      <c r="B639" s="11" t="n"/>
      <c r="C639" s="10" t="n"/>
      <c r="D639" s="11" t="n"/>
      <c r="E639" s="10" t="n"/>
      <c r="F639" s="22" t="n"/>
      <c r="G639" s="24" t="n"/>
      <c r="H639" s="23" t="n"/>
      <c r="I639" s="25" t="n"/>
      <c r="J639" s="10">
        <f>IF(D639="","",IF(H639="✓","完了",IF(G639="","",IF(G639&lt;TODAY(),"期限超過",IF(G639=TODAY(),"今日まで","予定")))))</f>
        <v/>
      </c>
      <c r="K639" s="22" t="n"/>
      <c r="L639" s="26" t="n"/>
    </row>
    <row r="640">
      <c r="A640" s="11" t="n"/>
      <c r="B640" s="11" t="n"/>
      <c r="C640" s="10" t="n"/>
      <c r="D640" s="11" t="n"/>
      <c r="E640" s="10" t="n"/>
      <c r="F640" s="22" t="n"/>
      <c r="G640" s="24" t="n"/>
      <c r="H640" s="23" t="n"/>
      <c r="I640" s="25" t="n"/>
      <c r="J640" s="10">
        <f>IF(D640="","",IF(H640="✓","完了",IF(G640="","",IF(G640&lt;TODAY(),"期限超過",IF(G640=TODAY(),"今日まで","予定")))))</f>
        <v/>
      </c>
      <c r="K640" s="22" t="n"/>
      <c r="L640" s="26" t="n"/>
    </row>
    <row r="641">
      <c r="A641" s="11" t="n"/>
      <c r="B641" s="11" t="n"/>
      <c r="C641" s="10" t="n"/>
      <c r="D641" s="11" t="n"/>
      <c r="E641" s="10" t="n"/>
      <c r="F641" s="22" t="n"/>
      <c r="G641" s="24" t="n"/>
      <c r="H641" s="23" t="n"/>
      <c r="I641" s="25" t="n"/>
      <c r="J641" s="10">
        <f>IF(D641="","",IF(H641="✓","完了",IF(G641="","",IF(G641&lt;TODAY(),"期限超過",IF(G641=TODAY(),"今日まで","予定")))))</f>
        <v/>
      </c>
      <c r="K641" s="22" t="n"/>
      <c r="L641" s="26" t="n"/>
    </row>
    <row r="642">
      <c r="A642" s="11" t="n"/>
      <c r="B642" s="11" t="n"/>
      <c r="C642" s="10" t="n"/>
      <c r="D642" s="11" t="n"/>
      <c r="E642" s="10" t="n"/>
      <c r="F642" s="22" t="n"/>
      <c r="G642" s="24" t="n"/>
      <c r="H642" s="23" t="n"/>
      <c r="I642" s="25" t="n"/>
      <c r="J642" s="10">
        <f>IF(D642="","",IF(H642="✓","完了",IF(G642="","",IF(G642&lt;TODAY(),"期限超過",IF(G642=TODAY(),"今日まで","予定")))))</f>
        <v/>
      </c>
      <c r="K642" s="22" t="n"/>
      <c r="L642" s="26" t="n"/>
    </row>
    <row r="643">
      <c r="A643" s="11" t="n"/>
      <c r="B643" s="11" t="n"/>
      <c r="C643" s="10" t="n"/>
      <c r="D643" s="11" t="n"/>
      <c r="E643" s="10" t="n"/>
      <c r="F643" s="22" t="n"/>
      <c r="G643" s="24" t="n"/>
      <c r="H643" s="23" t="n"/>
      <c r="I643" s="25" t="n"/>
      <c r="J643" s="10">
        <f>IF(D643="","",IF(H643="✓","完了",IF(G643="","",IF(G643&lt;TODAY(),"期限超過",IF(G643=TODAY(),"今日まで","予定")))))</f>
        <v/>
      </c>
      <c r="K643" s="22" t="n"/>
      <c r="L643" s="26" t="n"/>
    </row>
    <row r="644">
      <c r="A644" s="11" t="n"/>
      <c r="B644" s="11" t="n"/>
      <c r="C644" s="10" t="n"/>
      <c r="D644" s="11" t="n"/>
      <c r="E644" s="10" t="n"/>
      <c r="F644" s="22" t="n"/>
      <c r="G644" s="24" t="n"/>
      <c r="H644" s="23" t="n"/>
      <c r="I644" s="25" t="n"/>
      <c r="J644" s="10">
        <f>IF(D644="","",IF(H644="✓","完了",IF(G644="","",IF(G644&lt;TODAY(),"期限超過",IF(G644=TODAY(),"今日まで","予定")))))</f>
        <v/>
      </c>
      <c r="K644" s="22" t="n"/>
      <c r="L644" s="26" t="n"/>
    </row>
    <row r="645">
      <c r="A645" s="11" t="n"/>
      <c r="B645" s="11" t="n"/>
      <c r="C645" s="10" t="n"/>
      <c r="D645" s="11" t="n"/>
      <c r="E645" s="10" t="n"/>
      <c r="F645" s="22" t="n"/>
      <c r="G645" s="24" t="n"/>
      <c r="H645" s="23" t="n"/>
      <c r="I645" s="25" t="n"/>
      <c r="J645" s="10">
        <f>IF(D645="","",IF(H645="✓","完了",IF(G645="","",IF(G645&lt;TODAY(),"期限超過",IF(G645=TODAY(),"今日まで","予定")))))</f>
        <v/>
      </c>
      <c r="K645" s="22" t="n"/>
      <c r="L645" s="26" t="n"/>
    </row>
    <row r="646">
      <c r="A646" s="11" t="n"/>
      <c r="B646" s="11" t="n"/>
      <c r="C646" s="10" t="n"/>
      <c r="D646" s="11" t="n"/>
      <c r="E646" s="10" t="n"/>
      <c r="F646" s="22" t="n"/>
      <c r="G646" s="24" t="n"/>
      <c r="H646" s="23" t="n"/>
      <c r="I646" s="25" t="n"/>
      <c r="J646" s="10">
        <f>IF(D646="","",IF(H646="✓","完了",IF(G646="","",IF(G646&lt;TODAY(),"期限超過",IF(G646=TODAY(),"今日まで","予定")))))</f>
        <v/>
      </c>
      <c r="K646" s="22" t="n"/>
      <c r="L646" s="26" t="n"/>
    </row>
    <row r="647">
      <c r="A647" s="11" t="n"/>
      <c r="B647" s="11" t="n"/>
      <c r="C647" s="10" t="n"/>
      <c r="D647" s="11" t="n"/>
      <c r="E647" s="10" t="n"/>
      <c r="F647" s="22" t="n"/>
      <c r="G647" s="24" t="n"/>
      <c r="H647" s="23" t="n"/>
      <c r="I647" s="25" t="n"/>
      <c r="J647" s="10">
        <f>IF(D647="","",IF(H647="✓","完了",IF(G647="","",IF(G647&lt;TODAY(),"期限超過",IF(G647=TODAY(),"今日まで","予定")))))</f>
        <v/>
      </c>
      <c r="K647" s="22" t="n"/>
      <c r="L647" s="26" t="n"/>
    </row>
    <row r="648">
      <c r="A648" s="11" t="n"/>
      <c r="B648" s="11" t="n"/>
      <c r="C648" s="10" t="n"/>
      <c r="D648" s="11" t="n"/>
      <c r="E648" s="10" t="n"/>
      <c r="F648" s="22" t="n"/>
      <c r="G648" s="24" t="n"/>
      <c r="H648" s="23" t="n"/>
      <c r="I648" s="25" t="n"/>
      <c r="J648" s="10">
        <f>IF(D648="","",IF(H648="✓","完了",IF(G648="","",IF(G648&lt;TODAY(),"期限超過",IF(G648=TODAY(),"今日まで","予定")))))</f>
        <v/>
      </c>
      <c r="K648" s="22" t="n"/>
      <c r="L648" s="26" t="n"/>
    </row>
    <row r="649">
      <c r="A649" s="11" t="n"/>
      <c r="B649" s="11" t="n"/>
      <c r="C649" s="10" t="n"/>
      <c r="D649" s="11" t="n"/>
      <c r="E649" s="10" t="n"/>
      <c r="F649" s="22" t="n"/>
      <c r="G649" s="24" t="n"/>
      <c r="H649" s="23" t="n"/>
      <c r="I649" s="25" t="n"/>
      <c r="J649" s="10">
        <f>IF(D649="","",IF(H649="✓","完了",IF(G649="","",IF(G649&lt;TODAY(),"期限超過",IF(G649=TODAY(),"今日まで","予定")))))</f>
        <v/>
      </c>
      <c r="K649" s="22" t="n"/>
      <c r="L649" s="26" t="n"/>
    </row>
    <row r="650">
      <c r="A650" s="11" t="n"/>
      <c r="B650" s="11" t="n"/>
      <c r="C650" s="10" t="n"/>
      <c r="D650" s="11" t="n"/>
      <c r="E650" s="10" t="n"/>
      <c r="F650" s="22" t="n"/>
      <c r="G650" s="24" t="n"/>
      <c r="H650" s="23" t="n"/>
      <c r="I650" s="25" t="n"/>
      <c r="J650" s="10">
        <f>IF(D650="","",IF(H650="✓","完了",IF(G650="","",IF(G650&lt;TODAY(),"期限超過",IF(G650=TODAY(),"今日まで","予定")))))</f>
        <v/>
      </c>
      <c r="K650" s="22" t="n"/>
      <c r="L650" s="26" t="n"/>
    </row>
    <row r="651">
      <c r="A651" s="11" t="n"/>
      <c r="B651" s="11" t="n"/>
      <c r="C651" s="10" t="n"/>
      <c r="D651" s="11" t="n"/>
      <c r="E651" s="10" t="n"/>
      <c r="F651" s="22" t="n"/>
      <c r="G651" s="24" t="n"/>
      <c r="H651" s="23" t="n"/>
      <c r="I651" s="25" t="n"/>
      <c r="J651" s="10">
        <f>IF(D651="","",IF(H651="✓","完了",IF(G651="","",IF(G651&lt;TODAY(),"期限超過",IF(G651=TODAY(),"今日まで","予定")))))</f>
        <v/>
      </c>
      <c r="K651" s="22" t="n"/>
      <c r="L651" s="26" t="n"/>
    </row>
    <row r="652">
      <c r="A652" s="11" t="n"/>
      <c r="B652" s="11" t="n"/>
      <c r="C652" s="10" t="n"/>
      <c r="D652" s="11" t="n"/>
      <c r="E652" s="10" t="n"/>
      <c r="F652" s="22" t="n"/>
      <c r="G652" s="24" t="n"/>
      <c r="H652" s="23" t="n"/>
      <c r="I652" s="25" t="n"/>
      <c r="J652" s="10">
        <f>IF(D652="","",IF(H652="✓","完了",IF(G652="","",IF(G652&lt;TODAY(),"期限超過",IF(G652=TODAY(),"今日まで","予定")))))</f>
        <v/>
      </c>
      <c r="K652" s="22" t="n"/>
      <c r="L652" s="26" t="n"/>
    </row>
    <row r="653">
      <c r="A653" s="11" t="n"/>
      <c r="B653" s="11" t="n"/>
      <c r="C653" s="10" t="n"/>
      <c r="D653" s="11" t="n"/>
      <c r="E653" s="10" t="n"/>
      <c r="F653" s="22" t="n"/>
      <c r="G653" s="24" t="n"/>
      <c r="H653" s="23" t="n"/>
      <c r="I653" s="25" t="n"/>
      <c r="J653" s="10">
        <f>IF(D653="","",IF(H653="✓","完了",IF(G653="","",IF(G653&lt;TODAY(),"期限超過",IF(G653=TODAY(),"今日まで","予定")))))</f>
        <v/>
      </c>
      <c r="K653" s="22" t="n"/>
      <c r="L653" s="26" t="n"/>
    </row>
    <row r="654">
      <c r="A654" s="11" t="n"/>
      <c r="B654" s="11" t="n"/>
      <c r="C654" s="10" t="n"/>
      <c r="D654" s="11" t="n"/>
      <c r="E654" s="10" t="n"/>
      <c r="F654" s="22" t="n"/>
      <c r="G654" s="24" t="n"/>
      <c r="H654" s="23" t="n"/>
      <c r="I654" s="25" t="n"/>
      <c r="J654" s="10">
        <f>IF(D654="","",IF(H654="✓","完了",IF(G654="","",IF(G654&lt;TODAY(),"期限超過",IF(G654=TODAY(),"今日まで","予定")))))</f>
        <v/>
      </c>
      <c r="K654" s="22" t="n"/>
      <c r="L654" s="26" t="n"/>
    </row>
    <row r="655">
      <c r="A655" s="11" t="n"/>
      <c r="B655" s="11" t="n"/>
      <c r="C655" s="10" t="n"/>
      <c r="D655" s="11" t="n"/>
      <c r="E655" s="10" t="n"/>
      <c r="F655" s="22" t="n"/>
      <c r="G655" s="24" t="n"/>
      <c r="H655" s="23" t="n"/>
      <c r="I655" s="25" t="n"/>
      <c r="J655" s="10">
        <f>IF(D655="","",IF(H655="✓","完了",IF(G655="","",IF(G655&lt;TODAY(),"期限超過",IF(G655=TODAY(),"今日まで","予定")))))</f>
        <v/>
      </c>
      <c r="K655" s="22" t="n"/>
      <c r="L655" s="26" t="n"/>
    </row>
    <row r="656">
      <c r="A656" s="11" t="n"/>
      <c r="B656" s="11" t="n"/>
      <c r="C656" s="10" t="n"/>
      <c r="D656" s="11" t="n"/>
      <c r="E656" s="10" t="n"/>
      <c r="F656" s="22" t="n"/>
      <c r="G656" s="24" t="n"/>
      <c r="H656" s="23" t="n"/>
      <c r="I656" s="25" t="n"/>
      <c r="J656" s="10">
        <f>IF(D656="","",IF(H656="✓","完了",IF(G656="","",IF(G656&lt;TODAY(),"期限超過",IF(G656=TODAY(),"今日まで","予定")))))</f>
        <v/>
      </c>
      <c r="K656" s="22" t="n"/>
      <c r="L656" s="26" t="n"/>
    </row>
    <row r="657">
      <c r="A657" s="11" t="n"/>
      <c r="B657" s="11" t="n"/>
      <c r="C657" s="10" t="n"/>
      <c r="D657" s="11" t="n"/>
      <c r="E657" s="10" t="n"/>
      <c r="F657" s="22" t="n"/>
      <c r="G657" s="24" t="n"/>
      <c r="H657" s="23" t="n"/>
      <c r="I657" s="25" t="n"/>
      <c r="J657" s="10">
        <f>IF(D657="","",IF(H657="✓","完了",IF(G657="","",IF(G657&lt;TODAY(),"期限超過",IF(G657=TODAY(),"今日まで","予定")))))</f>
        <v/>
      </c>
      <c r="K657" s="22" t="n"/>
      <c r="L657" s="26" t="n"/>
    </row>
    <row r="658">
      <c r="A658" s="11" t="n"/>
      <c r="B658" s="11" t="n"/>
      <c r="C658" s="10" t="n"/>
      <c r="D658" s="11" t="n"/>
      <c r="E658" s="10" t="n"/>
      <c r="F658" s="22" t="n"/>
      <c r="G658" s="24" t="n"/>
      <c r="H658" s="23" t="n"/>
      <c r="I658" s="25" t="n"/>
      <c r="J658" s="10">
        <f>IF(D658="","",IF(H658="✓","完了",IF(G658="","",IF(G658&lt;TODAY(),"期限超過",IF(G658=TODAY(),"今日まで","予定")))))</f>
        <v/>
      </c>
      <c r="K658" s="22" t="n"/>
      <c r="L658" s="26" t="n"/>
    </row>
    <row r="659">
      <c r="A659" s="11" t="n"/>
      <c r="B659" s="11" t="n"/>
      <c r="C659" s="10" t="n"/>
      <c r="D659" s="11" t="n"/>
      <c r="E659" s="10" t="n"/>
      <c r="F659" s="22" t="n"/>
      <c r="G659" s="24" t="n"/>
      <c r="H659" s="23" t="n"/>
      <c r="I659" s="25" t="n"/>
      <c r="J659" s="10">
        <f>IF(D659="","",IF(H659="✓","完了",IF(G659="","",IF(G659&lt;TODAY(),"期限超過",IF(G659=TODAY(),"今日まで","予定")))))</f>
        <v/>
      </c>
      <c r="K659" s="22" t="n"/>
      <c r="L659" s="26" t="n"/>
    </row>
    <row r="660">
      <c r="A660" s="11" t="n"/>
      <c r="B660" s="11" t="n"/>
      <c r="C660" s="10" t="n"/>
      <c r="D660" s="11" t="n"/>
      <c r="E660" s="10" t="n"/>
      <c r="F660" s="22" t="n"/>
      <c r="G660" s="24" t="n"/>
      <c r="H660" s="23" t="n"/>
      <c r="I660" s="25" t="n"/>
      <c r="J660" s="10">
        <f>IF(D660="","",IF(H660="✓","完了",IF(G660="","",IF(G660&lt;TODAY(),"期限超過",IF(G660=TODAY(),"今日まで","予定")))))</f>
        <v/>
      </c>
      <c r="K660" s="22" t="n"/>
      <c r="L660" s="26" t="n"/>
    </row>
    <row r="661">
      <c r="A661" s="11" t="n"/>
      <c r="B661" s="11" t="n"/>
      <c r="C661" s="10" t="n"/>
      <c r="D661" s="11" t="n"/>
      <c r="E661" s="10" t="n"/>
      <c r="F661" s="22" t="n"/>
      <c r="G661" s="24" t="n"/>
      <c r="H661" s="23" t="n"/>
      <c r="I661" s="25" t="n"/>
      <c r="J661" s="10">
        <f>IF(D661="","",IF(H661="✓","完了",IF(G661="","",IF(G661&lt;TODAY(),"期限超過",IF(G661=TODAY(),"今日まで","予定")))))</f>
        <v/>
      </c>
      <c r="K661" s="22" t="n"/>
      <c r="L661" s="26" t="n"/>
    </row>
    <row r="662">
      <c r="A662" s="11" t="n"/>
      <c r="B662" s="11" t="n"/>
      <c r="C662" s="10" t="n"/>
      <c r="D662" s="11" t="n"/>
      <c r="E662" s="10" t="n"/>
      <c r="F662" s="22" t="n"/>
      <c r="G662" s="24" t="n"/>
      <c r="H662" s="23" t="n"/>
      <c r="I662" s="25" t="n"/>
      <c r="J662" s="10">
        <f>IF(D662="","",IF(H662="✓","完了",IF(G662="","",IF(G662&lt;TODAY(),"期限超過",IF(G662=TODAY(),"今日まで","予定")))))</f>
        <v/>
      </c>
      <c r="K662" s="22" t="n"/>
      <c r="L662" s="26" t="n"/>
    </row>
    <row r="663">
      <c r="A663" s="11" t="n"/>
      <c r="B663" s="11" t="n"/>
      <c r="C663" s="10" t="n"/>
      <c r="D663" s="11" t="n"/>
      <c r="E663" s="10" t="n"/>
      <c r="F663" s="22" t="n"/>
      <c r="G663" s="24" t="n"/>
      <c r="H663" s="23" t="n"/>
      <c r="I663" s="25" t="n"/>
      <c r="J663" s="10">
        <f>IF(D663="","",IF(H663="✓","完了",IF(G663="","",IF(G663&lt;TODAY(),"期限超過",IF(G663=TODAY(),"今日まで","予定")))))</f>
        <v/>
      </c>
      <c r="K663" s="22" t="n"/>
      <c r="L663" s="26" t="n"/>
    </row>
    <row r="664">
      <c r="A664" s="11" t="n"/>
      <c r="B664" s="11" t="n"/>
      <c r="C664" s="10" t="n"/>
      <c r="D664" s="11" t="n"/>
      <c r="E664" s="10" t="n"/>
      <c r="F664" s="22" t="n"/>
      <c r="G664" s="24" t="n"/>
      <c r="H664" s="23" t="n"/>
      <c r="I664" s="25" t="n"/>
      <c r="J664" s="10">
        <f>IF(D664="","",IF(H664="✓","完了",IF(G664="","",IF(G664&lt;TODAY(),"期限超過",IF(G664=TODAY(),"今日まで","予定")))))</f>
        <v/>
      </c>
      <c r="K664" s="22" t="n"/>
      <c r="L664" s="26" t="n"/>
    </row>
    <row r="665">
      <c r="A665" s="11" t="n"/>
      <c r="B665" s="11" t="n"/>
      <c r="C665" s="10" t="n"/>
      <c r="D665" s="11" t="n"/>
      <c r="E665" s="10" t="n"/>
      <c r="F665" s="22" t="n"/>
      <c r="G665" s="24" t="n"/>
      <c r="H665" s="23" t="n"/>
      <c r="I665" s="25" t="n"/>
      <c r="J665" s="10">
        <f>IF(D665="","",IF(H665="✓","完了",IF(G665="","",IF(G665&lt;TODAY(),"期限超過",IF(G665=TODAY(),"今日まで","予定")))))</f>
        <v/>
      </c>
      <c r="K665" s="22" t="n"/>
      <c r="L665" s="26" t="n"/>
    </row>
    <row r="666">
      <c r="A666" s="11" t="n"/>
      <c r="B666" s="11" t="n"/>
      <c r="C666" s="10" t="n"/>
      <c r="D666" s="11" t="n"/>
      <c r="E666" s="10" t="n"/>
      <c r="F666" s="22" t="n"/>
      <c r="G666" s="24" t="n"/>
      <c r="H666" s="23" t="n"/>
      <c r="I666" s="25" t="n"/>
      <c r="J666" s="10">
        <f>IF(D666="","",IF(H666="✓","完了",IF(G666="","",IF(G666&lt;TODAY(),"期限超過",IF(G666=TODAY(),"今日まで","予定")))))</f>
        <v/>
      </c>
      <c r="K666" s="22" t="n"/>
      <c r="L666" s="26" t="n"/>
    </row>
    <row r="667">
      <c r="A667" s="11" t="n"/>
      <c r="B667" s="11" t="n"/>
      <c r="C667" s="10" t="n"/>
      <c r="D667" s="11" t="n"/>
      <c r="E667" s="10" t="n"/>
      <c r="F667" s="22" t="n"/>
      <c r="G667" s="24" t="n"/>
      <c r="H667" s="23" t="n"/>
      <c r="I667" s="25" t="n"/>
      <c r="J667" s="10">
        <f>IF(D667="","",IF(H667="✓","完了",IF(G667="","",IF(G667&lt;TODAY(),"期限超過",IF(G667=TODAY(),"今日まで","予定")))))</f>
        <v/>
      </c>
      <c r="K667" s="22" t="n"/>
      <c r="L667" s="26" t="n"/>
    </row>
    <row r="668">
      <c r="A668" s="11" t="n"/>
      <c r="B668" s="11" t="n"/>
      <c r="C668" s="10" t="n"/>
      <c r="D668" s="11" t="n"/>
      <c r="E668" s="10" t="n"/>
      <c r="F668" s="22" t="n"/>
      <c r="G668" s="24" t="n"/>
      <c r="H668" s="23" t="n"/>
      <c r="I668" s="25" t="n"/>
      <c r="J668" s="10">
        <f>IF(D668="","",IF(H668="✓","完了",IF(G668="","",IF(G668&lt;TODAY(),"期限超過",IF(G668=TODAY(),"今日まで","予定")))))</f>
        <v/>
      </c>
      <c r="K668" s="22" t="n"/>
      <c r="L668" s="26" t="n"/>
    </row>
    <row r="669">
      <c r="A669" s="11" t="n"/>
      <c r="B669" s="11" t="n"/>
      <c r="C669" s="10" t="n"/>
      <c r="D669" s="11" t="n"/>
      <c r="E669" s="10" t="n"/>
      <c r="F669" s="22" t="n"/>
      <c r="G669" s="24" t="n"/>
      <c r="H669" s="23" t="n"/>
      <c r="I669" s="25" t="n"/>
      <c r="J669" s="10">
        <f>IF(D669="","",IF(H669="✓","完了",IF(G669="","",IF(G669&lt;TODAY(),"期限超過",IF(G669=TODAY(),"今日まで","予定")))))</f>
        <v/>
      </c>
      <c r="K669" s="22" t="n"/>
      <c r="L669" s="26" t="n"/>
    </row>
    <row r="670">
      <c r="A670" s="11" t="n"/>
      <c r="B670" s="11" t="n"/>
      <c r="C670" s="10" t="n"/>
      <c r="D670" s="11" t="n"/>
      <c r="E670" s="10" t="n"/>
      <c r="F670" s="22" t="n"/>
      <c r="G670" s="24" t="n"/>
      <c r="H670" s="23" t="n"/>
      <c r="I670" s="25" t="n"/>
      <c r="J670" s="10">
        <f>IF(D670="","",IF(H670="✓","完了",IF(G670="","",IF(G670&lt;TODAY(),"期限超過",IF(G670=TODAY(),"今日まで","予定")))))</f>
        <v/>
      </c>
      <c r="K670" s="22" t="n"/>
      <c r="L670" s="26" t="n"/>
    </row>
    <row r="671">
      <c r="A671" s="11" t="n"/>
      <c r="B671" s="11" t="n"/>
      <c r="C671" s="10" t="n"/>
      <c r="D671" s="11" t="n"/>
      <c r="E671" s="10" t="n"/>
      <c r="F671" s="22" t="n"/>
      <c r="G671" s="24" t="n"/>
      <c r="H671" s="23" t="n"/>
      <c r="I671" s="25" t="n"/>
      <c r="J671" s="10">
        <f>IF(D671="","",IF(H671="✓","完了",IF(G671="","",IF(G671&lt;TODAY(),"期限超過",IF(G671=TODAY(),"今日まで","予定")))))</f>
        <v/>
      </c>
      <c r="K671" s="22" t="n"/>
      <c r="L671" s="26" t="n"/>
    </row>
    <row r="672">
      <c r="A672" s="11" t="n"/>
      <c r="B672" s="11" t="n"/>
      <c r="C672" s="10" t="n"/>
      <c r="D672" s="11" t="n"/>
      <c r="E672" s="10" t="n"/>
      <c r="F672" s="22" t="n"/>
      <c r="G672" s="24" t="n"/>
      <c r="H672" s="23" t="n"/>
      <c r="I672" s="25" t="n"/>
      <c r="J672" s="10">
        <f>IF(D672="","",IF(H672="✓","完了",IF(G672="","",IF(G672&lt;TODAY(),"期限超過",IF(G672=TODAY(),"今日まで","予定")))))</f>
        <v/>
      </c>
      <c r="K672" s="22" t="n"/>
      <c r="L672" s="26" t="n"/>
    </row>
    <row r="673">
      <c r="A673" s="11" t="n"/>
      <c r="B673" s="11" t="n"/>
      <c r="C673" s="10" t="n"/>
      <c r="D673" s="11" t="n"/>
      <c r="E673" s="10" t="n"/>
      <c r="F673" s="22" t="n"/>
      <c r="G673" s="24" t="n"/>
      <c r="H673" s="23" t="n"/>
      <c r="I673" s="25" t="n"/>
      <c r="J673" s="10">
        <f>IF(D673="","",IF(H673="✓","完了",IF(G673="","",IF(G673&lt;TODAY(),"期限超過",IF(G673=TODAY(),"今日まで","予定")))))</f>
        <v/>
      </c>
      <c r="K673" s="22" t="n"/>
      <c r="L673" s="26" t="n"/>
    </row>
    <row r="674">
      <c r="A674" s="11" t="n"/>
      <c r="B674" s="11" t="n"/>
      <c r="C674" s="10" t="n"/>
      <c r="D674" s="11" t="n"/>
      <c r="E674" s="10" t="n"/>
      <c r="F674" s="22" t="n"/>
      <c r="G674" s="24" t="n"/>
      <c r="H674" s="23" t="n"/>
      <c r="I674" s="25" t="n"/>
      <c r="J674" s="10">
        <f>IF(D674="","",IF(H674="✓","完了",IF(G674="","",IF(G674&lt;TODAY(),"期限超過",IF(G674=TODAY(),"今日まで","予定")))))</f>
        <v/>
      </c>
      <c r="K674" s="22" t="n"/>
      <c r="L674" s="26" t="n"/>
    </row>
    <row r="675">
      <c r="A675" s="11" t="n"/>
      <c r="B675" s="11" t="n"/>
      <c r="C675" s="10" t="n"/>
      <c r="D675" s="11" t="n"/>
      <c r="E675" s="10" t="n"/>
      <c r="F675" s="22" t="n"/>
      <c r="G675" s="24" t="n"/>
      <c r="H675" s="23" t="n"/>
      <c r="I675" s="25" t="n"/>
      <c r="J675" s="10">
        <f>IF(D675="","",IF(H675="✓","完了",IF(G675="","",IF(G675&lt;TODAY(),"期限超過",IF(G675=TODAY(),"今日まで","予定")))))</f>
        <v/>
      </c>
      <c r="K675" s="22" t="n"/>
      <c r="L675" s="26" t="n"/>
    </row>
    <row r="676">
      <c r="A676" s="11" t="n"/>
      <c r="B676" s="11" t="n"/>
      <c r="C676" s="10" t="n"/>
      <c r="D676" s="11" t="n"/>
      <c r="E676" s="10" t="n"/>
      <c r="F676" s="22" t="n"/>
      <c r="G676" s="24" t="n"/>
      <c r="H676" s="23" t="n"/>
      <c r="I676" s="25" t="n"/>
      <c r="J676" s="10">
        <f>IF(D676="","",IF(H676="✓","完了",IF(G676="","",IF(G676&lt;TODAY(),"期限超過",IF(G676=TODAY(),"今日まで","予定")))))</f>
        <v/>
      </c>
      <c r="K676" s="22" t="n"/>
      <c r="L676" s="26" t="n"/>
    </row>
    <row r="677">
      <c r="A677" s="11" t="n"/>
      <c r="B677" s="11" t="n"/>
      <c r="C677" s="10" t="n"/>
      <c r="D677" s="11" t="n"/>
      <c r="E677" s="10" t="n"/>
      <c r="F677" s="22" t="n"/>
      <c r="G677" s="24" t="n"/>
      <c r="H677" s="23" t="n"/>
      <c r="I677" s="25" t="n"/>
      <c r="J677" s="10">
        <f>IF(D677="","",IF(H677="✓","完了",IF(G677="","",IF(G677&lt;TODAY(),"期限超過",IF(G677=TODAY(),"今日まで","予定")))))</f>
        <v/>
      </c>
      <c r="K677" s="22" t="n"/>
      <c r="L677" s="26" t="n"/>
    </row>
    <row r="678">
      <c r="A678" s="11" t="n"/>
      <c r="B678" s="11" t="n"/>
      <c r="C678" s="10" t="n"/>
      <c r="D678" s="11" t="n"/>
      <c r="E678" s="10" t="n"/>
      <c r="F678" s="22" t="n"/>
      <c r="G678" s="24" t="n"/>
      <c r="H678" s="23" t="n"/>
      <c r="I678" s="25" t="n"/>
      <c r="J678" s="10">
        <f>IF(D678="","",IF(H678="✓","完了",IF(G678="","",IF(G678&lt;TODAY(),"期限超過",IF(G678=TODAY(),"今日まで","予定")))))</f>
        <v/>
      </c>
      <c r="K678" s="22" t="n"/>
      <c r="L678" s="26" t="n"/>
    </row>
    <row r="679">
      <c r="A679" s="11" t="n"/>
      <c r="B679" s="11" t="n"/>
      <c r="C679" s="10" t="n"/>
      <c r="D679" s="11" t="n"/>
      <c r="E679" s="10" t="n"/>
      <c r="F679" s="22" t="n"/>
      <c r="G679" s="24" t="n"/>
      <c r="H679" s="23" t="n"/>
      <c r="I679" s="25" t="n"/>
      <c r="J679" s="10">
        <f>IF(D679="","",IF(H679="✓","完了",IF(G679="","",IF(G679&lt;TODAY(),"期限超過",IF(G679=TODAY(),"今日まで","予定")))))</f>
        <v/>
      </c>
      <c r="K679" s="22" t="n"/>
      <c r="L679" s="26" t="n"/>
    </row>
    <row r="680">
      <c r="A680" s="11" t="n"/>
      <c r="B680" s="11" t="n"/>
      <c r="C680" s="10" t="n"/>
      <c r="D680" s="11" t="n"/>
      <c r="E680" s="10" t="n"/>
      <c r="F680" s="22" t="n"/>
      <c r="G680" s="24" t="n"/>
      <c r="H680" s="23" t="n"/>
      <c r="I680" s="25" t="n"/>
      <c r="J680" s="10">
        <f>IF(D680="","",IF(H680="✓","完了",IF(G680="","",IF(G680&lt;TODAY(),"期限超過",IF(G680=TODAY(),"今日まで","予定")))))</f>
        <v/>
      </c>
      <c r="K680" s="22" t="n"/>
      <c r="L680" s="26" t="n"/>
    </row>
    <row r="681">
      <c r="A681" s="11" t="n"/>
      <c r="B681" s="11" t="n"/>
      <c r="C681" s="10" t="n"/>
      <c r="D681" s="11" t="n"/>
      <c r="E681" s="10" t="n"/>
      <c r="F681" s="22" t="n"/>
      <c r="G681" s="24" t="n"/>
      <c r="H681" s="23" t="n"/>
      <c r="I681" s="25" t="n"/>
      <c r="J681" s="10">
        <f>IF(D681="","",IF(H681="✓","完了",IF(G681="","",IF(G681&lt;TODAY(),"期限超過",IF(G681=TODAY(),"今日まで","予定")))))</f>
        <v/>
      </c>
      <c r="K681" s="22" t="n"/>
      <c r="L681" s="26" t="n"/>
    </row>
    <row r="682">
      <c r="A682" s="11" t="n"/>
      <c r="B682" s="11" t="n"/>
      <c r="C682" s="10" t="n"/>
      <c r="D682" s="11" t="n"/>
      <c r="E682" s="10" t="n"/>
      <c r="F682" s="22" t="n"/>
      <c r="G682" s="24" t="n"/>
      <c r="H682" s="23" t="n"/>
      <c r="I682" s="25" t="n"/>
      <c r="J682" s="10">
        <f>IF(D682="","",IF(H682="✓","完了",IF(G682="","",IF(G682&lt;TODAY(),"期限超過",IF(G682=TODAY(),"今日まで","予定")))))</f>
        <v/>
      </c>
      <c r="K682" s="22" t="n"/>
      <c r="L682" s="26" t="n"/>
    </row>
    <row r="683">
      <c r="A683" s="11" t="n"/>
      <c r="B683" s="11" t="n"/>
      <c r="C683" s="10" t="n"/>
      <c r="D683" s="11" t="n"/>
      <c r="E683" s="10" t="n"/>
      <c r="F683" s="22" t="n"/>
      <c r="G683" s="24" t="n"/>
      <c r="H683" s="23" t="n"/>
      <c r="I683" s="25" t="n"/>
      <c r="J683" s="10">
        <f>IF(D683="","",IF(H683="✓","完了",IF(G683="","",IF(G683&lt;TODAY(),"期限超過",IF(G683=TODAY(),"今日まで","予定")))))</f>
        <v/>
      </c>
      <c r="K683" s="22" t="n"/>
      <c r="L683" s="26" t="n"/>
    </row>
    <row r="684">
      <c r="A684" s="11" t="n"/>
      <c r="B684" s="11" t="n"/>
      <c r="C684" s="10" t="n"/>
      <c r="D684" s="11" t="n"/>
      <c r="E684" s="10" t="n"/>
      <c r="F684" s="22" t="n"/>
      <c r="G684" s="24" t="n"/>
      <c r="H684" s="23" t="n"/>
      <c r="I684" s="25" t="n"/>
      <c r="J684" s="10">
        <f>IF(D684="","",IF(H684="✓","完了",IF(G684="","",IF(G684&lt;TODAY(),"期限超過",IF(G684=TODAY(),"今日まで","予定")))))</f>
        <v/>
      </c>
      <c r="K684" s="22" t="n"/>
      <c r="L684" s="26" t="n"/>
    </row>
    <row r="685">
      <c r="A685" s="11" t="n"/>
      <c r="B685" s="11" t="n"/>
      <c r="C685" s="10" t="n"/>
      <c r="D685" s="11" t="n"/>
      <c r="E685" s="10" t="n"/>
      <c r="F685" s="22" t="n"/>
      <c r="G685" s="24" t="n"/>
      <c r="H685" s="23" t="n"/>
      <c r="I685" s="25" t="n"/>
      <c r="J685" s="10">
        <f>IF(D685="","",IF(H685="✓","完了",IF(G685="","",IF(G685&lt;TODAY(),"期限超過",IF(G685=TODAY(),"今日まで","予定")))))</f>
        <v/>
      </c>
      <c r="K685" s="22" t="n"/>
      <c r="L685" s="26" t="n"/>
    </row>
    <row r="686">
      <c r="A686" s="11" t="n"/>
      <c r="B686" s="11" t="n"/>
      <c r="C686" s="10" t="n"/>
      <c r="D686" s="11" t="n"/>
      <c r="E686" s="10" t="n"/>
      <c r="F686" s="22" t="n"/>
      <c r="G686" s="24" t="n"/>
      <c r="H686" s="23" t="n"/>
      <c r="I686" s="25" t="n"/>
      <c r="J686" s="10">
        <f>IF(D686="","",IF(H686="✓","完了",IF(G686="","",IF(G686&lt;TODAY(),"期限超過",IF(G686=TODAY(),"今日まで","予定")))))</f>
        <v/>
      </c>
      <c r="K686" s="22" t="n"/>
      <c r="L686" s="26" t="n"/>
    </row>
    <row r="687">
      <c r="A687" s="11" t="n"/>
      <c r="B687" s="11" t="n"/>
      <c r="C687" s="10" t="n"/>
      <c r="D687" s="11" t="n"/>
      <c r="E687" s="10" t="n"/>
      <c r="F687" s="22" t="n"/>
      <c r="G687" s="24" t="n"/>
      <c r="H687" s="23" t="n"/>
      <c r="I687" s="25" t="n"/>
      <c r="J687" s="10">
        <f>IF(D687="","",IF(H687="✓","完了",IF(G687="","",IF(G687&lt;TODAY(),"期限超過",IF(G687=TODAY(),"今日まで","予定")))))</f>
        <v/>
      </c>
      <c r="K687" s="22" t="n"/>
      <c r="L687" s="26" t="n"/>
    </row>
    <row r="688">
      <c r="A688" s="11" t="n"/>
      <c r="B688" s="11" t="n"/>
      <c r="C688" s="10" t="n"/>
      <c r="D688" s="11" t="n"/>
      <c r="E688" s="10" t="n"/>
      <c r="F688" s="22" t="n"/>
      <c r="G688" s="24" t="n"/>
      <c r="H688" s="23" t="n"/>
      <c r="I688" s="25" t="n"/>
      <c r="J688" s="10">
        <f>IF(D688="","",IF(H688="✓","完了",IF(G688="","",IF(G688&lt;TODAY(),"期限超過",IF(G688=TODAY(),"今日まで","予定")))))</f>
        <v/>
      </c>
      <c r="K688" s="22" t="n"/>
      <c r="L688" s="26" t="n"/>
    </row>
    <row r="689">
      <c r="A689" s="11" t="n"/>
      <c r="B689" s="11" t="n"/>
      <c r="C689" s="10" t="n"/>
      <c r="D689" s="11" t="n"/>
      <c r="E689" s="10" t="n"/>
      <c r="F689" s="22" t="n"/>
      <c r="G689" s="24" t="n"/>
      <c r="H689" s="23" t="n"/>
      <c r="I689" s="25" t="n"/>
      <c r="J689" s="10">
        <f>IF(D689="","",IF(H689="✓","完了",IF(G689="","",IF(G689&lt;TODAY(),"期限超過",IF(G689=TODAY(),"今日まで","予定")))))</f>
        <v/>
      </c>
      <c r="K689" s="22" t="n"/>
      <c r="L689" s="26" t="n"/>
    </row>
    <row r="690">
      <c r="A690" s="11" t="n"/>
      <c r="B690" s="11" t="n"/>
      <c r="C690" s="10" t="n"/>
      <c r="D690" s="11" t="n"/>
      <c r="E690" s="10" t="n"/>
      <c r="F690" s="22" t="n"/>
      <c r="G690" s="24" t="n"/>
      <c r="H690" s="23" t="n"/>
      <c r="I690" s="25" t="n"/>
      <c r="J690" s="10">
        <f>IF(D690="","",IF(H690="✓","完了",IF(G690="","",IF(G690&lt;TODAY(),"期限超過",IF(G690=TODAY(),"今日まで","予定")))))</f>
        <v/>
      </c>
      <c r="K690" s="22" t="n"/>
      <c r="L690" s="26" t="n"/>
    </row>
    <row r="691">
      <c r="A691" s="11" t="n"/>
      <c r="B691" s="11" t="n"/>
      <c r="C691" s="10" t="n"/>
      <c r="D691" s="11" t="n"/>
      <c r="E691" s="10" t="n"/>
      <c r="F691" s="22" t="n"/>
      <c r="G691" s="24" t="n"/>
      <c r="H691" s="23" t="n"/>
      <c r="I691" s="25" t="n"/>
      <c r="J691" s="10">
        <f>IF(D691="","",IF(H691="✓","完了",IF(G691="","",IF(G691&lt;TODAY(),"期限超過",IF(G691=TODAY(),"今日まで","予定")))))</f>
        <v/>
      </c>
      <c r="K691" s="22" t="n"/>
      <c r="L691" s="26" t="n"/>
    </row>
    <row r="692">
      <c r="A692" s="11" t="n"/>
      <c r="B692" s="11" t="n"/>
      <c r="C692" s="10" t="n"/>
      <c r="D692" s="11" t="n"/>
      <c r="E692" s="10" t="n"/>
      <c r="F692" s="22" t="n"/>
      <c r="G692" s="24" t="n"/>
      <c r="H692" s="23" t="n"/>
      <c r="I692" s="25" t="n"/>
      <c r="J692" s="10">
        <f>IF(D692="","",IF(H692="✓","完了",IF(G692="","",IF(G692&lt;TODAY(),"期限超過",IF(G692=TODAY(),"今日まで","予定")))))</f>
        <v/>
      </c>
      <c r="K692" s="22" t="n"/>
      <c r="L692" s="26" t="n"/>
    </row>
    <row r="693">
      <c r="A693" s="11" t="n"/>
      <c r="B693" s="11" t="n"/>
      <c r="C693" s="10" t="n"/>
      <c r="D693" s="11" t="n"/>
      <c r="E693" s="10" t="n"/>
      <c r="F693" s="22" t="n"/>
      <c r="G693" s="24" t="n"/>
      <c r="H693" s="23" t="n"/>
      <c r="I693" s="25" t="n"/>
      <c r="J693" s="10">
        <f>IF(D693="","",IF(H693="✓","完了",IF(G693="","",IF(G693&lt;TODAY(),"期限超過",IF(G693=TODAY(),"今日まで","予定")))))</f>
        <v/>
      </c>
      <c r="K693" s="22" t="n"/>
      <c r="L693" s="26" t="n"/>
    </row>
    <row r="694">
      <c r="A694" s="11" t="n"/>
      <c r="B694" s="11" t="n"/>
      <c r="C694" s="10" t="n"/>
      <c r="D694" s="11" t="n"/>
      <c r="E694" s="10" t="n"/>
      <c r="F694" s="22" t="n"/>
      <c r="G694" s="24" t="n"/>
      <c r="H694" s="23" t="n"/>
      <c r="I694" s="25" t="n"/>
      <c r="J694" s="10">
        <f>IF(D694="","",IF(H694="✓","完了",IF(G694="","",IF(G694&lt;TODAY(),"期限超過",IF(G694=TODAY(),"今日まで","予定")))))</f>
        <v/>
      </c>
      <c r="K694" s="22" t="n"/>
      <c r="L694" s="26" t="n"/>
    </row>
    <row r="695">
      <c r="A695" s="11" t="n"/>
      <c r="B695" s="11" t="n"/>
      <c r="C695" s="10" t="n"/>
      <c r="D695" s="11" t="n"/>
      <c r="E695" s="10" t="n"/>
      <c r="F695" s="22" t="n"/>
      <c r="G695" s="24" t="n"/>
      <c r="H695" s="23" t="n"/>
      <c r="I695" s="25" t="n"/>
      <c r="J695" s="10">
        <f>IF(D695="","",IF(H695="✓","完了",IF(G695="","",IF(G695&lt;TODAY(),"期限超過",IF(G695=TODAY(),"今日まで","予定")))))</f>
        <v/>
      </c>
      <c r="K695" s="22" t="n"/>
      <c r="L695" s="26" t="n"/>
    </row>
    <row r="696">
      <c r="A696" s="11" t="n"/>
      <c r="B696" s="11" t="n"/>
      <c r="C696" s="10" t="n"/>
      <c r="D696" s="11" t="n"/>
      <c r="E696" s="10" t="n"/>
      <c r="F696" s="22" t="n"/>
      <c r="G696" s="24" t="n"/>
      <c r="H696" s="23" t="n"/>
      <c r="I696" s="25" t="n"/>
      <c r="J696" s="10">
        <f>IF(D696="","",IF(H696="✓","完了",IF(G696="","",IF(G696&lt;TODAY(),"期限超過",IF(G696=TODAY(),"今日まで","予定")))))</f>
        <v/>
      </c>
      <c r="K696" s="22" t="n"/>
      <c r="L696" s="26" t="n"/>
    </row>
    <row r="697">
      <c r="A697" s="11" t="n"/>
      <c r="B697" s="11" t="n"/>
      <c r="C697" s="10" t="n"/>
      <c r="D697" s="11" t="n"/>
      <c r="E697" s="10" t="n"/>
      <c r="F697" s="22" t="n"/>
      <c r="G697" s="24" t="n"/>
      <c r="H697" s="23" t="n"/>
      <c r="I697" s="25" t="n"/>
      <c r="J697" s="10">
        <f>IF(D697="","",IF(H697="✓","完了",IF(G697="","",IF(G697&lt;TODAY(),"期限超過",IF(G697=TODAY(),"今日まで","予定")))))</f>
        <v/>
      </c>
      <c r="K697" s="22" t="n"/>
      <c r="L697" s="26" t="n"/>
    </row>
    <row r="698">
      <c r="A698" s="11" t="n"/>
      <c r="B698" s="11" t="n"/>
      <c r="C698" s="10" t="n"/>
      <c r="D698" s="11" t="n"/>
      <c r="E698" s="10" t="n"/>
      <c r="F698" s="22" t="n"/>
      <c r="G698" s="24" t="n"/>
      <c r="H698" s="23" t="n"/>
      <c r="I698" s="25" t="n"/>
      <c r="J698" s="10">
        <f>IF(D698="","",IF(H698="✓","完了",IF(G698="","",IF(G698&lt;TODAY(),"期限超過",IF(G698=TODAY(),"今日まで","予定")))))</f>
        <v/>
      </c>
      <c r="K698" s="22" t="n"/>
      <c r="L698" s="26" t="n"/>
    </row>
    <row r="699">
      <c r="A699" s="11" t="n"/>
      <c r="B699" s="11" t="n"/>
      <c r="C699" s="10" t="n"/>
      <c r="D699" s="11" t="n"/>
      <c r="E699" s="10" t="n"/>
      <c r="F699" s="22" t="n"/>
      <c r="G699" s="24" t="n"/>
      <c r="H699" s="23" t="n"/>
      <c r="I699" s="25" t="n"/>
      <c r="J699" s="10">
        <f>IF(D699="","",IF(H699="✓","完了",IF(G699="","",IF(G699&lt;TODAY(),"期限超過",IF(G699=TODAY(),"今日まで","予定")))))</f>
        <v/>
      </c>
      <c r="K699" s="22" t="n"/>
      <c r="L699" s="26" t="n"/>
    </row>
    <row r="700">
      <c r="A700" s="11" t="n"/>
      <c r="B700" s="11" t="n"/>
      <c r="C700" s="10" t="n"/>
      <c r="D700" s="11" t="n"/>
      <c r="E700" s="10" t="n"/>
      <c r="F700" s="22" t="n"/>
      <c r="G700" s="24" t="n"/>
      <c r="H700" s="23" t="n"/>
      <c r="I700" s="25" t="n"/>
      <c r="J700" s="10">
        <f>IF(D700="","",IF(H700="✓","完了",IF(G700="","",IF(G700&lt;TODAY(),"期限超過",IF(G700=TODAY(),"今日まで","予定")))))</f>
        <v/>
      </c>
      <c r="K700" s="22" t="n"/>
      <c r="L700" s="26" t="n"/>
    </row>
    <row r="701">
      <c r="A701" s="11" t="n"/>
      <c r="B701" s="11" t="n"/>
      <c r="C701" s="10" t="n"/>
      <c r="D701" s="11" t="n"/>
      <c r="E701" s="10" t="n"/>
      <c r="F701" s="22" t="n"/>
      <c r="G701" s="24" t="n"/>
      <c r="H701" s="23" t="n"/>
      <c r="I701" s="25" t="n"/>
      <c r="J701" s="10">
        <f>IF(D701="","",IF(H701="✓","完了",IF(G701="","",IF(G701&lt;TODAY(),"期限超過",IF(G701=TODAY(),"今日まで","予定")))))</f>
        <v/>
      </c>
      <c r="K701" s="22" t="n"/>
      <c r="L701" s="26" t="n"/>
    </row>
    <row r="702">
      <c r="A702" s="11" t="n"/>
      <c r="B702" s="11" t="n"/>
      <c r="C702" s="10" t="n"/>
      <c r="D702" s="11" t="n"/>
      <c r="E702" s="10" t="n"/>
      <c r="F702" s="22" t="n"/>
      <c r="G702" s="24" t="n"/>
      <c r="H702" s="23" t="n"/>
      <c r="I702" s="25" t="n"/>
      <c r="J702" s="10">
        <f>IF(D702="","",IF(H702="✓","完了",IF(G702="","",IF(G702&lt;TODAY(),"期限超過",IF(G702=TODAY(),"今日まで","予定")))))</f>
        <v/>
      </c>
      <c r="K702" s="22" t="n"/>
      <c r="L702" s="26" t="n"/>
    </row>
    <row r="703">
      <c r="A703" s="11" t="n"/>
      <c r="B703" s="11" t="n"/>
      <c r="C703" s="10" t="n"/>
      <c r="D703" s="11" t="n"/>
      <c r="E703" s="10" t="n"/>
      <c r="F703" s="22" t="n"/>
      <c r="G703" s="24" t="n"/>
      <c r="H703" s="23" t="n"/>
      <c r="I703" s="25" t="n"/>
      <c r="J703" s="10">
        <f>IF(D703="","",IF(H703="✓","完了",IF(G703="","",IF(G703&lt;TODAY(),"期限超過",IF(G703=TODAY(),"今日まで","予定")))))</f>
        <v/>
      </c>
      <c r="K703" s="22" t="n"/>
      <c r="L703" s="26" t="n"/>
    </row>
    <row r="704">
      <c r="A704" s="11" t="n"/>
      <c r="B704" s="11" t="n"/>
      <c r="C704" s="10" t="n"/>
      <c r="D704" s="11" t="n"/>
      <c r="E704" s="10" t="n"/>
      <c r="F704" s="22" t="n"/>
      <c r="G704" s="24" t="n"/>
      <c r="H704" s="23" t="n"/>
      <c r="I704" s="25" t="n"/>
      <c r="J704" s="10">
        <f>IF(D704="","",IF(H704="✓","完了",IF(G704="","",IF(G704&lt;TODAY(),"期限超過",IF(G704=TODAY(),"今日まで","予定")))))</f>
        <v/>
      </c>
      <c r="K704" s="22" t="n"/>
      <c r="L704" s="26" t="n"/>
    </row>
    <row r="705">
      <c r="A705" s="11" t="n"/>
      <c r="B705" s="11" t="n"/>
      <c r="C705" s="10" t="n"/>
      <c r="D705" s="11" t="n"/>
      <c r="E705" s="10" t="n"/>
      <c r="F705" s="22" t="n"/>
      <c r="G705" s="24" t="n"/>
      <c r="H705" s="23" t="n"/>
      <c r="I705" s="25" t="n"/>
      <c r="J705" s="10">
        <f>IF(D705="","",IF(H705="✓","完了",IF(G705="","",IF(G705&lt;TODAY(),"期限超過",IF(G705=TODAY(),"今日まで","予定")))))</f>
        <v/>
      </c>
      <c r="K705" s="22" t="n"/>
      <c r="L705" s="26" t="n"/>
    </row>
    <row r="706">
      <c r="A706" s="11" t="n"/>
      <c r="B706" s="11" t="n"/>
      <c r="C706" s="10" t="n"/>
      <c r="D706" s="11" t="n"/>
      <c r="E706" s="10" t="n"/>
      <c r="F706" s="22" t="n"/>
      <c r="G706" s="24" t="n"/>
      <c r="H706" s="23" t="n"/>
      <c r="I706" s="25" t="n"/>
      <c r="J706" s="10">
        <f>IF(D706="","",IF(H706="✓","完了",IF(G706="","",IF(G706&lt;TODAY(),"期限超過",IF(G706=TODAY(),"今日まで","予定")))))</f>
        <v/>
      </c>
      <c r="K706" s="22" t="n"/>
      <c r="L706" s="26" t="n"/>
    </row>
    <row r="707">
      <c r="A707" s="11" t="n"/>
      <c r="B707" s="11" t="n"/>
      <c r="C707" s="10" t="n"/>
      <c r="D707" s="11" t="n"/>
      <c r="E707" s="10" t="n"/>
      <c r="F707" s="22" t="n"/>
      <c r="G707" s="24" t="n"/>
      <c r="H707" s="23" t="n"/>
      <c r="I707" s="25" t="n"/>
      <c r="J707" s="10">
        <f>IF(D707="","",IF(H707="✓","完了",IF(G707="","",IF(G707&lt;TODAY(),"期限超過",IF(G707=TODAY(),"今日まで","予定")))))</f>
        <v/>
      </c>
      <c r="K707" s="22" t="n"/>
      <c r="L707" s="26" t="n"/>
    </row>
    <row r="708">
      <c r="A708" s="11" t="n"/>
      <c r="B708" s="11" t="n"/>
      <c r="C708" s="10" t="n"/>
      <c r="D708" s="11" t="n"/>
      <c r="E708" s="10" t="n"/>
      <c r="F708" s="22" t="n"/>
      <c r="G708" s="24" t="n"/>
      <c r="H708" s="23" t="n"/>
      <c r="I708" s="25" t="n"/>
      <c r="J708" s="10">
        <f>IF(D708="","",IF(H708="✓","完了",IF(G708="","",IF(G708&lt;TODAY(),"期限超過",IF(G708=TODAY(),"今日まで","予定")))))</f>
        <v/>
      </c>
      <c r="K708" s="22" t="n"/>
      <c r="L708" s="26" t="n"/>
    </row>
    <row r="709">
      <c r="A709" s="11" t="n"/>
      <c r="B709" s="11" t="n"/>
      <c r="C709" s="10" t="n"/>
      <c r="D709" s="11" t="n"/>
      <c r="E709" s="10" t="n"/>
      <c r="F709" s="22" t="n"/>
      <c r="G709" s="24" t="n"/>
      <c r="H709" s="23" t="n"/>
      <c r="I709" s="25" t="n"/>
      <c r="J709" s="10">
        <f>IF(D709="","",IF(H709="✓","完了",IF(G709="","",IF(G709&lt;TODAY(),"期限超過",IF(G709=TODAY(),"今日まで","予定")))))</f>
        <v/>
      </c>
      <c r="K709" s="22" t="n"/>
      <c r="L709" s="26" t="n"/>
    </row>
    <row r="710">
      <c r="A710" s="11" t="n"/>
      <c r="B710" s="11" t="n"/>
      <c r="C710" s="10" t="n"/>
      <c r="D710" s="11" t="n"/>
      <c r="E710" s="10" t="n"/>
      <c r="F710" s="22" t="n"/>
      <c r="G710" s="24" t="n"/>
      <c r="H710" s="23" t="n"/>
      <c r="I710" s="25" t="n"/>
      <c r="J710" s="10">
        <f>IF(D710="","",IF(H710="✓","完了",IF(G710="","",IF(G710&lt;TODAY(),"期限超過",IF(G710=TODAY(),"今日まで","予定")))))</f>
        <v/>
      </c>
      <c r="K710" s="22" t="n"/>
      <c r="L710" s="26" t="n"/>
    </row>
    <row r="711">
      <c r="A711" s="11" t="n"/>
      <c r="B711" s="11" t="n"/>
      <c r="C711" s="10" t="n"/>
      <c r="D711" s="11" t="n"/>
      <c r="E711" s="10" t="n"/>
      <c r="F711" s="22" t="n"/>
      <c r="G711" s="24" t="n"/>
      <c r="H711" s="23" t="n"/>
      <c r="I711" s="25" t="n"/>
      <c r="J711" s="10">
        <f>IF(D711="","",IF(H711="✓","完了",IF(G711="","",IF(G711&lt;TODAY(),"期限超過",IF(G711=TODAY(),"今日まで","予定")))))</f>
        <v/>
      </c>
      <c r="K711" s="22" t="n"/>
      <c r="L711" s="26" t="n"/>
    </row>
    <row r="712">
      <c r="A712" s="11" t="n"/>
      <c r="B712" s="11" t="n"/>
      <c r="C712" s="10" t="n"/>
      <c r="D712" s="11" t="n"/>
      <c r="E712" s="10" t="n"/>
      <c r="F712" s="22" t="n"/>
      <c r="G712" s="24" t="n"/>
      <c r="H712" s="23" t="n"/>
      <c r="I712" s="25" t="n"/>
      <c r="J712" s="10">
        <f>IF(D712="","",IF(H712="✓","完了",IF(G712="","",IF(G712&lt;TODAY(),"期限超過",IF(G712=TODAY(),"今日まで","予定")))))</f>
        <v/>
      </c>
      <c r="K712" s="22" t="n"/>
      <c r="L712" s="26" t="n"/>
    </row>
    <row r="713">
      <c r="A713" s="11" t="n"/>
      <c r="B713" s="11" t="n"/>
      <c r="C713" s="10" t="n"/>
      <c r="D713" s="11" t="n"/>
      <c r="E713" s="10" t="n"/>
      <c r="F713" s="22" t="n"/>
      <c r="G713" s="24" t="n"/>
      <c r="H713" s="23" t="n"/>
      <c r="I713" s="25" t="n"/>
      <c r="J713" s="10">
        <f>IF(D713="","",IF(H713="✓","完了",IF(G713="","",IF(G713&lt;TODAY(),"期限超過",IF(G713=TODAY(),"今日まで","予定")))))</f>
        <v/>
      </c>
      <c r="K713" s="22" t="n"/>
      <c r="L713" s="26" t="n"/>
    </row>
    <row r="714">
      <c r="A714" s="11" t="n"/>
      <c r="B714" s="11" t="n"/>
      <c r="C714" s="10" t="n"/>
      <c r="D714" s="11" t="n"/>
      <c r="E714" s="10" t="n"/>
      <c r="F714" s="22" t="n"/>
      <c r="G714" s="24" t="n"/>
      <c r="H714" s="23" t="n"/>
      <c r="I714" s="25" t="n"/>
      <c r="J714" s="10">
        <f>IF(D714="","",IF(H714="✓","完了",IF(G714="","",IF(G714&lt;TODAY(),"期限超過",IF(G714=TODAY(),"今日まで","予定")))))</f>
        <v/>
      </c>
      <c r="K714" s="22" t="n"/>
      <c r="L714" s="26" t="n"/>
    </row>
    <row r="715">
      <c r="A715" s="11" t="n"/>
      <c r="B715" s="11" t="n"/>
      <c r="C715" s="10" t="n"/>
      <c r="D715" s="11" t="n"/>
      <c r="E715" s="10" t="n"/>
      <c r="F715" s="22" t="n"/>
      <c r="G715" s="24" t="n"/>
      <c r="H715" s="23" t="n"/>
      <c r="I715" s="25" t="n"/>
      <c r="J715" s="10">
        <f>IF(D715="","",IF(H715="✓","完了",IF(G715="","",IF(G715&lt;TODAY(),"期限超過",IF(G715=TODAY(),"今日まで","予定")))))</f>
        <v/>
      </c>
      <c r="K715" s="22" t="n"/>
      <c r="L715" s="26" t="n"/>
    </row>
    <row r="716">
      <c r="A716" s="11" t="n"/>
      <c r="B716" s="11" t="n"/>
      <c r="C716" s="10" t="n"/>
      <c r="D716" s="11" t="n"/>
      <c r="E716" s="10" t="n"/>
      <c r="F716" s="22" t="n"/>
      <c r="G716" s="24" t="n"/>
      <c r="H716" s="23" t="n"/>
      <c r="I716" s="25" t="n"/>
      <c r="J716" s="10">
        <f>IF(D716="","",IF(H716="✓","完了",IF(G716="","",IF(G716&lt;TODAY(),"期限超過",IF(G716=TODAY(),"今日まで","予定")))))</f>
        <v/>
      </c>
      <c r="K716" s="22" t="n"/>
      <c r="L716" s="26" t="n"/>
    </row>
    <row r="717">
      <c r="A717" s="11" t="n"/>
      <c r="B717" s="11" t="n"/>
      <c r="C717" s="10" t="n"/>
      <c r="D717" s="11" t="n"/>
      <c r="E717" s="10" t="n"/>
      <c r="F717" s="22" t="n"/>
      <c r="G717" s="24" t="n"/>
      <c r="H717" s="23" t="n"/>
      <c r="I717" s="25" t="n"/>
      <c r="J717" s="10">
        <f>IF(D717="","",IF(H717="✓","完了",IF(G717="","",IF(G717&lt;TODAY(),"期限超過",IF(G717=TODAY(),"今日まで","予定")))))</f>
        <v/>
      </c>
      <c r="K717" s="22" t="n"/>
      <c r="L717" s="26" t="n"/>
    </row>
    <row r="718">
      <c r="A718" s="11" t="n"/>
      <c r="B718" s="11" t="n"/>
      <c r="C718" s="10" t="n"/>
      <c r="D718" s="11" t="n"/>
      <c r="E718" s="10" t="n"/>
      <c r="F718" s="22" t="n"/>
      <c r="G718" s="24" t="n"/>
      <c r="H718" s="23" t="n"/>
      <c r="I718" s="25" t="n"/>
      <c r="J718" s="10">
        <f>IF(D718="","",IF(H718="✓","完了",IF(G718="","",IF(G718&lt;TODAY(),"期限超過",IF(G718=TODAY(),"今日まで","予定")))))</f>
        <v/>
      </c>
      <c r="K718" s="22" t="n"/>
      <c r="L718" s="26" t="n"/>
    </row>
    <row r="719">
      <c r="A719" s="11" t="n"/>
      <c r="B719" s="11" t="n"/>
      <c r="C719" s="10" t="n"/>
      <c r="D719" s="11" t="n"/>
      <c r="E719" s="10" t="n"/>
      <c r="F719" s="22" t="n"/>
      <c r="G719" s="24" t="n"/>
      <c r="H719" s="23" t="n"/>
      <c r="I719" s="25" t="n"/>
      <c r="J719" s="10">
        <f>IF(D719="","",IF(H719="✓","完了",IF(G719="","",IF(G719&lt;TODAY(),"期限超過",IF(G719=TODAY(),"今日まで","予定")))))</f>
        <v/>
      </c>
      <c r="K719" s="22" t="n"/>
      <c r="L719" s="26" t="n"/>
    </row>
    <row r="720">
      <c r="A720" s="11" t="n"/>
      <c r="B720" s="11" t="n"/>
      <c r="C720" s="10" t="n"/>
      <c r="D720" s="11" t="n"/>
      <c r="E720" s="10" t="n"/>
      <c r="F720" s="22" t="n"/>
      <c r="G720" s="24" t="n"/>
      <c r="H720" s="23" t="n"/>
      <c r="I720" s="25" t="n"/>
      <c r="J720" s="10">
        <f>IF(D720="","",IF(H720="✓","完了",IF(G720="","",IF(G720&lt;TODAY(),"期限超過",IF(G720=TODAY(),"今日まで","予定")))))</f>
        <v/>
      </c>
      <c r="K720" s="22" t="n"/>
      <c r="L720" s="26" t="n"/>
    </row>
    <row r="721">
      <c r="A721" s="11" t="n"/>
      <c r="B721" s="11" t="n"/>
      <c r="C721" s="10" t="n"/>
      <c r="D721" s="11" t="n"/>
      <c r="E721" s="10" t="n"/>
      <c r="F721" s="22" t="n"/>
      <c r="G721" s="24" t="n"/>
      <c r="H721" s="23" t="n"/>
      <c r="I721" s="25" t="n"/>
      <c r="J721" s="10">
        <f>IF(D721="","",IF(H721="✓","完了",IF(G721="","",IF(G721&lt;TODAY(),"期限超過",IF(G721=TODAY(),"今日まで","予定")))))</f>
        <v/>
      </c>
      <c r="K721" s="22" t="n"/>
      <c r="L721" s="26" t="n"/>
    </row>
    <row r="722">
      <c r="A722" s="11" t="n"/>
      <c r="B722" s="11" t="n"/>
      <c r="C722" s="10" t="n"/>
      <c r="D722" s="11" t="n"/>
      <c r="E722" s="10" t="n"/>
      <c r="F722" s="22" t="n"/>
      <c r="G722" s="24" t="n"/>
      <c r="H722" s="23" t="n"/>
      <c r="I722" s="25" t="n"/>
      <c r="J722" s="10">
        <f>IF(D722="","",IF(H722="✓","完了",IF(G722="","",IF(G722&lt;TODAY(),"期限超過",IF(G722=TODAY(),"今日まで","予定")))))</f>
        <v/>
      </c>
      <c r="K722" s="22" t="n"/>
      <c r="L722" s="26" t="n"/>
    </row>
    <row r="723">
      <c r="A723" s="11" t="n"/>
      <c r="B723" s="11" t="n"/>
      <c r="C723" s="10" t="n"/>
      <c r="D723" s="11" t="n"/>
      <c r="E723" s="10" t="n"/>
      <c r="F723" s="22" t="n"/>
      <c r="G723" s="24" t="n"/>
      <c r="H723" s="23" t="n"/>
      <c r="I723" s="25" t="n"/>
      <c r="J723" s="10">
        <f>IF(D723="","",IF(H723="✓","完了",IF(G723="","",IF(G723&lt;TODAY(),"期限超過",IF(G723=TODAY(),"今日まで","予定")))))</f>
        <v/>
      </c>
      <c r="K723" s="22" t="n"/>
      <c r="L723" s="26" t="n"/>
    </row>
    <row r="724">
      <c r="A724" s="11" t="n"/>
      <c r="B724" s="11" t="n"/>
      <c r="C724" s="10" t="n"/>
      <c r="D724" s="11" t="n"/>
      <c r="E724" s="10" t="n"/>
      <c r="F724" s="22" t="n"/>
      <c r="G724" s="24" t="n"/>
      <c r="H724" s="23" t="n"/>
      <c r="I724" s="25" t="n"/>
      <c r="J724" s="10">
        <f>IF(D724="","",IF(H724="✓","完了",IF(G724="","",IF(G724&lt;TODAY(),"期限超過",IF(G724=TODAY(),"今日まで","予定")))))</f>
        <v/>
      </c>
      <c r="K724" s="22" t="n"/>
      <c r="L724" s="26" t="n"/>
    </row>
    <row r="725">
      <c r="A725" s="11" t="n"/>
      <c r="B725" s="11" t="n"/>
      <c r="C725" s="10" t="n"/>
      <c r="D725" s="11" t="n"/>
      <c r="E725" s="10" t="n"/>
      <c r="F725" s="22" t="n"/>
      <c r="G725" s="24" t="n"/>
      <c r="H725" s="23" t="n"/>
      <c r="I725" s="25" t="n"/>
      <c r="J725" s="10">
        <f>IF(D725="","",IF(H725="✓","完了",IF(G725="","",IF(G725&lt;TODAY(),"期限超過",IF(G725=TODAY(),"今日まで","予定")))))</f>
        <v/>
      </c>
      <c r="K725" s="22" t="n"/>
      <c r="L725" s="26" t="n"/>
    </row>
    <row r="726">
      <c r="A726" s="11" t="n"/>
      <c r="B726" s="11" t="n"/>
      <c r="C726" s="10" t="n"/>
      <c r="D726" s="11" t="n"/>
      <c r="E726" s="10" t="n"/>
      <c r="F726" s="22" t="n"/>
      <c r="G726" s="24" t="n"/>
      <c r="H726" s="23" t="n"/>
      <c r="I726" s="25" t="n"/>
      <c r="J726" s="10">
        <f>IF(D726="","",IF(H726="✓","完了",IF(G726="","",IF(G726&lt;TODAY(),"期限超過",IF(G726=TODAY(),"今日まで","予定")))))</f>
        <v/>
      </c>
      <c r="K726" s="22" t="n"/>
      <c r="L726" s="26" t="n"/>
    </row>
    <row r="727">
      <c r="A727" s="11" t="n"/>
      <c r="B727" s="11" t="n"/>
      <c r="C727" s="10" t="n"/>
      <c r="D727" s="11" t="n"/>
      <c r="E727" s="10" t="n"/>
      <c r="F727" s="22" t="n"/>
      <c r="G727" s="24" t="n"/>
      <c r="H727" s="23" t="n"/>
      <c r="I727" s="25" t="n"/>
      <c r="J727" s="10">
        <f>IF(D727="","",IF(H727="✓","完了",IF(G727="","",IF(G727&lt;TODAY(),"期限超過",IF(G727=TODAY(),"今日まで","予定")))))</f>
        <v/>
      </c>
      <c r="K727" s="22" t="n"/>
      <c r="L727" s="26" t="n"/>
    </row>
    <row r="728">
      <c r="A728" s="11" t="n"/>
      <c r="B728" s="11" t="n"/>
      <c r="C728" s="10" t="n"/>
      <c r="D728" s="11" t="n"/>
      <c r="E728" s="10" t="n"/>
      <c r="F728" s="22" t="n"/>
      <c r="G728" s="24" t="n"/>
      <c r="H728" s="23" t="n"/>
      <c r="I728" s="25" t="n"/>
      <c r="J728" s="10">
        <f>IF(D728="","",IF(H728="✓","完了",IF(G728="","",IF(G728&lt;TODAY(),"期限超過",IF(G728=TODAY(),"今日まで","予定")))))</f>
        <v/>
      </c>
      <c r="K728" s="22" t="n"/>
      <c r="L728" s="26" t="n"/>
    </row>
    <row r="729">
      <c r="A729" s="11" t="n"/>
      <c r="B729" s="11" t="n"/>
      <c r="C729" s="10" t="n"/>
      <c r="D729" s="11" t="n"/>
      <c r="E729" s="10" t="n"/>
      <c r="F729" s="22" t="n"/>
      <c r="G729" s="24" t="n"/>
      <c r="H729" s="23" t="n"/>
      <c r="I729" s="25" t="n"/>
      <c r="J729" s="10">
        <f>IF(D729="","",IF(H729="✓","完了",IF(G729="","",IF(G729&lt;TODAY(),"期限超過",IF(G729=TODAY(),"今日まで","予定")))))</f>
        <v/>
      </c>
      <c r="K729" s="22" t="n"/>
      <c r="L729" s="26" t="n"/>
    </row>
    <row r="730">
      <c r="A730" s="11" t="n"/>
      <c r="B730" s="11" t="n"/>
      <c r="C730" s="10" t="n"/>
      <c r="D730" s="11" t="n"/>
      <c r="E730" s="10" t="n"/>
      <c r="F730" s="22" t="n"/>
      <c r="G730" s="24" t="n"/>
      <c r="H730" s="23" t="n"/>
      <c r="I730" s="25" t="n"/>
      <c r="J730" s="10">
        <f>IF(D730="","",IF(H730="✓","完了",IF(G730="","",IF(G730&lt;TODAY(),"期限超過",IF(G730=TODAY(),"今日まで","予定")))))</f>
        <v/>
      </c>
      <c r="K730" s="22" t="n"/>
      <c r="L730" s="26" t="n"/>
    </row>
    <row r="731">
      <c r="A731" s="11" t="n"/>
      <c r="B731" s="11" t="n"/>
      <c r="C731" s="10" t="n"/>
      <c r="D731" s="11" t="n"/>
      <c r="E731" s="10" t="n"/>
      <c r="F731" s="22" t="n"/>
      <c r="G731" s="24" t="n"/>
      <c r="H731" s="23" t="n"/>
      <c r="I731" s="25" t="n"/>
      <c r="J731" s="10">
        <f>IF(D731="","",IF(H731="✓","完了",IF(G731="","",IF(G731&lt;TODAY(),"期限超過",IF(G731=TODAY(),"今日まで","予定")))))</f>
        <v/>
      </c>
      <c r="K731" s="22" t="n"/>
      <c r="L731" s="26" t="n"/>
    </row>
    <row r="732">
      <c r="A732" s="11" t="n"/>
      <c r="B732" s="11" t="n"/>
      <c r="C732" s="10" t="n"/>
      <c r="D732" s="11" t="n"/>
      <c r="E732" s="10" t="n"/>
      <c r="F732" s="22" t="n"/>
      <c r="G732" s="24" t="n"/>
      <c r="H732" s="23" t="n"/>
      <c r="I732" s="25" t="n"/>
      <c r="J732" s="10">
        <f>IF(D732="","",IF(H732="✓","完了",IF(G732="","",IF(G732&lt;TODAY(),"期限超過",IF(G732=TODAY(),"今日まで","予定")))))</f>
        <v/>
      </c>
      <c r="K732" s="22" t="n"/>
      <c r="L732" s="26" t="n"/>
    </row>
    <row r="733">
      <c r="A733" s="11" t="n"/>
      <c r="B733" s="11" t="n"/>
      <c r="C733" s="10" t="n"/>
      <c r="D733" s="11" t="n"/>
      <c r="E733" s="10" t="n"/>
      <c r="F733" s="22" t="n"/>
      <c r="G733" s="24" t="n"/>
      <c r="H733" s="23" t="n"/>
      <c r="I733" s="25" t="n"/>
      <c r="J733" s="10">
        <f>IF(D733="","",IF(H733="✓","完了",IF(G733="","",IF(G733&lt;TODAY(),"期限超過",IF(G733=TODAY(),"今日まで","予定")))))</f>
        <v/>
      </c>
      <c r="K733" s="22" t="n"/>
      <c r="L733" s="26" t="n"/>
    </row>
    <row r="734">
      <c r="A734" s="11" t="n"/>
      <c r="B734" s="11" t="n"/>
      <c r="C734" s="10" t="n"/>
      <c r="D734" s="11" t="n"/>
      <c r="E734" s="10" t="n"/>
      <c r="F734" s="22" t="n"/>
      <c r="G734" s="24" t="n"/>
      <c r="H734" s="23" t="n"/>
      <c r="I734" s="25" t="n"/>
      <c r="J734" s="10">
        <f>IF(D734="","",IF(H734="✓","完了",IF(G734="","",IF(G734&lt;TODAY(),"期限超過",IF(G734=TODAY(),"今日まで","予定")))))</f>
        <v/>
      </c>
      <c r="K734" s="22" t="n"/>
      <c r="L734" s="26" t="n"/>
    </row>
    <row r="735">
      <c r="A735" s="11" t="n"/>
      <c r="B735" s="11" t="n"/>
      <c r="C735" s="10" t="n"/>
      <c r="D735" s="11" t="n"/>
      <c r="E735" s="10" t="n"/>
      <c r="F735" s="22" t="n"/>
      <c r="G735" s="24" t="n"/>
      <c r="H735" s="23" t="n"/>
      <c r="I735" s="25" t="n"/>
      <c r="J735" s="10">
        <f>IF(D735="","",IF(H735="✓","完了",IF(G735="","",IF(G735&lt;TODAY(),"期限超過",IF(G735=TODAY(),"今日まで","予定")))))</f>
        <v/>
      </c>
      <c r="K735" s="22" t="n"/>
      <c r="L735" s="26" t="n"/>
    </row>
    <row r="736">
      <c r="A736" s="11" t="n"/>
      <c r="B736" s="11" t="n"/>
      <c r="C736" s="10" t="n"/>
      <c r="D736" s="11" t="n"/>
      <c r="E736" s="10" t="n"/>
      <c r="F736" s="22" t="n"/>
      <c r="G736" s="24" t="n"/>
      <c r="H736" s="23" t="n"/>
      <c r="I736" s="25" t="n"/>
      <c r="J736" s="10">
        <f>IF(D736="","",IF(H736="✓","完了",IF(G736="","",IF(G736&lt;TODAY(),"期限超過",IF(G736=TODAY(),"今日まで","予定")))))</f>
        <v/>
      </c>
      <c r="K736" s="22" t="n"/>
      <c r="L736" s="26" t="n"/>
    </row>
    <row r="737">
      <c r="A737" s="11" t="n"/>
      <c r="B737" s="11" t="n"/>
      <c r="C737" s="10" t="n"/>
      <c r="D737" s="11" t="n"/>
      <c r="E737" s="10" t="n"/>
      <c r="F737" s="22" t="n"/>
      <c r="G737" s="24" t="n"/>
      <c r="H737" s="23" t="n"/>
      <c r="I737" s="25" t="n"/>
      <c r="J737" s="10">
        <f>IF(D737="","",IF(H737="✓","完了",IF(G737="","",IF(G737&lt;TODAY(),"期限超過",IF(G737=TODAY(),"今日まで","予定")))))</f>
        <v/>
      </c>
      <c r="K737" s="22" t="n"/>
      <c r="L737" s="26" t="n"/>
    </row>
    <row r="738">
      <c r="A738" s="11" t="n"/>
      <c r="B738" s="11" t="n"/>
      <c r="C738" s="10" t="n"/>
      <c r="D738" s="11" t="n"/>
      <c r="E738" s="10" t="n"/>
      <c r="F738" s="22" t="n"/>
      <c r="G738" s="24" t="n"/>
      <c r="H738" s="23" t="n"/>
      <c r="I738" s="25" t="n"/>
      <c r="J738" s="10">
        <f>IF(D738="","",IF(H738="✓","完了",IF(G738="","",IF(G738&lt;TODAY(),"期限超過",IF(G738=TODAY(),"今日まで","予定")))))</f>
        <v/>
      </c>
      <c r="K738" s="22" t="n"/>
      <c r="L738" s="26" t="n"/>
    </row>
    <row r="739">
      <c r="A739" s="11" t="n"/>
      <c r="B739" s="11" t="n"/>
      <c r="C739" s="10" t="n"/>
      <c r="D739" s="11" t="n"/>
      <c r="E739" s="10" t="n"/>
      <c r="F739" s="22" t="n"/>
      <c r="G739" s="24" t="n"/>
      <c r="H739" s="23" t="n"/>
      <c r="I739" s="25" t="n"/>
      <c r="J739" s="10">
        <f>IF(D739="","",IF(H739="✓","完了",IF(G739="","",IF(G739&lt;TODAY(),"期限超過",IF(G739=TODAY(),"今日まで","予定")))))</f>
        <v/>
      </c>
      <c r="K739" s="22" t="n"/>
      <c r="L739" s="26" t="n"/>
    </row>
    <row r="740">
      <c r="A740" s="11" t="n"/>
      <c r="B740" s="11" t="n"/>
      <c r="C740" s="10" t="n"/>
      <c r="D740" s="11" t="n"/>
      <c r="E740" s="10" t="n"/>
      <c r="F740" s="22" t="n"/>
      <c r="G740" s="24" t="n"/>
      <c r="H740" s="23" t="n"/>
      <c r="I740" s="25" t="n"/>
      <c r="J740" s="10">
        <f>IF(D740="","",IF(H740="✓","完了",IF(G740="","",IF(G740&lt;TODAY(),"期限超過",IF(G740=TODAY(),"今日まで","予定")))))</f>
        <v/>
      </c>
      <c r="K740" s="22" t="n"/>
      <c r="L740" s="26" t="n"/>
    </row>
    <row r="741">
      <c r="A741" s="11" t="n"/>
      <c r="B741" s="11" t="n"/>
      <c r="C741" s="10" t="n"/>
      <c r="D741" s="11" t="n"/>
      <c r="E741" s="10" t="n"/>
      <c r="F741" s="22" t="n"/>
      <c r="G741" s="24" t="n"/>
      <c r="H741" s="23" t="n"/>
      <c r="I741" s="25" t="n"/>
      <c r="J741" s="10">
        <f>IF(D741="","",IF(H741="✓","完了",IF(G741="","",IF(G741&lt;TODAY(),"期限超過",IF(G741=TODAY(),"今日まで","予定")))))</f>
        <v/>
      </c>
      <c r="K741" s="22" t="n"/>
      <c r="L741" s="26" t="n"/>
    </row>
    <row r="742">
      <c r="A742" s="11" t="n"/>
      <c r="B742" s="11" t="n"/>
      <c r="C742" s="10" t="n"/>
      <c r="D742" s="11" t="n"/>
      <c r="E742" s="10" t="n"/>
      <c r="F742" s="22" t="n"/>
      <c r="G742" s="24" t="n"/>
      <c r="H742" s="23" t="n"/>
      <c r="I742" s="25" t="n"/>
      <c r="J742" s="10">
        <f>IF(D742="","",IF(H742="✓","完了",IF(G742="","",IF(G742&lt;TODAY(),"期限超過",IF(G742=TODAY(),"今日まで","予定")))))</f>
        <v/>
      </c>
      <c r="K742" s="22" t="n"/>
      <c r="L742" s="26" t="n"/>
    </row>
    <row r="743">
      <c r="A743" s="11" t="n"/>
      <c r="B743" s="11" t="n"/>
      <c r="C743" s="10" t="n"/>
      <c r="D743" s="11" t="n"/>
      <c r="E743" s="10" t="n"/>
      <c r="F743" s="22" t="n"/>
      <c r="G743" s="24" t="n"/>
      <c r="H743" s="23" t="n"/>
      <c r="I743" s="25" t="n"/>
      <c r="J743" s="10">
        <f>IF(D743="","",IF(H743="✓","完了",IF(G743="","",IF(G743&lt;TODAY(),"期限超過",IF(G743=TODAY(),"今日まで","予定")))))</f>
        <v/>
      </c>
      <c r="K743" s="22" t="n"/>
      <c r="L743" s="26" t="n"/>
    </row>
    <row r="744">
      <c r="A744" s="11" t="n"/>
      <c r="B744" s="11" t="n"/>
      <c r="C744" s="10" t="n"/>
      <c r="D744" s="11" t="n"/>
      <c r="E744" s="10" t="n"/>
      <c r="F744" s="22" t="n"/>
      <c r="G744" s="24" t="n"/>
      <c r="H744" s="23" t="n"/>
      <c r="I744" s="25" t="n"/>
      <c r="J744" s="10">
        <f>IF(D744="","",IF(H744="✓","完了",IF(G744="","",IF(G744&lt;TODAY(),"期限超過",IF(G744=TODAY(),"今日まで","予定")))))</f>
        <v/>
      </c>
      <c r="K744" s="22" t="n"/>
      <c r="L744" s="26" t="n"/>
    </row>
    <row r="745">
      <c r="A745" s="11" t="n"/>
      <c r="B745" s="11" t="n"/>
      <c r="C745" s="10" t="n"/>
      <c r="D745" s="11" t="n"/>
      <c r="E745" s="10" t="n"/>
      <c r="F745" s="22" t="n"/>
      <c r="G745" s="24" t="n"/>
      <c r="H745" s="23" t="n"/>
      <c r="I745" s="25" t="n"/>
      <c r="J745" s="10">
        <f>IF(D745="","",IF(H745="✓","完了",IF(G745="","",IF(G745&lt;TODAY(),"期限超過",IF(G745=TODAY(),"今日まで","予定")))))</f>
        <v/>
      </c>
      <c r="K745" s="22" t="n"/>
      <c r="L745" s="26" t="n"/>
    </row>
    <row r="746">
      <c r="A746" s="11" t="n"/>
      <c r="B746" s="11" t="n"/>
      <c r="C746" s="10" t="n"/>
      <c r="D746" s="11" t="n"/>
      <c r="E746" s="10" t="n"/>
      <c r="F746" s="22" t="n"/>
      <c r="G746" s="24" t="n"/>
      <c r="H746" s="23" t="n"/>
      <c r="I746" s="25" t="n"/>
      <c r="J746" s="10">
        <f>IF(D746="","",IF(H746="✓","完了",IF(G746="","",IF(G746&lt;TODAY(),"期限超過",IF(G746=TODAY(),"今日まで","予定")))))</f>
        <v/>
      </c>
      <c r="K746" s="22" t="n"/>
      <c r="L746" s="26" t="n"/>
    </row>
    <row r="747">
      <c r="A747" s="11" t="n"/>
      <c r="B747" s="11" t="n"/>
      <c r="C747" s="10" t="n"/>
      <c r="D747" s="11" t="n"/>
      <c r="E747" s="10" t="n"/>
      <c r="F747" s="22" t="n"/>
      <c r="G747" s="24" t="n"/>
      <c r="H747" s="23" t="n"/>
      <c r="I747" s="25" t="n"/>
      <c r="J747" s="10">
        <f>IF(D747="","",IF(H747="✓","完了",IF(G747="","",IF(G747&lt;TODAY(),"期限超過",IF(G747=TODAY(),"今日まで","予定")))))</f>
        <v/>
      </c>
      <c r="K747" s="22" t="n"/>
      <c r="L747" s="26" t="n"/>
    </row>
    <row r="748">
      <c r="A748" s="11" t="n"/>
      <c r="B748" s="11" t="n"/>
      <c r="C748" s="10" t="n"/>
      <c r="D748" s="11" t="n"/>
      <c r="E748" s="10" t="n"/>
      <c r="F748" s="22" t="n"/>
      <c r="G748" s="24" t="n"/>
      <c r="H748" s="23" t="n"/>
      <c r="I748" s="25" t="n"/>
      <c r="J748" s="10">
        <f>IF(D748="","",IF(H748="✓","完了",IF(G748="","",IF(G748&lt;TODAY(),"期限超過",IF(G748=TODAY(),"今日まで","予定")))))</f>
        <v/>
      </c>
      <c r="K748" s="22" t="n"/>
      <c r="L748" s="26" t="n"/>
    </row>
    <row r="749">
      <c r="A749" s="11" t="n"/>
      <c r="B749" s="11" t="n"/>
      <c r="C749" s="10" t="n"/>
      <c r="D749" s="11" t="n"/>
      <c r="E749" s="10" t="n"/>
      <c r="F749" s="22" t="n"/>
      <c r="G749" s="24" t="n"/>
      <c r="H749" s="23" t="n"/>
      <c r="I749" s="25" t="n"/>
      <c r="J749" s="10">
        <f>IF(D749="","",IF(H749="✓","完了",IF(G749="","",IF(G749&lt;TODAY(),"期限超過",IF(G749=TODAY(),"今日まで","予定")))))</f>
        <v/>
      </c>
      <c r="K749" s="22" t="n"/>
      <c r="L749" s="26" t="n"/>
    </row>
    <row r="750">
      <c r="A750" s="11" t="n"/>
      <c r="B750" s="11" t="n"/>
      <c r="C750" s="10" t="n"/>
      <c r="D750" s="11" t="n"/>
      <c r="E750" s="10" t="n"/>
      <c r="F750" s="22" t="n"/>
      <c r="G750" s="24" t="n"/>
      <c r="H750" s="23" t="n"/>
      <c r="I750" s="25" t="n"/>
      <c r="J750" s="10">
        <f>IF(D750="","",IF(H750="✓","完了",IF(G750="","",IF(G750&lt;TODAY(),"期限超過",IF(G750=TODAY(),"今日まで","予定")))))</f>
        <v/>
      </c>
      <c r="K750" s="22" t="n"/>
      <c r="L750" s="26" t="n"/>
    </row>
    <row r="751">
      <c r="A751" s="11" t="n"/>
      <c r="B751" s="11" t="n"/>
      <c r="C751" s="10" t="n"/>
      <c r="D751" s="11" t="n"/>
      <c r="E751" s="10" t="n"/>
      <c r="F751" s="22" t="n"/>
      <c r="G751" s="24" t="n"/>
      <c r="H751" s="23" t="n"/>
      <c r="I751" s="25" t="n"/>
      <c r="J751" s="10">
        <f>IF(D751="","",IF(H751="✓","完了",IF(G751="","",IF(G751&lt;TODAY(),"期限超過",IF(G751=TODAY(),"今日まで","予定")))))</f>
        <v/>
      </c>
      <c r="K751" s="22" t="n"/>
      <c r="L751" s="26" t="n"/>
    </row>
    <row r="752">
      <c r="A752" s="11" t="n"/>
      <c r="B752" s="11" t="n"/>
      <c r="C752" s="10" t="n"/>
      <c r="D752" s="11" t="n"/>
      <c r="E752" s="10" t="n"/>
      <c r="F752" s="22" t="n"/>
      <c r="G752" s="24" t="n"/>
      <c r="H752" s="23" t="n"/>
      <c r="I752" s="25" t="n"/>
      <c r="J752" s="10">
        <f>IF(D752="","",IF(H752="✓","完了",IF(G752="","",IF(G752&lt;TODAY(),"期限超過",IF(G752=TODAY(),"今日まで","予定")))))</f>
        <v/>
      </c>
      <c r="K752" s="22" t="n"/>
      <c r="L752" s="26" t="n"/>
    </row>
    <row r="753">
      <c r="A753" s="11" t="n"/>
      <c r="B753" s="11" t="n"/>
      <c r="C753" s="10" t="n"/>
      <c r="D753" s="11" t="n"/>
      <c r="E753" s="10" t="n"/>
      <c r="F753" s="22" t="n"/>
      <c r="G753" s="24" t="n"/>
      <c r="H753" s="23" t="n"/>
      <c r="I753" s="25" t="n"/>
      <c r="J753" s="10">
        <f>IF(D753="","",IF(H753="✓","完了",IF(G753="","",IF(G753&lt;TODAY(),"期限超過",IF(G753=TODAY(),"今日まで","予定")))))</f>
        <v/>
      </c>
      <c r="K753" s="22" t="n"/>
      <c r="L753" s="26" t="n"/>
    </row>
    <row r="754">
      <c r="A754" s="11" t="n"/>
      <c r="B754" s="11" t="n"/>
      <c r="C754" s="10" t="n"/>
      <c r="D754" s="11" t="n"/>
      <c r="E754" s="10" t="n"/>
      <c r="F754" s="22" t="n"/>
      <c r="G754" s="24" t="n"/>
      <c r="H754" s="23" t="n"/>
      <c r="I754" s="25" t="n"/>
      <c r="J754" s="10">
        <f>IF(D754="","",IF(H754="✓","完了",IF(G754="","",IF(G754&lt;TODAY(),"期限超過",IF(G754=TODAY(),"今日まで","予定")))))</f>
        <v/>
      </c>
      <c r="K754" s="22" t="n"/>
      <c r="L754" s="26" t="n"/>
    </row>
    <row r="755">
      <c r="A755" s="11" t="n"/>
      <c r="B755" s="11" t="n"/>
      <c r="C755" s="10" t="n"/>
      <c r="D755" s="11" t="n"/>
      <c r="E755" s="10" t="n"/>
      <c r="F755" s="22" t="n"/>
      <c r="G755" s="24" t="n"/>
      <c r="H755" s="23" t="n"/>
      <c r="I755" s="25" t="n"/>
      <c r="J755" s="10">
        <f>IF(D755="","",IF(H755="✓","完了",IF(G755="","",IF(G755&lt;TODAY(),"期限超過",IF(G755=TODAY(),"今日まで","予定")))))</f>
        <v/>
      </c>
      <c r="K755" s="22" t="n"/>
      <c r="L755" s="26" t="n"/>
    </row>
    <row r="756">
      <c r="A756" s="11" t="n"/>
      <c r="B756" s="11" t="n"/>
      <c r="C756" s="10" t="n"/>
      <c r="D756" s="11" t="n"/>
      <c r="E756" s="10" t="n"/>
      <c r="F756" s="22" t="n"/>
      <c r="G756" s="24" t="n"/>
      <c r="H756" s="23" t="n"/>
      <c r="I756" s="25" t="n"/>
      <c r="J756" s="10">
        <f>IF(D756="","",IF(H756="✓","完了",IF(G756="","",IF(G756&lt;TODAY(),"期限超過",IF(G756=TODAY(),"今日まで","予定")))))</f>
        <v/>
      </c>
      <c r="K756" s="22" t="n"/>
      <c r="L756" s="26" t="n"/>
    </row>
    <row r="757">
      <c r="A757" s="11" t="n"/>
      <c r="B757" s="11" t="n"/>
      <c r="C757" s="10" t="n"/>
      <c r="D757" s="11" t="n"/>
      <c r="E757" s="10" t="n"/>
      <c r="F757" s="22" t="n"/>
      <c r="G757" s="24" t="n"/>
      <c r="H757" s="23" t="n"/>
      <c r="I757" s="25" t="n"/>
      <c r="J757" s="10">
        <f>IF(D757="","",IF(H757="✓","完了",IF(G757="","",IF(G757&lt;TODAY(),"期限超過",IF(G757=TODAY(),"今日まで","予定")))))</f>
        <v/>
      </c>
      <c r="K757" s="22" t="n"/>
      <c r="L757" s="26" t="n"/>
    </row>
    <row r="758">
      <c r="A758" s="11" t="n"/>
      <c r="B758" s="11" t="n"/>
      <c r="C758" s="10" t="n"/>
      <c r="D758" s="11" t="n"/>
      <c r="E758" s="10" t="n"/>
      <c r="F758" s="22" t="n"/>
      <c r="G758" s="24" t="n"/>
      <c r="H758" s="23" t="n"/>
      <c r="I758" s="25" t="n"/>
      <c r="J758" s="10">
        <f>IF(D758="","",IF(H758="✓","完了",IF(G758="","",IF(G758&lt;TODAY(),"期限超過",IF(G758=TODAY(),"今日まで","予定")))))</f>
        <v/>
      </c>
      <c r="K758" s="22" t="n"/>
      <c r="L758" s="26" t="n"/>
    </row>
    <row r="759">
      <c r="A759" s="11" t="n"/>
      <c r="B759" s="11" t="n"/>
      <c r="C759" s="10" t="n"/>
      <c r="D759" s="11" t="n"/>
      <c r="E759" s="10" t="n"/>
      <c r="F759" s="22" t="n"/>
      <c r="G759" s="24" t="n"/>
      <c r="H759" s="23" t="n"/>
      <c r="I759" s="25" t="n"/>
      <c r="J759" s="10">
        <f>IF(D759="","",IF(H759="✓","完了",IF(G759="","",IF(G759&lt;TODAY(),"期限超過",IF(G759=TODAY(),"今日まで","予定")))))</f>
        <v/>
      </c>
      <c r="K759" s="22" t="n"/>
      <c r="L759" s="26" t="n"/>
    </row>
    <row r="760">
      <c r="A760" s="11" t="n"/>
      <c r="B760" s="11" t="n"/>
      <c r="C760" s="10" t="n"/>
      <c r="D760" s="11" t="n"/>
      <c r="E760" s="10" t="n"/>
      <c r="F760" s="22" t="n"/>
      <c r="G760" s="24" t="n"/>
      <c r="H760" s="23" t="n"/>
      <c r="I760" s="25" t="n"/>
      <c r="J760" s="10">
        <f>IF(D760="","",IF(H760="✓","完了",IF(G760="","",IF(G760&lt;TODAY(),"期限超過",IF(G760=TODAY(),"今日まで","予定")))))</f>
        <v/>
      </c>
      <c r="K760" s="22" t="n"/>
      <c r="L760" s="26" t="n"/>
    </row>
    <row r="761">
      <c r="A761" s="11" t="n"/>
      <c r="B761" s="11" t="n"/>
      <c r="C761" s="10" t="n"/>
      <c r="D761" s="11" t="n"/>
      <c r="E761" s="10" t="n"/>
      <c r="F761" s="22" t="n"/>
      <c r="G761" s="24" t="n"/>
      <c r="H761" s="23" t="n"/>
      <c r="I761" s="25" t="n"/>
      <c r="J761" s="10">
        <f>IF(D761="","",IF(H761="✓","完了",IF(G761="","",IF(G761&lt;TODAY(),"期限超過",IF(G761=TODAY(),"今日まで","予定")))))</f>
        <v/>
      </c>
      <c r="K761" s="22" t="n"/>
      <c r="L761" s="26" t="n"/>
    </row>
    <row r="762">
      <c r="A762" s="11" t="n"/>
      <c r="B762" s="11" t="n"/>
      <c r="C762" s="10" t="n"/>
      <c r="D762" s="11" t="n"/>
      <c r="E762" s="10" t="n"/>
      <c r="F762" s="22" t="n"/>
      <c r="G762" s="24" t="n"/>
      <c r="H762" s="23" t="n"/>
      <c r="I762" s="25" t="n"/>
      <c r="J762" s="10">
        <f>IF(D762="","",IF(H762="✓","完了",IF(G762="","",IF(G762&lt;TODAY(),"期限超過",IF(G762=TODAY(),"今日まで","予定")))))</f>
        <v/>
      </c>
      <c r="K762" s="22" t="n"/>
      <c r="L762" s="26" t="n"/>
    </row>
    <row r="763">
      <c r="A763" s="11" t="n"/>
      <c r="B763" s="11" t="n"/>
      <c r="C763" s="10" t="n"/>
      <c r="D763" s="11" t="n"/>
      <c r="E763" s="10" t="n"/>
      <c r="F763" s="22" t="n"/>
      <c r="G763" s="24" t="n"/>
      <c r="H763" s="23" t="n"/>
      <c r="I763" s="25" t="n"/>
      <c r="J763" s="10">
        <f>IF(D763="","",IF(H763="✓","完了",IF(G763="","",IF(G763&lt;TODAY(),"期限超過",IF(G763=TODAY(),"今日まで","予定")))))</f>
        <v/>
      </c>
      <c r="K763" s="22" t="n"/>
      <c r="L763" s="26" t="n"/>
    </row>
    <row r="764">
      <c r="A764" s="11" t="n"/>
      <c r="B764" s="11" t="n"/>
      <c r="C764" s="10" t="n"/>
      <c r="D764" s="11" t="n"/>
      <c r="E764" s="10" t="n"/>
      <c r="F764" s="22" t="n"/>
      <c r="G764" s="24" t="n"/>
      <c r="H764" s="23" t="n"/>
      <c r="I764" s="25" t="n"/>
      <c r="J764" s="10">
        <f>IF(D764="","",IF(H764="✓","完了",IF(G764="","",IF(G764&lt;TODAY(),"期限超過",IF(G764=TODAY(),"今日まで","予定")))))</f>
        <v/>
      </c>
      <c r="K764" s="22" t="n"/>
      <c r="L764" s="26" t="n"/>
    </row>
    <row r="765">
      <c r="A765" s="11" t="n"/>
      <c r="B765" s="11" t="n"/>
      <c r="C765" s="10" t="n"/>
      <c r="D765" s="11" t="n"/>
      <c r="E765" s="10" t="n"/>
      <c r="F765" s="22" t="n"/>
      <c r="G765" s="24" t="n"/>
      <c r="H765" s="23" t="n"/>
      <c r="I765" s="25" t="n"/>
      <c r="J765" s="10">
        <f>IF(D765="","",IF(H765="✓","完了",IF(G765="","",IF(G765&lt;TODAY(),"期限超過",IF(G765=TODAY(),"今日まで","予定")))))</f>
        <v/>
      </c>
      <c r="K765" s="22" t="n"/>
      <c r="L765" s="26" t="n"/>
    </row>
    <row r="766">
      <c r="A766" s="11" t="n"/>
      <c r="B766" s="11" t="n"/>
      <c r="C766" s="10" t="n"/>
      <c r="D766" s="11" t="n"/>
      <c r="E766" s="10" t="n"/>
      <c r="F766" s="22" t="n"/>
      <c r="G766" s="24" t="n"/>
      <c r="H766" s="23" t="n"/>
      <c r="I766" s="25" t="n"/>
      <c r="J766" s="10">
        <f>IF(D766="","",IF(H766="✓","完了",IF(G766="","",IF(G766&lt;TODAY(),"期限超過",IF(G766=TODAY(),"今日まで","予定")))))</f>
        <v/>
      </c>
      <c r="K766" s="22" t="n"/>
      <c r="L766" s="26" t="n"/>
    </row>
    <row r="767">
      <c r="A767" s="11" t="n"/>
      <c r="B767" s="11" t="n"/>
      <c r="C767" s="10" t="n"/>
      <c r="D767" s="11" t="n"/>
      <c r="E767" s="10" t="n"/>
      <c r="F767" s="22" t="n"/>
      <c r="G767" s="24" t="n"/>
      <c r="H767" s="23" t="n"/>
      <c r="I767" s="25" t="n"/>
      <c r="J767" s="10">
        <f>IF(D767="","",IF(H767="✓","完了",IF(G767="","",IF(G767&lt;TODAY(),"期限超過",IF(G767=TODAY(),"今日まで","予定")))))</f>
        <v/>
      </c>
      <c r="K767" s="22" t="n"/>
      <c r="L767" s="26" t="n"/>
    </row>
    <row r="768">
      <c r="A768" s="11" t="n"/>
      <c r="B768" s="11" t="n"/>
      <c r="C768" s="10" t="n"/>
      <c r="D768" s="11" t="n"/>
      <c r="E768" s="10" t="n"/>
      <c r="F768" s="22" t="n"/>
      <c r="G768" s="24" t="n"/>
      <c r="H768" s="23" t="n"/>
      <c r="I768" s="25" t="n"/>
      <c r="J768" s="10">
        <f>IF(D768="","",IF(H768="✓","完了",IF(G768="","",IF(G768&lt;TODAY(),"期限超過",IF(G768=TODAY(),"今日まで","予定")))))</f>
        <v/>
      </c>
      <c r="K768" s="22" t="n"/>
      <c r="L768" s="26" t="n"/>
    </row>
    <row r="769">
      <c r="A769" s="11" t="n"/>
      <c r="B769" s="11" t="n"/>
      <c r="C769" s="10" t="n"/>
      <c r="D769" s="11" t="n"/>
      <c r="E769" s="10" t="n"/>
      <c r="F769" s="22" t="n"/>
      <c r="G769" s="24" t="n"/>
      <c r="H769" s="23" t="n"/>
      <c r="I769" s="25" t="n"/>
      <c r="J769" s="10">
        <f>IF(D769="","",IF(H769="✓","完了",IF(G769="","",IF(G769&lt;TODAY(),"期限超過",IF(G769=TODAY(),"今日まで","予定")))))</f>
        <v/>
      </c>
      <c r="K769" s="22" t="n"/>
      <c r="L769" s="26" t="n"/>
    </row>
    <row r="770">
      <c r="A770" s="11" t="n"/>
      <c r="B770" s="11" t="n"/>
      <c r="C770" s="10" t="n"/>
      <c r="D770" s="11" t="n"/>
      <c r="E770" s="10" t="n"/>
      <c r="F770" s="22" t="n"/>
      <c r="G770" s="24" t="n"/>
      <c r="H770" s="23" t="n"/>
      <c r="I770" s="25" t="n"/>
      <c r="J770" s="10">
        <f>IF(D770="","",IF(H770="✓","完了",IF(G770="","",IF(G770&lt;TODAY(),"期限超過",IF(G770=TODAY(),"今日まで","予定")))))</f>
        <v/>
      </c>
      <c r="K770" s="22" t="n"/>
      <c r="L770" s="26" t="n"/>
    </row>
    <row r="771">
      <c r="A771" s="11" t="n"/>
      <c r="B771" s="11" t="n"/>
      <c r="C771" s="10" t="n"/>
      <c r="D771" s="11" t="n"/>
      <c r="E771" s="10" t="n"/>
      <c r="F771" s="22" t="n"/>
      <c r="G771" s="24" t="n"/>
      <c r="H771" s="23" t="n"/>
      <c r="I771" s="25" t="n"/>
      <c r="J771" s="10">
        <f>IF(D771="","",IF(H771="✓","完了",IF(G771="","",IF(G771&lt;TODAY(),"期限超過",IF(G771=TODAY(),"今日まで","予定")))))</f>
        <v/>
      </c>
      <c r="K771" s="22" t="n"/>
      <c r="L771" s="26" t="n"/>
    </row>
    <row r="772">
      <c r="A772" s="11" t="n"/>
      <c r="B772" s="11" t="n"/>
      <c r="C772" s="10" t="n"/>
      <c r="D772" s="11" t="n"/>
      <c r="E772" s="10" t="n"/>
      <c r="F772" s="22" t="n"/>
      <c r="G772" s="24" t="n"/>
      <c r="H772" s="23" t="n"/>
      <c r="I772" s="25" t="n"/>
      <c r="J772" s="10">
        <f>IF(D772="","",IF(H772="✓","完了",IF(G772="","",IF(G772&lt;TODAY(),"期限超過",IF(G772=TODAY(),"今日まで","予定")))))</f>
        <v/>
      </c>
      <c r="K772" s="22" t="n"/>
      <c r="L772" s="26" t="n"/>
    </row>
    <row r="773">
      <c r="A773" s="11" t="n"/>
      <c r="B773" s="11" t="n"/>
      <c r="C773" s="10" t="n"/>
      <c r="D773" s="11" t="n"/>
      <c r="E773" s="10" t="n"/>
      <c r="F773" s="22" t="n"/>
      <c r="G773" s="24" t="n"/>
      <c r="H773" s="23" t="n"/>
      <c r="I773" s="25" t="n"/>
      <c r="J773" s="10">
        <f>IF(D773="","",IF(H773="✓","完了",IF(G773="","",IF(G773&lt;TODAY(),"期限超過",IF(G773=TODAY(),"今日まで","予定")))))</f>
        <v/>
      </c>
      <c r="K773" s="22" t="n"/>
      <c r="L773" s="26" t="n"/>
    </row>
    <row r="774">
      <c r="A774" s="11" t="n"/>
      <c r="B774" s="11" t="n"/>
      <c r="C774" s="10" t="n"/>
      <c r="D774" s="11" t="n"/>
      <c r="E774" s="10" t="n"/>
      <c r="F774" s="22" t="n"/>
      <c r="G774" s="24" t="n"/>
      <c r="H774" s="23" t="n"/>
      <c r="I774" s="25" t="n"/>
      <c r="J774" s="10">
        <f>IF(D774="","",IF(H774="✓","完了",IF(G774="","",IF(G774&lt;TODAY(),"期限超過",IF(G774=TODAY(),"今日まで","予定")))))</f>
        <v/>
      </c>
      <c r="K774" s="22" t="n"/>
      <c r="L774" s="26" t="n"/>
    </row>
    <row r="775">
      <c r="A775" s="11" t="n"/>
      <c r="B775" s="11" t="n"/>
      <c r="C775" s="10" t="n"/>
      <c r="D775" s="11" t="n"/>
      <c r="E775" s="10" t="n"/>
      <c r="F775" s="22" t="n"/>
      <c r="G775" s="24" t="n"/>
      <c r="H775" s="23" t="n"/>
      <c r="I775" s="25" t="n"/>
      <c r="J775" s="10">
        <f>IF(D775="","",IF(H775="✓","完了",IF(G775="","",IF(G775&lt;TODAY(),"期限超過",IF(G775=TODAY(),"今日まで","予定")))))</f>
        <v/>
      </c>
      <c r="K775" s="22" t="n"/>
      <c r="L775" s="26" t="n"/>
    </row>
    <row r="776">
      <c r="A776" s="11" t="n"/>
      <c r="B776" s="11" t="n"/>
      <c r="C776" s="10" t="n"/>
      <c r="D776" s="11" t="n"/>
      <c r="E776" s="10" t="n"/>
      <c r="F776" s="22" t="n"/>
      <c r="G776" s="24" t="n"/>
      <c r="H776" s="23" t="n"/>
      <c r="I776" s="25" t="n"/>
      <c r="J776" s="10">
        <f>IF(D776="","",IF(H776="✓","完了",IF(G776="","",IF(G776&lt;TODAY(),"期限超過",IF(G776=TODAY(),"今日まで","予定")))))</f>
        <v/>
      </c>
      <c r="K776" s="22" t="n"/>
      <c r="L776" s="26" t="n"/>
    </row>
    <row r="777">
      <c r="A777" s="11" t="n"/>
      <c r="B777" s="11" t="n"/>
      <c r="C777" s="10" t="n"/>
      <c r="D777" s="11" t="n"/>
      <c r="E777" s="10" t="n"/>
      <c r="F777" s="22" t="n"/>
      <c r="G777" s="24" t="n"/>
      <c r="H777" s="23" t="n"/>
      <c r="I777" s="25" t="n"/>
      <c r="J777" s="10">
        <f>IF(D777="","",IF(H777="✓","完了",IF(G777="","",IF(G777&lt;TODAY(),"期限超過",IF(G777=TODAY(),"今日まで","予定")))))</f>
        <v/>
      </c>
      <c r="K777" s="22" t="n"/>
      <c r="L777" s="26" t="n"/>
    </row>
    <row r="778">
      <c r="A778" s="11" t="n"/>
      <c r="B778" s="11" t="n"/>
      <c r="C778" s="10" t="n"/>
      <c r="D778" s="11" t="n"/>
      <c r="E778" s="10" t="n"/>
      <c r="F778" s="22" t="n"/>
      <c r="G778" s="24" t="n"/>
      <c r="H778" s="23" t="n"/>
      <c r="I778" s="25" t="n"/>
      <c r="J778" s="10">
        <f>IF(D778="","",IF(H778="✓","完了",IF(G778="","",IF(G778&lt;TODAY(),"期限超過",IF(G778=TODAY(),"今日まで","予定")))))</f>
        <v/>
      </c>
      <c r="K778" s="22" t="n"/>
      <c r="L778" s="26" t="n"/>
    </row>
    <row r="779">
      <c r="A779" s="11" t="n"/>
      <c r="B779" s="11" t="n"/>
      <c r="C779" s="10" t="n"/>
      <c r="D779" s="11" t="n"/>
      <c r="E779" s="10" t="n"/>
      <c r="F779" s="22" t="n"/>
      <c r="G779" s="24" t="n"/>
      <c r="H779" s="23" t="n"/>
      <c r="I779" s="25" t="n"/>
      <c r="J779" s="10">
        <f>IF(D779="","",IF(H779="✓","完了",IF(G779="","",IF(G779&lt;TODAY(),"期限超過",IF(G779=TODAY(),"今日まで","予定")))))</f>
        <v/>
      </c>
      <c r="K779" s="22" t="n"/>
      <c r="L779" s="26" t="n"/>
    </row>
    <row r="780">
      <c r="A780" s="11" t="n"/>
      <c r="B780" s="11" t="n"/>
      <c r="C780" s="10" t="n"/>
      <c r="D780" s="11" t="n"/>
      <c r="E780" s="10" t="n"/>
      <c r="F780" s="22" t="n"/>
      <c r="G780" s="24" t="n"/>
      <c r="H780" s="23" t="n"/>
      <c r="I780" s="25" t="n"/>
      <c r="J780" s="10">
        <f>IF(D780="","",IF(H780="✓","完了",IF(G780="","",IF(G780&lt;TODAY(),"期限超過",IF(G780=TODAY(),"今日まで","予定")))))</f>
        <v/>
      </c>
      <c r="K780" s="22" t="n"/>
      <c r="L780" s="26" t="n"/>
    </row>
    <row r="781">
      <c r="A781" s="11" t="n"/>
      <c r="B781" s="11" t="n"/>
      <c r="C781" s="10" t="n"/>
      <c r="D781" s="11" t="n"/>
      <c r="E781" s="10" t="n"/>
      <c r="F781" s="22" t="n"/>
      <c r="G781" s="24" t="n"/>
      <c r="H781" s="23" t="n"/>
      <c r="I781" s="25" t="n"/>
      <c r="J781" s="10">
        <f>IF(D781="","",IF(H781="✓","完了",IF(G781="","",IF(G781&lt;TODAY(),"期限超過",IF(G781=TODAY(),"今日まで","予定")))))</f>
        <v/>
      </c>
      <c r="K781" s="22" t="n"/>
      <c r="L781" s="26" t="n"/>
    </row>
    <row r="782">
      <c r="A782" s="11" t="n"/>
      <c r="B782" s="11" t="n"/>
      <c r="C782" s="10" t="n"/>
      <c r="D782" s="11" t="n"/>
      <c r="E782" s="10" t="n"/>
      <c r="F782" s="22" t="n"/>
      <c r="G782" s="24" t="n"/>
      <c r="H782" s="23" t="n"/>
      <c r="I782" s="25" t="n"/>
      <c r="J782" s="10">
        <f>IF(D782="","",IF(H782="✓","完了",IF(G782="","",IF(G782&lt;TODAY(),"期限超過",IF(G782=TODAY(),"今日まで","予定")))))</f>
        <v/>
      </c>
      <c r="K782" s="22" t="n"/>
      <c r="L782" s="26" t="n"/>
    </row>
    <row r="783">
      <c r="A783" s="11" t="n"/>
      <c r="B783" s="11" t="n"/>
      <c r="C783" s="10" t="n"/>
      <c r="D783" s="11" t="n"/>
      <c r="E783" s="10" t="n"/>
      <c r="F783" s="22" t="n"/>
      <c r="G783" s="24" t="n"/>
      <c r="H783" s="23" t="n"/>
      <c r="I783" s="25" t="n"/>
      <c r="J783" s="10">
        <f>IF(D783="","",IF(H783="✓","完了",IF(G783="","",IF(G783&lt;TODAY(),"期限超過",IF(G783=TODAY(),"今日まで","予定")))))</f>
        <v/>
      </c>
      <c r="K783" s="22" t="n"/>
      <c r="L783" s="26" t="n"/>
    </row>
    <row r="784">
      <c r="A784" s="11" t="n"/>
      <c r="B784" s="11" t="n"/>
      <c r="C784" s="10" t="n"/>
      <c r="D784" s="11" t="n"/>
      <c r="E784" s="10" t="n"/>
      <c r="F784" s="22" t="n"/>
      <c r="G784" s="24" t="n"/>
      <c r="H784" s="23" t="n"/>
      <c r="I784" s="25" t="n"/>
      <c r="J784" s="10">
        <f>IF(D784="","",IF(H784="✓","完了",IF(G784="","",IF(G784&lt;TODAY(),"期限超過",IF(G784=TODAY(),"今日まで","予定")))))</f>
        <v/>
      </c>
      <c r="K784" s="22" t="n"/>
      <c r="L784" s="26" t="n"/>
    </row>
    <row r="785">
      <c r="A785" s="11" t="n"/>
      <c r="B785" s="11" t="n"/>
      <c r="C785" s="10" t="n"/>
      <c r="D785" s="11" t="n"/>
      <c r="E785" s="10" t="n"/>
      <c r="F785" s="22" t="n"/>
      <c r="G785" s="24" t="n"/>
      <c r="H785" s="23" t="n"/>
      <c r="I785" s="25" t="n"/>
      <c r="J785" s="10">
        <f>IF(D785="","",IF(H785="✓","完了",IF(G785="","",IF(G785&lt;TODAY(),"期限超過",IF(G785=TODAY(),"今日まで","予定")))))</f>
        <v/>
      </c>
      <c r="K785" s="22" t="n"/>
      <c r="L785" s="26" t="n"/>
    </row>
    <row r="786">
      <c r="A786" s="11" t="n"/>
      <c r="B786" s="11" t="n"/>
      <c r="C786" s="10" t="n"/>
      <c r="D786" s="11" t="n"/>
      <c r="E786" s="10" t="n"/>
      <c r="F786" s="22" t="n"/>
      <c r="G786" s="24" t="n"/>
      <c r="H786" s="23" t="n"/>
      <c r="I786" s="25" t="n"/>
      <c r="J786" s="10">
        <f>IF(D786="","",IF(H786="✓","完了",IF(G786="","",IF(G786&lt;TODAY(),"期限超過",IF(G786=TODAY(),"今日まで","予定")))))</f>
        <v/>
      </c>
      <c r="K786" s="22" t="n"/>
      <c r="L786" s="26" t="n"/>
    </row>
    <row r="787">
      <c r="A787" s="11" t="n"/>
      <c r="B787" s="11" t="n"/>
      <c r="C787" s="10" t="n"/>
      <c r="D787" s="11" t="n"/>
      <c r="E787" s="10" t="n"/>
      <c r="F787" s="22" t="n"/>
      <c r="G787" s="24" t="n"/>
      <c r="H787" s="23" t="n"/>
      <c r="I787" s="25" t="n"/>
      <c r="J787" s="10">
        <f>IF(D787="","",IF(H787="✓","完了",IF(G787="","",IF(G787&lt;TODAY(),"期限超過",IF(G787=TODAY(),"今日まで","予定")))))</f>
        <v/>
      </c>
      <c r="K787" s="22" t="n"/>
      <c r="L787" s="26" t="n"/>
    </row>
    <row r="788">
      <c r="A788" s="11" t="n"/>
      <c r="B788" s="11" t="n"/>
      <c r="C788" s="10" t="n"/>
      <c r="D788" s="11" t="n"/>
      <c r="E788" s="10" t="n"/>
      <c r="F788" s="22" t="n"/>
      <c r="G788" s="24" t="n"/>
      <c r="H788" s="23" t="n"/>
      <c r="I788" s="25" t="n"/>
      <c r="J788" s="10">
        <f>IF(D788="","",IF(H788="✓","完了",IF(G788="","",IF(G788&lt;TODAY(),"期限超過",IF(G788=TODAY(),"今日まで","予定")))))</f>
        <v/>
      </c>
      <c r="K788" s="22" t="n"/>
      <c r="L788" s="26" t="n"/>
    </row>
    <row r="789">
      <c r="A789" s="11" t="n"/>
      <c r="B789" s="11" t="n"/>
      <c r="C789" s="10" t="n"/>
      <c r="D789" s="11" t="n"/>
      <c r="E789" s="10" t="n"/>
      <c r="F789" s="22" t="n"/>
      <c r="G789" s="24" t="n"/>
      <c r="H789" s="23" t="n"/>
      <c r="I789" s="25" t="n"/>
      <c r="J789" s="10">
        <f>IF(D789="","",IF(H789="✓","完了",IF(G789="","",IF(G789&lt;TODAY(),"期限超過",IF(G789=TODAY(),"今日まで","予定")))))</f>
        <v/>
      </c>
      <c r="K789" s="22" t="n"/>
      <c r="L789" s="26" t="n"/>
    </row>
    <row r="790">
      <c r="A790" s="11" t="n"/>
      <c r="B790" s="11" t="n"/>
      <c r="C790" s="10" t="n"/>
      <c r="D790" s="11" t="n"/>
      <c r="E790" s="10" t="n"/>
      <c r="F790" s="22" t="n"/>
      <c r="G790" s="24" t="n"/>
      <c r="H790" s="23" t="n"/>
      <c r="I790" s="25" t="n"/>
      <c r="J790" s="10">
        <f>IF(D790="","",IF(H790="✓","完了",IF(G790="","",IF(G790&lt;TODAY(),"期限超過",IF(G790=TODAY(),"今日まで","予定")))))</f>
        <v/>
      </c>
      <c r="K790" s="22" t="n"/>
      <c r="L790" s="26" t="n"/>
    </row>
    <row r="791">
      <c r="A791" s="11" t="n"/>
      <c r="B791" s="11" t="n"/>
      <c r="C791" s="10" t="n"/>
      <c r="D791" s="11" t="n"/>
      <c r="E791" s="10" t="n"/>
      <c r="F791" s="22" t="n"/>
      <c r="G791" s="24" t="n"/>
      <c r="H791" s="23" t="n"/>
      <c r="I791" s="25" t="n"/>
      <c r="J791" s="10">
        <f>IF(D791="","",IF(H791="✓","完了",IF(G791="","",IF(G791&lt;TODAY(),"期限超過",IF(G791=TODAY(),"今日まで","予定")))))</f>
        <v/>
      </c>
      <c r="K791" s="22" t="n"/>
      <c r="L791" s="26" t="n"/>
    </row>
    <row r="792">
      <c r="A792" s="11" t="n"/>
      <c r="B792" s="11" t="n"/>
      <c r="C792" s="10" t="n"/>
      <c r="D792" s="11" t="n"/>
      <c r="E792" s="10" t="n"/>
      <c r="F792" s="22" t="n"/>
      <c r="G792" s="24" t="n"/>
      <c r="H792" s="23" t="n"/>
      <c r="I792" s="25" t="n"/>
      <c r="J792" s="10">
        <f>IF(D792="","",IF(H792="✓","完了",IF(G792="","",IF(G792&lt;TODAY(),"期限超過",IF(G792=TODAY(),"今日まで","予定")))))</f>
        <v/>
      </c>
      <c r="K792" s="22" t="n"/>
      <c r="L792" s="26" t="n"/>
    </row>
    <row r="793">
      <c r="A793" s="11" t="n"/>
      <c r="B793" s="11" t="n"/>
      <c r="C793" s="10" t="n"/>
      <c r="D793" s="11" t="n"/>
      <c r="E793" s="10" t="n"/>
      <c r="F793" s="22" t="n"/>
      <c r="G793" s="24" t="n"/>
      <c r="H793" s="23" t="n"/>
      <c r="I793" s="25" t="n"/>
      <c r="J793" s="10">
        <f>IF(D793="","",IF(H793="✓","完了",IF(G793="","",IF(G793&lt;TODAY(),"期限超過",IF(G793=TODAY(),"今日まで","予定")))))</f>
        <v/>
      </c>
      <c r="K793" s="22" t="n"/>
      <c r="L793" s="26" t="n"/>
    </row>
    <row r="794">
      <c r="A794" s="11" t="n"/>
      <c r="B794" s="11" t="n"/>
      <c r="C794" s="10" t="n"/>
      <c r="D794" s="11" t="n"/>
      <c r="E794" s="10" t="n"/>
      <c r="F794" s="22" t="n"/>
      <c r="G794" s="24" t="n"/>
      <c r="H794" s="23" t="n"/>
      <c r="I794" s="25" t="n"/>
      <c r="J794" s="10">
        <f>IF(D794="","",IF(H794="✓","完了",IF(G794="","",IF(G794&lt;TODAY(),"期限超過",IF(G794=TODAY(),"今日まで","予定")))))</f>
        <v/>
      </c>
      <c r="K794" s="22" t="n"/>
      <c r="L794" s="26" t="n"/>
    </row>
    <row r="795">
      <c r="A795" s="11" t="n"/>
      <c r="B795" s="11" t="n"/>
      <c r="C795" s="10" t="n"/>
      <c r="D795" s="11" t="n"/>
      <c r="E795" s="10" t="n"/>
      <c r="F795" s="22" t="n"/>
      <c r="G795" s="24" t="n"/>
      <c r="H795" s="23" t="n"/>
      <c r="I795" s="25" t="n"/>
      <c r="J795" s="10">
        <f>IF(D795="","",IF(H795="✓","完了",IF(G795="","",IF(G795&lt;TODAY(),"期限超過",IF(G795=TODAY(),"今日まで","予定")))))</f>
        <v/>
      </c>
      <c r="K795" s="22" t="n"/>
      <c r="L795" s="26" t="n"/>
    </row>
    <row r="796">
      <c r="A796" s="11" t="n"/>
      <c r="B796" s="11" t="n"/>
      <c r="C796" s="10" t="n"/>
      <c r="D796" s="11" t="n"/>
      <c r="E796" s="10" t="n"/>
      <c r="F796" s="22" t="n"/>
      <c r="G796" s="24" t="n"/>
      <c r="H796" s="23" t="n"/>
      <c r="I796" s="25" t="n"/>
      <c r="J796" s="10">
        <f>IF(D796="","",IF(H796="✓","完了",IF(G796="","",IF(G796&lt;TODAY(),"期限超過",IF(G796=TODAY(),"今日まで","予定")))))</f>
        <v/>
      </c>
      <c r="K796" s="22" t="n"/>
      <c r="L796" s="26" t="n"/>
    </row>
    <row r="797">
      <c r="A797" s="11" t="n"/>
      <c r="B797" s="11" t="n"/>
      <c r="C797" s="10" t="n"/>
      <c r="D797" s="11" t="n"/>
      <c r="E797" s="10" t="n"/>
      <c r="F797" s="22" t="n"/>
      <c r="G797" s="24" t="n"/>
      <c r="H797" s="23" t="n"/>
      <c r="I797" s="25" t="n"/>
      <c r="J797" s="10">
        <f>IF(D797="","",IF(H797="✓","完了",IF(G797="","",IF(G797&lt;TODAY(),"期限超過",IF(G797=TODAY(),"今日まで","予定")))))</f>
        <v/>
      </c>
      <c r="K797" s="22" t="n"/>
      <c r="L797" s="26" t="n"/>
    </row>
    <row r="798">
      <c r="A798" s="11" t="n"/>
      <c r="B798" s="11" t="n"/>
      <c r="C798" s="10" t="n"/>
      <c r="D798" s="11" t="n"/>
      <c r="E798" s="10" t="n"/>
      <c r="F798" s="22" t="n"/>
      <c r="G798" s="24" t="n"/>
      <c r="H798" s="23" t="n"/>
      <c r="I798" s="25" t="n"/>
      <c r="J798" s="10">
        <f>IF(D798="","",IF(H798="✓","完了",IF(G798="","",IF(G798&lt;TODAY(),"期限超過",IF(G798=TODAY(),"今日まで","予定")))))</f>
        <v/>
      </c>
      <c r="K798" s="22" t="n"/>
      <c r="L798" s="26" t="n"/>
    </row>
    <row r="799">
      <c r="A799" s="11" t="n"/>
      <c r="B799" s="11" t="n"/>
      <c r="C799" s="10" t="n"/>
      <c r="D799" s="11" t="n"/>
      <c r="E799" s="10" t="n"/>
      <c r="F799" s="22" t="n"/>
      <c r="G799" s="24" t="n"/>
      <c r="H799" s="23" t="n"/>
      <c r="I799" s="25" t="n"/>
      <c r="J799" s="10">
        <f>IF(D799="","",IF(H799="✓","完了",IF(G799="","",IF(G799&lt;TODAY(),"期限超過",IF(G799=TODAY(),"今日まで","予定")))))</f>
        <v/>
      </c>
      <c r="K799" s="22" t="n"/>
      <c r="L799" s="26" t="n"/>
    </row>
    <row r="800">
      <c r="A800" s="11" t="n"/>
      <c r="B800" s="11" t="n"/>
      <c r="C800" s="10" t="n"/>
      <c r="D800" s="11" t="n"/>
      <c r="E800" s="10" t="n"/>
      <c r="F800" s="22" t="n"/>
      <c r="G800" s="24" t="n"/>
      <c r="H800" s="23" t="n"/>
      <c r="I800" s="25" t="n"/>
      <c r="J800" s="10">
        <f>IF(D800="","",IF(H800="✓","完了",IF(G800="","",IF(G800&lt;TODAY(),"期限超過",IF(G800=TODAY(),"今日まで","予定")))))</f>
        <v/>
      </c>
      <c r="K800" s="22" t="n"/>
      <c r="L800" s="26" t="n"/>
    </row>
    <row r="801">
      <c r="A801" s="11" t="n"/>
      <c r="B801" s="11" t="n"/>
      <c r="C801" s="10" t="n"/>
      <c r="D801" s="11" t="n"/>
      <c r="E801" s="10" t="n"/>
      <c r="F801" s="22" t="n"/>
      <c r="G801" s="24" t="n"/>
      <c r="H801" s="23" t="n"/>
      <c r="I801" s="25" t="n"/>
      <c r="J801" s="10">
        <f>IF(D801="","",IF(H801="✓","完了",IF(G801="","",IF(G801&lt;TODAY(),"期限超過",IF(G801=TODAY(),"今日まで","予定")))))</f>
        <v/>
      </c>
      <c r="K801" s="22" t="n"/>
      <c r="L801" s="26" t="n"/>
    </row>
    <row r="802">
      <c r="A802" s="11" t="n"/>
      <c r="B802" s="11" t="n"/>
      <c r="C802" s="10" t="n"/>
      <c r="D802" s="11" t="n"/>
      <c r="E802" s="10" t="n"/>
      <c r="F802" s="22" t="n"/>
      <c r="G802" s="24" t="n"/>
      <c r="H802" s="23" t="n"/>
      <c r="I802" s="25" t="n"/>
      <c r="J802" s="10">
        <f>IF(D802="","",IF(H802="✓","完了",IF(G802="","",IF(G802&lt;TODAY(),"期限超過",IF(G802=TODAY(),"今日まで","予定")))))</f>
        <v/>
      </c>
      <c r="K802" s="22" t="n"/>
      <c r="L802" s="26" t="n"/>
    </row>
    <row r="803">
      <c r="A803" s="11" t="n"/>
      <c r="B803" s="11" t="n"/>
      <c r="C803" s="10" t="n"/>
      <c r="D803" s="11" t="n"/>
      <c r="E803" s="10" t="n"/>
      <c r="F803" s="22" t="n"/>
      <c r="G803" s="24" t="n"/>
      <c r="H803" s="23" t="n"/>
      <c r="I803" s="25" t="n"/>
      <c r="J803" s="10">
        <f>IF(D803="","",IF(H803="✓","完了",IF(G803="","",IF(G803&lt;TODAY(),"期限超過",IF(G803=TODAY(),"今日まで","予定")))))</f>
        <v/>
      </c>
      <c r="K803" s="22" t="n"/>
      <c r="L803" s="26" t="n"/>
    </row>
    <row r="804">
      <c r="A804" s="11" t="n"/>
      <c r="B804" s="11" t="n"/>
      <c r="C804" s="10" t="n"/>
      <c r="D804" s="11" t="n"/>
      <c r="E804" s="10" t="n"/>
      <c r="F804" s="22" t="n"/>
      <c r="G804" s="24" t="n"/>
      <c r="H804" s="23" t="n"/>
      <c r="I804" s="25" t="n"/>
      <c r="J804" s="10">
        <f>IF(D804="","",IF(H804="✓","完了",IF(G804="","",IF(G804&lt;TODAY(),"期限超過",IF(G804=TODAY(),"今日まで","予定")))))</f>
        <v/>
      </c>
      <c r="K804" s="22" t="n"/>
      <c r="L804" s="26" t="n"/>
    </row>
    <row r="805">
      <c r="A805" s="11" t="n"/>
      <c r="B805" s="11" t="n"/>
      <c r="C805" s="10" t="n"/>
      <c r="D805" s="11" t="n"/>
      <c r="E805" s="10" t="n"/>
      <c r="F805" s="22" t="n"/>
      <c r="G805" s="24" t="n"/>
      <c r="H805" s="23" t="n"/>
      <c r="I805" s="25" t="n"/>
      <c r="J805" s="10">
        <f>IF(D805="","",IF(H805="✓","完了",IF(G805="","",IF(G805&lt;TODAY(),"期限超過",IF(G805=TODAY(),"今日まで","予定")))))</f>
        <v/>
      </c>
      <c r="K805" s="22" t="n"/>
      <c r="L805" s="26" t="n"/>
    </row>
    <row r="806">
      <c r="A806" s="11" t="n"/>
      <c r="B806" s="11" t="n"/>
      <c r="C806" s="10" t="n"/>
      <c r="D806" s="11" t="n"/>
      <c r="E806" s="10" t="n"/>
      <c r="F806" s="22" t="n"/>
      <c r="G806" s="24" t="n"/>
      <c r="H806" s="23" t="n"/>
      <c r="I806" s="25" t="n"/>
      <c r="J806" s="10">
        <f>IF(D806="","",IF(H806="✓","完了",IF(G806="","",IF(G806&lt;TODAY(),"期限超過",IF(G806=TODAY(),"今日まで","予定")))))</f>
        <v/>
      </c>
      <c r="K806" s="22" t="n"/>
      <c r="L806" s="26" t="n"/>
    </row>
    <row r="807">
      <c r="A807" s="11" t="n"/>
      <c r="B807" s="11" t="n"/>
      <c r="C807" s="10" t="n"/>
      <c r="D807" s="11" t="n"/>
      <c r="E807" s="10" t="n"/>
      <c r="F807" s="22" t="n"/>
      <c r="G807" s="24" t="n"/>
      <c r="H807" s="23" t="n"/>
      <c r="I807" s="25" t="n"/>
      <c r="J807" s="10">
        <f>IF(D807="","",IF(H807="✓","完了",IF(G807="","",IF(G807&lt;TODAY(),"期限超過",IF(G807=TODAY(),"今日まで","予定")))))</f>
        <v/>
      </c>
      <c r="K807" s="22" t="n"/>
      <c r="L807" s="26" t="n"/>
    </row>
    <row r="808">
      <c r="A808" s="11" t="n"/>
      <c r="B808" s="11" t="n"/>
      <c r="C808" s="10" t="n"/>
      <c r="D808" s="11" t="n"/>
      <c r="E808" s="10" t="n"/>
      <c r="F808" s="22" t="n"/>
      <c r="G808" s="24" t="n"/>
      <c r="H808" s="23" t="n"/>
      <c r="I808" s="25" t="n"/>
      <c r="J808" s="10">
        <f>IF(D808="","",IF(H808="✓","完了",IF(G808="","",IF(G808&lt;TODAY(),"期限超過",IF(G808=TODAY(),"今日まで","予定")))))</f>
        <v/>
      </c>
      <c r="K808" s="22" t="n"/>
      <c r="L808" s="26" t="n"/>
    </row>
    <row r="809">
      <c r="A809" s="11" t="n"/>
      <c r="B809" s="11" t="n"/>
      <c r="C809" s="10" t="n"/>
      <c r="D809" s="11" t="n"/>
      <c r="E809" s="10" t="n"/>
      <c r="F809" s="22" t="n"/>
      <c r="G809" s="24" t="n"/>
      <c r="H809" s="23" t="n"/>
      <c r="I809" s="25" t="n"/>
      <c r="J809" s="10">
        <f>IF(D809="","",IF(H809="✓","完了",IF(G809="","",IF(G809&lt;TODAY(),"期限超過",IF(G809=TODAY(),"今日まで","予定")))))</f>
        <v/>
      </c>
      <c r="K809" s="22" t="n"/>
      <c r="L809" s="26" t="n"/>
    </row>
    <row r="810">
      <c r="A810" s="11" t="n"/>
      <c r="B810" s="11" t="n"/>
      <c r="C810" s="10" t="n"/>
      <c r="D810" s="11" t="n"/>
      <c r="E810" s="10" t="n"/>
      <c r="F810" s="22" t="n"/>
      <c r="G810" s="24" t="n"/>
      <c r="H810" s="23" t="n"/>
      <c r="I810" s="25" t="n"/>
      <c r="J810" s="10">
        <f>IF(D810="","",IF(H810="✓","完了",IF(G810="","",IF(G810&lt;TODAY(),"期限超過",IF(G810=TODAY(),"今日まで","予定")))))</f>
        <v/>
      </c>
      <c r="K810" s="22" t="n"/>
      <c r="L810" s="26" t="n"/>
    </row>
    <row r="811">
      <c r="A811" s="11" t="n"/>
      <c r="B811" s="11" t="n"/>
      <c r="C811" s="10" t="n"/>
      <c r="D811" s="11" t="n"/>
      <c r="E811" s="10" t="n"/>
      <c r="F811" s="22" t="n"/>
      <c r="G811" s="24" t="n"/>
      <c r="H811" s="23" t="n"/>
      <c r="I811" s="25" t="n"/>
      <c r="J811" s="10">
        <f>IF(D811="","",IF(H811="✓","完了",IF(G811="","",IF(G811&lt;TODAY(),"期限超過",IF(G811=TODAY(),"今日まで","予定")))))</f>
        <v/>
      </c>
      <c r="K811" s="22" t="n"/>
      <c r="L811" s="26" t="n"/>
    </row>
    <row r="812">
      <c r="A812" s="11" t="n"/>
      <c r="B812" s="11" t="n"/>
      <c r="C812" s="10" t="n"/>
      <c r="D812" s="11" t="n"/>
      <c r="E812" s="10" t="n"/>
      <c r="F812" s="22" t="n"/>
      <c r="G812" s="24" t="n"/>
      <c r="H812" s="23" t="n"/>
      <c r="I812" s="25" t="n"/>
      <c r="J812" s="10">
        <f>IF(D812="","",IF(H812="✓","完了",IF(G812="","",IF(G812&lt;TODAY(),"期限超過",IF(G812=TODAY(),"今日まで","予定")))))</f>
        <v/>
      </c>
      <c r="K812" s="22" t="n"/>
      <c r="L812" s="26" t="n"/>
    </row>
    <row r="813">
      <c r="A813" s="11" t="n"/>
      <c r="B813" s="11" t="n"/>
      <c r="C813" s="10" t="n"/>
      <c r="D813" s="11" t="n"/>
      <c r="E813" s="10" t="n"/>
      <c r="F813" s="22" t="n"/>
      <c r="G813" s="24" t="n"/>
      <c r="H813" s="23" t="n"/>
      <c r="I813" s="25" t="n"/>
      <c r="J813" s="10">
        <f>IF(D813="","",IF(H813="✓","完了",IF(G813="","",IF(G813&lt;TODAY(),"期限超過",IF(G813=TODAY(),"今日まで","予定")))))</f>
        <v/>
      </c>
      <c r="K813" s="22" t="n"/>
      <c r="L813" s="26" t="n"/>
    </row>
    <row r="814">
      <c r="A814" s="11" t="n"/>
      <c r="B814" s="11" t="n"/>
      <c r="C814" s="10" t="n"/>
      <c r="D814" s="11" t="n"/>
      <c r="E814" s="10" t="n"/>
      <c r="F814" s="22" t="n"/>
      <c r="G814" s="24" t="n"/>
      <c r="H814" s="23" t="n"/>
      <c r="I814" s="25" t="n"/>
      <c r="J814" s="10">
        <f>IF(D814="","",IF(H814="✓","完了",IF(G814="","",IF(G814&lt;TODAY(),"期限超過",IF(G814=TODAY(),"今日まで","予定")))))</f>
        <v/>
      </c>
      <c r="K814" s="22" t="n"/>
      <c r="L814" s="26" t="n"/>
    </row>
    <row r="815">
      <c r="A815" s="11" t="n"/>
      <c r="B815" s="11" t="n"/>
      <c r="C815" s="10" t="n"/>
      <c r="D815" s="11" t="n"/>
      <c r="E815" s="10" t="n"/>
      <c r="F815" s="22" t="n"/>
      <c r="G815" s="24" t="n"/>
      <c r="H815" s="23" t="n"/>
      <c r="I815" s="25" t="n"/>
      <c r="J815" s="10">
        <f>IF(D815="","",IF(H815="✓","完了",IF(G815="","",IF(G815&lt;TODAY(),"期限超過",IF(G815=TODAY(),"今日まで","予定")))))</f>
        <v/>
      </c>
      <c r="K815" s="22" t="n"/>
      <c r="L815" s="26" t="n"/>
    </row>
    <row r="816">
      <c r="A816" s="11" t="n"/>
      <c r="B816" s="11" t="n"/>
      <c r="C816" s="10" t="n"/>
      <c r="D816" s="11" t="n"/>
      <c r="E816" s="10" t="n"/>
      <c r="F816" s="22" t="n"/>
      <c r="G816" s="24" t="n"/>
      <c r="H816" s="23" t="n"/>
      <c r="I816" s="25" t="n"/>
      <c r="J816" s="10">
        <f>IF(D816="","",IF(H816="✓","完了",IF(G816="","",IF(G816&lt;TODAY(),"期限超過",IF(G816=TODAY(),"今日まで","予定")))))</f>
        <v/>
      </c>
      <c r="K816" s="22" t="n"/>
      <c r="L816" s="26" t="n"/>
    </row>
    <row r="817">
      <c r="A817" s="11" t="n"/>
      <c r="B817" s="11" t="n"/>
      <c r="C817" s="10" t="n"/>
      <c r="D817" s="11" t="n"/>
      <c r="E817" s="10" t="n"/>
      <c r="F817" s="22" t="n"/>
      <c r="G817" s="24" t="n"/>
      <c r="H817" s="23" t="n"/>
      <c r="I817" s="25" t="n"/>
      <c r="J817" s="10">
        <f>IF(D817="","",IF(H817="✓","完了",IF(G817="","",IF(G817&lt;TODAY(),"期限超過",IF(G817=TODAY(),"今日まで","予定")))))</f>
        <v/>
      </c>
      <c r="K817" s="22" t="n"/>
      <c r="L817" s="26" t="n"/>
    </row>
    <row r="818">
      <c r="A818" s="11" t="n"/>
      <c r="B818" s="11" t="n"/>
      <c r="C818" s="10" t="n"/>
      <c r="D818" s="11" t="n"/>
      <c r="E818" s="10" t="n"/>
      <c r="F818" s="22" t="n"/>
      <c r="G818" s="24" t="n"/>
      <c r="H818" s="23" t="n"/>
      <c r="I818" s="25" t="n"/>
      <c r="J818" s="10">
        <f>IF(D818="","",IF(H818="✓","完了",IF(G818="","",IF(G818&lt;TODAY(),"期限超過",IF(G818=TODAY(),"今日まで","予定")))))</f>
        <v/>
      </c>
      <c r="K818" s="22" t="n"/>
      <c r="L818" s="26" t="n"/>
    </row>
    <row r="819">
      <c r="A819" s="11" t="n"/>
      <c r="B819" s="11" t="n"/>
      <c r="C819" s="10" t="n"/>
      <c r="D819" s="11" t="n"/>
      <c r="E819" s="10" t="n"/>
      <c r="F819" s="22" t="n"/>
      <c r="G819" s="24" t="n"/>
      <c r="H819" s="23" t="n"/>
      <c r="I819" s="25" t="n"/>
      <c r="J819" s="10">
        <f>IF(D819="","",IF(H819="✓","完了",IF(G819="","",IF(G819&lt;TODAY(),"期限超過",IF(G819=TODAY(),"今日まで","予定")))))</f>
        <v/>
      </c>
      <c r="K819" s="22" t="n"/>
      <c r="L819" s="26" t="n"/>
    </row>
    <row r="820">
      <c r="A820" s="11" t="n"/>
      <c r="B820" s="11" t="n"/>
      <c r="C820" s="10" t="n"/>
      <c r="D820" s="11" t="n"/>
      <c r="E820" s="10" t="n"/>
      <c r="F820" s="22" t="n"/>
      <c r="G820" s="24" t="n"/>
      <c r="H820" s="23" t="n"/>
      <c r="I820" s="25" t="n"/>
      <c r="J820" s="10">
        <f>IF(D820="","",IF(H820="✓","完了",IF(G820="","",IF(G820&lt;TODAY(),"期限超過",IF(G820=TODAY(),"今日まで","予定")))))</f>
        <v/>
      </c>
      <c r="K820" s="22" t="n"/>
      <c r="L820" s="26" t="n"/>
    </row>
    <row r="821">
      <c r="A821" s="11" t="n"/>
      <c r="B821" s="11" t="n"/>
      <c r="C821" s="10" t="n"/>
      <c r="D821" s="11" t="n"/>
      <c r="E821" s="10" t="n"/>
      <c r="F821" s="22" t="n"/>
      <c r="G821" s="24" t="n"/>
      <c r="H821" s="23" t="n"/>
      <c r="I821" s="25" t="n"/>
      <c r="J821" s="10">
        <f>IF(D821="","",IF(H821="✓","完了",IF(G821="","",IF(G821&lt;TODAY(),"期限超過",IF(G821=TODAY(),"今日まで","予定")))))</f>
        <v/>
      </c>
      <c r="K821" s="22" t="n"/>
      <c r="L821" s="26" t="n"/>
    </row>
    <row r="822">
      <c r="A822" s="11" t="n"/>
      <c r="B822" s="11" t="n"/>
      <c r="C822" s="10" t="n"/>
      <c r="D822" s="11" t="n"/>
      <c r="E822" s="10" t="n"/>
      <c r="F822" s="22" t="n"/>
      <c r="G822" s="24" t="n"/>
      <c r="H822" s="23" t="n"/>
      <c r="I822" s="25" t="n"/>
      <c r="J822" s="10">
        <f>IF(D822="","",IF(H822="✓","完了",IF(G822="","",IF(G822&lt;TODAY(),"期限超過",IF(G822=TODAY(),"今日まで","予定")))))</f>
        <v/>
      </c>
      <c r="K822" s="22" t="n"/>
      <c r="L822" s="26" t="n"/>
    </row>
    <row r="823">
      <c r="A823" s="11" t="n"/>
      <c r="B823" s="11" t="n"/>
      <c r="C823" s="10" t="n"/>
      <c r="D823" s="11" t="n"/>
      <c r="E823" s="10" t="n"/>
      <c r="F823" s="22" t="n"/>
      <c r="G823" s="24" t="n"/>
      <c r="H823" s="23" t="n"/>
      <c r="I823" s="25" t="n"/>
      <c r="J823" s="10">
        <f>IF(D823="","",IF(H823="✓","完了",IF(G823="","",IF(G823&lt;TODAY(),"期限超過",IF(G823=TODAY(),"今日まで","予定")))))</f>
        <v/>
      </c>
      <c r="K823" s="22" t="n"/>
      <c r="L823" s="26" t="n"/>
    </row>
    <row r="824">
      <c r="A824" s="11" t="n"/>
      <c r="B824" s="11" t="n"/>
      <c r="C824" s="10" t="n"/>
      <c r="D824" s="11" t="n"/>
      <c r="E824" s="10" t="n"/>
      <c r="F824" s="22" t="n"/>
      <c r="G824" s="24" t="n"/>
      <c r="H824" s="23" t="n"/>
      <c r="I824" s="25" t="n"/>
      <c r="J824" s="10">
        <f>IF(D824="","",IF(H824="✓","完了",IF(G824="","",IF(G824&lt;TODAY(),"期限超過",IF(G824=TODAY(),"今日まで","予定")))))</f>
        <v/>
      </c>
      <c r="K824" s="22" t="n"/>
      <c r="L824" s="26" t="n"/>
    </row>
    <row r="825">
      <c r="A825" s="11" t="n"/>
      <c r="B825" s="11" t="n"/>
      <c r="C825" s="10" t="n"/>
      <c r="D825" s="11" t="n"/>
      <c r="E825" s="10" t="n"/>
      <c r="F825" s="22" t="n"/>
      <c r="G825" s="24" t="n"/>
      <c r="H825" s="23" t="n"/>
      <c r="I825" s="25" t="n"/>
      <c r="J825" s="10">
        <f>IF(D825="","",IF(H825="✓","完了",IF(G825="","",IF(G825&lt;TODAY(),"期限超過",IF(G825=TODAY(),"今日まで","予定")))))</f>
        <v/>
      </c>
      <c r="K825" s="22" t="n"/>
      <c r="L825" s="26" t="n"/>
    </row>
    <row r="826">
      <c r="A826" s="11" t="n"/>
      <c r="B826" s="11" t="n"/>
      <c r="C826" s="10" t="n"/>
      <c r="D826" s="11" t="n"/>
      <c r="E826" s="10" t="n"/>
      <c r="F826" s="22" t="n"/>
      <c r="G826" s="24" t="n"/>
      <c r="H826" s="23" t="n"/>
      <c r="I826" s="25" t="n"/>
      <c r="J826" s="10">
        <f>IF(D826="","",IF(H826="✓","完了",IF(G826="","",IF(G826&lt;TODAY(),"期限超過",IF(G826=TODAY(),"今日まで","予定")))))</f>
        <v/>
      </c>
      <c r="K826" s="22" t="n"/>
      <c r="L826" s="26" t="n"/>
    </row>
    <row r="827">
      <c r="A827" s="11" t="n"/>
      <c r="B827" s="11" t="n"/>
      <c r="C827" s="10" t="n"/>
      <c r="D827" s="11" t="n"/>
      <c r="E827" s="10" t="n"/>
      <c r="F827" s="22" t="n"/>
      <c r="G827" s="24" t="n"/>
      <c r="H827" s="23" t="n"/>
      <c r="I827" s="25" t="n"/>
      <c r="J827" s="10">
        <f>IF(D827="","",IF(H827="✓","完了",IF(G827="","",IF(G827&lt;TODAY(),"期限超過",IF(G827=TODAY(),"今日まで","予定")))))</f>
        <v/>
      </c>
      <c r="K827" s="22" t="n"/>
      <c r="L827" s="26" t="n"/>
    </row>
    <row r="828">
      <c r="A828" s="11" t="n"/>
      <c r="B828" s="11" t="n"/>
      <c r="C828" s="10" t="n"/>
      <c r="D828" s="11" t="n"/>
      <c r="E828" s="10" t="n"/>
      <c r="F828" s="22" t="n"/>
      <c r="G828" s="24" t="n"/>
      <c r="H828" s="23" t="n"/>
      <c r="I828" s="25" t="n"/>
      <c r="J828" s="10">
        <f>IF(D828="","",IF(H828="✓","完了",IF(G828="","",IF(G828&lt;TODAY(),"期限超過",IF(G828=TODAY(),"今日まで","予定")))))</f>
        <v/>
      </c>
      <c r="K828" s="22" t="n"/>
      <c r="L828" s="26" t="n"/>
    </row>
    <row r="829">
      <c r="A829" s="11" t="n"/>
      <c r="B829" s="11" t="n"/>
      <c r="C829" s="10" t="n"/>
      <c r="D829" s="11" t="n"/>
      <c r="E829" s="10" t="n"/>
      <c r="F829" s="22" t="n"/>
      <c r="G829" s="24" t="n"/>
      <c r="H829" s="23" t="n"/>
      <c r="I829" s="25" t="n"/>
      <c r="J829" s="10">
        <f>IF(D829="","",IF(H829="✓","完了",IF(G829="","",IF(G829&lt;TODAY(),"期限超過",IF(G829=TODAY(),"今日まで","予定")))))</f>
        <v/>
      </c>
      <c r="K829" s="22" t="n"/>
      <c r="L829" s="26" t="n"/>
    </row>
    <row r="830">
      <c r="A830" s="11" t="n"/>
      <c r="B830" s="11" t="n"/>
      <c r="C830" s="10" t="n"/>
      <c r="D830" s="11" t="n"/>
      <c r="E830" s="10" t="n"/>
      <c r="F830" s="22" t="n"/>
      <c r="G830" s="24" t="n"/>
      <c r="H830" s="23" t="n"/>
      <c r="I830" s="25" t="n"/>
      <c r="J830" s="10">
        <f>IF(D830="","",IF(H830="✓","完了",IF(G830="","",IF(G830&lt;TODAY(),"期限超過",IF(G830=TODAY(),"今日まで","予定")))))</f>
        <v/>
      </c>
      <c r="K830" s="22" t="n"/>
      <c r="L830" s="26" t="n"/>
    </row>
    <row r="831">
      <c r="A831" s="11" t="n"/>
      <c r="B831" s="11" t="n"/>
      <c r="C831" s="10" t="n"/>
      <c r="D831" s="11" t="n"/>
      <c r="E831" s="10" t="n"/>
      <c r="F831" s="22" t="n"/>
      <c r="G831" s="24" t="n"/>
      <c r="H831" s="23" t="n"/>
      <c r="I831" s="25" t="n"/>
      <c r="J831" s="10">
        <f>IF(D831="","",IF(H831="✓","完了",IF(G831="","",IF(G831&lt;TODAY(),"期限超過",IF(G831=TODAY(),"今日まで","予定")))))</f>
        <v/>
      </c>
      <c r="K831" s="22" t="n"/>
      <c r="L831" s="26" t="n"/>
    </row>
    <row r="832">
      <c r="A832" s="11" t="n"/>
      <c r="B832" s="11" t="n"/>
      <c r="C832" s="10" t="n"/>
      <c r="D832" s="11" t="n"/>
      <c r="E832" s="10" t="n"/>
      <c r="F832" s="22" t="n"/>
      <c r="G832" s="24" t="n"/>
      <c r="H832" s="23" t="n"/>
      <c r="I832" s="25" t="n"/>
      <c r="J832" s="10">
        <f>IF(D832="","",IF(H832="✓","完了",IF(G832="","",IF(G832&lt;TODAY(),"期限超過",IF(G832=TODAY(),"今日まで","予定")))))</f>
        <v/>
      </c>
      <c r="K832" s="22" t="n"/>
      <c r="L832" s="26" t="n"/>
    </row>
    <row r="833">
      <c r="A833" s="11" t="n"/>
      <c r="B833" s="11" t="n"/>
      <c r="C833" s="10" t="n"/>
      <c r="D833" s="11" t="n"/>
      <c r="E833" s="10" t="n"/>
      <c r="F833" s="22" t="n"/>
      <c r="G833" s="24" t="n"/>
      <c r="H833" s="23" t="n"/>
      <c r="I833" s="25" t="n"/>
      <c r="J833" s="10">
        <f>IF(D833="","",IF(H833="✓","完了",IF(G833="","",IF(G833&lt;TODAY(),"期限超過",IF(G833=TODAY(),"今日まで","予定")))))</f>
        <v/>
      </c>
      <c r="K833" s="22" t="n"/>
      <c r="L833" s="26" t="n"/>
    </row>
    <row r="834">
      <c r="A834" s="11" t="n"/>
      <c r="B834" s="11" t="n"/>
      <c r="C834" s="10" t="n"/>
      <c r="D834" s="11" t="n"/>
      <c r="E834" s="10" t="n"/>
      <c r="F834" s="22" t="n"/>
      <c r="G834" s="24" t="n"/>
      <c r="H834" s="23" t="n"/>
      <c r="I834" s="25" t="n"/>
      <c r="J834" s="10">
        <f>IF(D834="","",IF(H834="✓","完了",IF(G834="","",IF(G834&lt;TODAY(),"期限超過",IF(G834=TODAY(),"今日まで","予定")))))</f>
        <v/>
      </c>
      <c r="K834" s="22" t="n"/>
      <c r="L834" s="26" t="n"/>
    </row>
    <row r="835">
      <c r="A835" s="11" t="n"/>
      <c r="B835" s="11" t="n"/>
      <c r="C835" s="10" t="n"/>
      <c r="D835" s="11" t="n"/>
      <c r="E835" s="10" t="n"/>
      <c r="F835" s="22" t="n"/>
      <c r="G835" s="24" t="n"/>
      <c r="H835" s="23" t="n"/>
      <c r="I835" s="25" t="n"/>
      <c r="J835" s="10">
        <f>IF(D835="","",IF(H835="✓","完了",IF(G835="","",IF(G835&lt;TODAY(),"期限超過",IF(G835=TODAY(),"今日まで","予定")))))</f>
        <v/>
      </c>
      <c r="K835" s="22" t="n"/>
      <c r="L835" s="26" t="n"/>
    </row>
    <row r="836">
      <c r="A836" s="11" t="n"/>
      <c r="B836" s="11" t="n"/>
      <c r="C836" s="10" t="n"/>
      <c r="D836" s="11" t="n"/>
      <c r="E836" s="10" t="n"/>
      <c r="F836" s="22" t="n"/>
      <c r="G836" s="24" t="n"/>
      <c r="H836" s="23" t="n"/>
      <c r="I836" s="25" t="n"/>
      <c r="J836" s="10">
        <f>IF(D836="","",IF(H836="✓","完了",IF(G836="","",IF(G836&lt;TODAY(),"期限超過",IF(G836=TODAY(),"今日まで","予定")))))</f>
        <v/>
      </c>
      <c r="K836" s="22" t="n"/>
      <c r="L836" s="26" t="n"/>
    </row>
    <row r="837">
      <c r="A837" s="11" t="n"/>
      <c r="B837" s="11" t="n"/>
      <c r="C837" s="10" t="n"/>
      <c r="D837" s="11" t="n"/>
      <c r="E837" s="10" t="n"/>
      <c r="F837" s="22" t="n"/>
      <c r="G837" s="24" t="n"/>
      <c r="H837" s="23" t="n"/>
      <c r="I837" s="25" t="n"/>
      <c r="J837" s="10">
        <f>IF(D837="","",IF(H837="✓","完了",IF(G837="","",IF(G837&lt;TODAY(),"期限超過",IF(G837=TODAY(),"今日まで","予定")))))</f>
        <v/>
      </c>
      <c r="K837" s="22" t="n"/>
      <c r="L837" s="26" t="n"/>
    </row>
    <row r="838">
      <c r="A838" s="11" t="n"/>
      <c r="B838" s="11" t="n"/>
      <c r="C838" s="10" t="n"/>
      <c r="D838" s="11" t="n"/>
      <c r="E838" s="10" t="n"/>
      <c r="F838" s="22" t="n"/>
      <c r="G838" s="24" t="n"/>
      <c r="H838" s="23" t="n"/>
      <c r="I838" s="25" t="n"/>
      <c r="J838" s="10">
        <f>IF(D838="","",IF(H838="✓","完了",IF(G838="","",IF(G838&lt;TODAY(),"期限超過",IF(G838=TODAY(),"今日まで","予定")))))</f>
        <v/>
      </c>
      <c r="K838" s="22" t="n"/>
      <c r="L838" s="26" t="n"/>
    </row>
    <row r="839">
      <c r="A839" s="11" t="n"/>
      <c r="B839" s="11" t="n"/>
      <c r="C839" s="10" t="n"/>
      <c r="D839" s="11" t="n"/>
      <c r="E839" s="10" t="n"/>
      <c r="F839" s="22" t="n"/>
      <c r="G839" s="24" t="n"/>
      <c r="H839" s="23" t="n"/>
      <c r="I839" s="25" t="n"/>
      <c r="J839" s="10">
        <f>IF(D839="","",IF(H839="✓","完了",IF(G839="","",IF(G839&lt;TODAY(),"期限超過",IF(G839=TODAY(),"今日まで","予定")))))</f>
        <v/>
      </c>
      <c r="K839" s="22" t="n"/>
      <c r="L839" s="26" t="n"/>
    </row>
    <row r="840">
      <c r="A840" s="11" t="n"/>
      <c r="B840" s="11" t="n"/>
      <c r="C840" s="10" t="n"/>
      <c r="D840" s="11" t="n"/>
      <c r="E840" s="10" t="n"/>
      <c r="F840" s="22" t="n"/>
      <c r="G840" s="24" t="n"/>
      <c r="H840" s="23" t="n"/>
      <c r="I840" s="25" t="n"/>
      <c r="J840" s="10">
        <f>IF(D840="","",IF(H840="✓","完了",IF(G840="","",IF(G840&lt;TODAY(),"期限超過",IF(G840=TODAY(),"今日まで","予定")))))</f>
        <v/>
      </c>
      <c r="K840" s="22" t="n"/>
      <c r="L840" s="26" t="n"/>
    </row>
    <row r="841">
      <c r="A841" s="11" t="n"/>
      <c r="B841" s="11" t="n"/>
      <c r="C841" s="10" t="n"/>
      <c r="D841" s="11" t="n"/>
      <c r="E841" s="10" t="n"/>
      <c r="F841" s="22" t="n"/>
      <c r="G841" s="24" t="n"/>
      <c r="H841" s="23" t="n"/>
      <c r="I841" s="25" t="n"/>
      <c r="J841" s="10">
        <f>IF(D841="","",IF(H841="✓","完了",IF(G841="","",IF(G841&lt;TODAY(),"期限超過",IF(G841=TODAY(),"今日まで","予定")))))</f>
        <v/>
      </c>
      <c r="K841" s="22" t="n"/>
      <c r="L841" s="26" t="n"/>
    </row>
    <row r="842">
      <c r="A842" s="11" t="n"/>
      <c r="B842" s="11" t="n"/>
      <c r="C842" s="10" t="n"/>
      <c r="D842" s="11" t="n"/>
      <c r="E842" s="10" t="n"/>
      <c r="F842" s="22" t="n"/>
      <c r="G842" s="24" t="n"/>
      <c r="H842" s="23" t="n"/>
      <c r="I842" s="25" t="n"/>
      <c r="J842" s="10">
        <f>IF(D842="","",IF(H842="✓","完了",IF(G842="","",IF(G842&lt;TODAY(),"期限超過",IF(G842=TODAY(),"今日まで","予定")))))</f>
        <v/>
      </c>
      <c r="K842" s="22" t="n"/>
      <c r="L842" s="26" t="n"/>
    </row>
    <row r="843">
      <c r="A843" s="11" t="n"/>
      <c r="B843" s="11" t="n"/>
      <c r="C843" s="10" t="n"/>
      <c r="D843" s="11" t="n"/>
      <c r="E843" s="10" t="n"/>
      <c r="F843" s="22" t="n"/>
      <c r="G843" s="24" t="n"/>
      <c r="H843" s="23" t="n"/>
      <c r="I843" s="25" t="n"/>
      <c r="J843" s="10">
        <f>IF(D843="","",IF(H843="✓","完了",IF(G843="","",IF(G843&lt;TODAY(),"期限超過",IF(G843=TODAY(),"今日まで","予定")))))</f>
        <v/>
      </c>
      <c r="K843" s="22" t="n"/>
      <c r="L843" s="26" t="n"/>
    </row>
    <row r="844">
      <c r="A844" s="11" t="n"/>
      <c r="B844" s="11" t="n"/>
      <c r="C844" s="10" t="n"/>
      <c r="D844" s="11" t="n"/>
      <c r="E844" s="10" t="n"/>
      <c r="F844" s="22" t="n"/>
      <c r="G844" s="24" t="n"/>
      <c r="H844" s="23" t="n"/>
      <c r="I844" s="25" t="n"/>
      <c r="J844" s="10">
        <f>IF(D844="","",IF(H844="✓","完了",IF(G844="","",IF(G844&lt;TODAY(),"期限超過",IF(G844=TODAY(),"今日まで","予定")))))</f>
        <v/>
      </c>
      <c r="K844" s="22" t="n"/>
      <c r="L844" s="26" t="n"/>
    </row>
    <row r="845">
      <c r="A845" s="11" t="n"/>
      <c r="B845" s="11" t="n"/>
      <c r="C845" s="10" t="n"/>
      <c r="D845" s="11" t="n"/>
      <c r="E845" s="10" t="n"/>
      <c r="F845" s="22" t="n"/>
      <c r="G845" s="24" t="n"/>
      <c r="H845" s="23" t="n"/>
      <c r="I845" s="25" t="n"/>
      <c r="J845" s="10">
        <f>IF(D845="","",IF(H845="✓","完了",IF(G845="","",IF(G845&lt;TODAY(),"期限超過",IF(G845=TODAY(),"今日まで","予定")))))</f>
        <v/>
      </c>
      <c r="K845" s="22" t="n"/>
      <c r="L845" s="26" t="n"/>
    </row>
    <row r="846">
      <c r="A846" s="11" t="n"/>
      <c r="B846" s="11" t="n"/>
      <c r="C846" s="10" t="n"/>
      <c r="D846" s="11" t="n"/>
      <c r="E846" s="10" t="n"/>
      <c r="F846" s="22" t="n"/>
      <c r="G846" s="24" t="n"/>
      <c r="H846" s="23" t="n"/>
      <c r="I846" s="25" t="n"/>
      <c r="J846" s="10">
        <f>IF(D846="","",IF(H846="✓","完了",IF(G846="","",IF(G846&lt;TODAY(),"期限超過",IF(G846=TODAY(),"今日まで","予定")))))</f>
        <v/>
      </c>
      <c r="K846" s="22" t="n"/>
      <c r="L846" s="26" t="n"/>
    </row>
    <row r="847">
      <c r="A847" s="11" t="n"/>
      <c r="B847" s="11" t="n"/>
      <c r="C847" s="10" t="n"/>
      <c r="D847" s="11" t="n"/>
      <c r="E847" s="10" t="n"/>
      <c r="F847" s="22" t="n"/>
      <c r="G847" s="24" t="n"/>
      <c r="H847" s="23" t="n"/>
      <c r="I847" s="25" t="n"/>
      <c r="J847" s="10">
        <f>IF(D847="","",IF(H847="✓","完了",IF(G847="","",IF(G847&lt;TODAY(),"期限超過",IF(G847=TODAY(),"今日まで","予定")))))</f>
        <v/>
      </c>
      <c r="K847" s="22" t="n"/>
      <c r="L847" s="26" t="n"/>
    </row>
    <row r="848">
      <c r="A848" s="11" t="n"/>
      <c r="B848" s="11" t="n"/>
      <c r="C848" s="10" t="n"/>
      <c r="D848" s="11" t="n"/>
      <c r="E848" s="10" t="n"/>
      <c r="F848" s="22" t="n"/>
      <c r="G848" s="24" t="n"/>
      <c r="H848" s="23" t="n"/>
      <c r="I848" s="25" t="n"/>
      <c r="J848" s="10">
        <f>IF(D848="","",IF(H848="✓","完了",IF(G848="","",IF(G848&lt;TODAY(),"期限超過",IF(G848=TODAY(),"今日まで","予定")))))</f>
        <v/>
      </c>
      <c r="K848" s="22" t="n"/>
      <c r="L848" s="26" t="n"/>
    </row>
    <row r="849">
      <c r="A849" s="11" t="n"/>
      <c r="B849" s="11" t="n"/>
      <c r="C849" s="10" t="n"/>
      <c r="D849" s="11" t="n"/>
      <c r="E849" s="10" t="n"/>
      <c r="F849" s="22" t="n"/>
      <c r="G849" s="24" t="n"/>
      <c r="H849" s="23" t="n"/>
      <c r="I849" s="25" t="n"/>
      <c r="J849" s="10">
        <f>IF(D849="","",IF(H849="✓","完了",IF(G849="","",IF(G849&lt;TODAY(),"期限超過",IF(G849=TODAY(),"今日まで","予定")))))</f>
        <v/>
      </c>
      <c r="K849" s="22" t="n"/>
      <c r="L849" s="26" t="n"/>
    </row>
    <row r="850">
      <c r="A850" s="11" t="n"/>
      <c r="B850" s="11" t="n"/>
      <c r="C850" s="10" t="n"/>
      <c r="D850" s="11" t="n"/>
      <c r="E850" s="10" t="n"/>
      <c r="F850" s="22" t="n"/>
      <c r="G850" s="24" t="n"/>
      <c r="H850" s="23" t="n"/>
      <c r="I850" s="25" t="n"/>
      <c r="J850" s="10">
        <f>IF(D850="","",IF(H850="✓","完了",IF(G850="","",IF(G850&lt;TODAY(),"期限超過",IF(G850=TODAY(),"今日まで","予定")))))</f>
        <v/>
      </c>
      <c r="K850" s="22" t="n"/>
      <c r="L850" s="26" t="n"/>
    </row>
    <row r="851">
      <c r="A851" s="11" t="n"/>
      <c r="B851" s="11" t="n"/>
      <c r="C851" s="10" t="n"/>
      <c r="D851" s="11" t="n"/>
      <c r="E851" s="10" t="n"/>
      <c r="F851" s="22" t="n"/>
      <c r="G851" s="24" t="n"/>
      <c r="H851" s="23" t="n"/>
      <c r="I851" s="25" t="n"/>
      <c r="J851" s="10">
        <f>IF(D851="","",IF(H851="✓","完了",IF(G851="","",IF(G851&lt;TODAY(),"期限超過",IF(G851=TODAY(),"今日まで","予定")))))</f>
        <v/>
      </c>
      <c r="K851" s="22" t="n"/>
      <c r="L851" s="26" t="n"/>
    </row>
    <row r="852">
      <c r="A852" s="11" t="n"/>
      <c r="B852" s="11" t="n"/>
      <c r="C852" s="10" t="n"/>
      <c r="D852" s="11" t="n"/>
      <c r="E852" s="10" t="n"/>
      <c r="F852" s="22" t="n"/>
      <c r="G852" s="24" t="n"/>
      <c r="H852" s="23" t="n"/>
      <c r="I852" s="25" t="n"/>
      <c r="J852" s="10">
        <f>IF(D852="","",IF(H852="✓","完了",IF(G852="","",IF(G852&lt;TODAY(),"期限超過",IF(G852=TODAY(),"今日まで","予定")))))</f>
        <v/>
      </c>
      <c r="K852" s="22" t="n"/>
      <c r="L852" s="26" t="n"/>
    </row>
    <row r="853">
      <c r="A853" s="11" t="n"/>
      <c r="B853" s="11" t="n"/>
      <c r="C853" s="10" t="n"/>
      <c r="D853" s="11" t="n"/>
      <c r="E853" s="10" t="n"/>
      <c r="F853" s="22" t="n"/>
      <c r="G853" s="24" t="n"/>
      <c r="H853" s="23" t="n"/>
      <c r="I853" s="25" t="n"/>
      <c r="J853" s="10">
        <f>IF(D853="","",IF(H853="✓","完了",IF(G853="","",IF(G853&lt;TODAY(),"期限超過",IF(G853=TODAY(),"今日まで","予定")))))</f>
        <v/>
      </c>
      <c r="K853" s="22" t="n"/>
      <c r="L853" s="26" t="n"/>
    </row>
    <row r="854">
      <c r="A854" s="11" t="n"/>
      <c r="B854" s="11" t="n"/>
      <c r="C854" s="10" t="n"/>
      <c r="D854" s="11" t="n"/>
      <c r="E854" s="10" t="n"/>
      <c r="F854" s="22" t="n"/>
      <c r="G854" s="24" t="n"/>
      <c r="H854" s="23" t="n"/>
      <c r="I854" s="25" t="n"/>
      <c r="J854" s="10">
        <f>IF(D854="","",IF(H854="✓","完了",IF(G854="","",IF(G854&lt;TODAY(),"期限超過",IF(G854=TODAY(),"今日まで","予定")))))</f>
        <v/>
      </c>
      <c r="K854" s="22" t="n"/>
      <c r="L854" s="26" t="n"/>
    </row>
    <row r="855">
      <c r="A855" s="11" t="n"/>
      <c r="B855" s="11" t="n"/>
      <c r="C855" s="10" t="n"/>
      <c r="D855" s="11" t="n"/>
      <c r="E855" s="10" t="n"/>
      <c r="F855" s="22" t="n"/>
      <c r="G855" s="24" t="n"/>
      <c r="H855" s="23" t="n"/>
      <c r="I855" s="25" t="n"/>
      <c r="J855" s="10">
        <f>IF(D855="","",IF(H855="✓","完了",IF(G855="","",IF(G855&lt;TODAY(),"期限超過",IF(G855=TODAY(),"今日まで","予定")))))</f>
        <v/>
      </c>
      <c r="K855" s="22" t="n"/>
      <c r="L855" s="26" t="n"/>
    </row>
    <row r="856">
      <c r="A856" s="11" t="n"/>
      <c r="B856" s="11" t="n"/>
      <c r="C856" s="10" t="n"/>
      <c r="D856" s="11" t="n"/>
      <c r="E856" s="10" t="n"/>
      <c r="F856" s="22" t="n"/>
      <c r="G856" s="24" t="n"/>
      <c r="H856" s="23" t="n"/>
      <c r="I856" s="25" t="n"/>
      <c r="J856" s="10">
        <f>IF(D856="","",IF(H856="✓","完了",IF(G856="","",IF(G856&lt;TODAY(),"期限超過",IF(G856=TODAY(),"今日まで","予定")))))</f>
        <v/>
      </c>
      <c r="K856" s="22" t="n"/>
      <c r="L856" s="26" t="n"/>
    </row>
    <row r="857">
      <c r="A857" s="11" t="n"/>
      <c r="B857" s="11" t="n"/>
      <c r="C857" s="10" t="n"/>
      <c r="D857" s="11" t="n"/>
      <c r="E857" s="10" t="n"/>
      <c r="F857" s="22" t="n"/>
      <c r="G857" s="24" t="n"/>
      <c r="H857" s="23" t="n"/>
      <c r="I857" s="25" t="n"/>
      <c r="J857" s="10">
        <f>IF(D857="","",IF(H857="✓","完了",IF(G857="","",IF(G857&lt;TODAY(),"期限超過",IF(G857=TODAY(),"今日まで","予定")))))</f>
        <v/>
      </c>
      <c r="K857" s="22" t="n"/>
      <c r="L857" s="26" t="n"/>
    </row>
    <row r="858">
      <c r="A858" s="11" t="n"/>
      <c r="B858" s="11" t="n"/>
      <c r="C858" s="10" t="n"/>
      <c r="D858" s="11" t="n"/>
      <c r="E858" s="10" t="n"/>
      <c r="F858" s="22" t="n"/>
      <c r="G858" s="24" t="n"/>
      <c r="H858" s="23" t="n"/>
      <c r="I858" s="25" t="n"/>
      <c r="J858" s="10">
        <f>IF(D858="","",IF(H858="✓","完了",IF(G858="","",IF(G858&lt;TODAY(),"期限超過",IF(G858=TODAY(),"今日まで","予定")))))</f>
        <v/>
      </c>
      <c r="K858" s="22" t="n"/>
      <c r="L858" s="26" t="n"/>
    </row>
    <row r="859">
      <c r="A859" s="11" t="n"/>
      <c r="B859" s="11" t="n"/>
      <c r="C859" s="10" t="n"/>
      <c r="D859" s="11" t="n"/>
      <c r="E859" s="10" t="n"/>
      <c r="F859" s="22" t="n"/>
      <c r="G859" s="24" t="n"/>
      <c r="H859" s="23" t="n"/>
      <c r="I859" s="25" t="n"/>
      <c r="J859" s="10">
        <f>IF(D859="","",IF(H859="✓","完了",IF(G859="","",IF(G859&lt;TODAY(),"期限超過",IF(G859=TODAY(),"今日まで","予定")))))</f>
        <v/>
      </c>
      <c r="K859" s="22" t="n"/>
      <c r="L859" s="26" t="n"/>
    </row>
    <row r="860">
      <c r="A860" s="11" t="n"/>
      <c r="B860" s="11" t="n"/>
      <c r="C860" s="10" t="n"/>
      <c r="D860" s="11" t="n"/>
      <c r="E860" s="10" t="n"/>
      <c r="F860" s="22" t="n"/>
      <c r="G860" s="24" t="n"/>
      <c r="H860" s="23" t="n"/>
      <c r="I860" s="25" t="n"/>
      <c r="J860" s="10">
        <f>IF(D860="","",IF(H860="✓","完了",IF(G860="","",IF(G860&lt;TODAY(),"期限超過",IF(G860=TODAY(),"今日まで","予定")))))</f>
        <v/>
      </c>
      <c r="K860" s="22" t="n"/>
      <c r="L860" s="26" t="n"/>
    </row>
    <row r="861">
      <c r="A861" s="11" t="n"/>
      <c r="B861" s="11" t="n"/>
      <c r="C861" s="10" t="n"/>
      <c r="D861" s="11" t="n"/>
      <c r="E861" s="10" t="n"/>
      <c r="F861" s="22" t="n"/>
      <c r="G861" s="24" t="n"/>
      <c r="H861" s="23" t="n"/>
      <c r="I861" s="25" t="n"/>
      <c r="J861" s="10">
        <f>IF(D861="","",IF(H861="✓","完了",IF(G861="","",IF(G861&lt;TODAY(),"期限超過",IF(G861=TODAY(),"今日まで","予定")))))</f>
        <v/>
      </c>
      <c r="K861" s="22" t="n"/>
      <c r="L861" s="26" t="n"/>
    </row>
    <row r="862">
      <c r="A862" s="11" t="n"/>
      <c r="B862" s="11" t="n"/>
      <c r="C862" s="10" t="n"/>
      <c r="D862" s="11" t="n"/>
      <c r="E862" s="10" t="n"/>
      <c r="F862" s="22" t="n"/>
      <c r="G862" s="24" t="n"/>
      <c r="H862" s="23" t="n"/>
      <c r="I862" s="25" t="n"/>
      <c r="J862" s="10">
        <f>IF(D862="","",IF(H862="✓","完了",IF(G862="","",IF(G862&lt;TODAY(),"期限超過",IF(G862=TODAY(),"今日まで","予定")))))</f>
        <v/>
      </c>
      <c r="K862" s="22" t="n"/>
      <c r="L862" s="26" t="n"/>
    </row>
    <row r="863">
      <c r="A863" s="11" t="n"/>
      <c r="B863" s="11" t="n"/>
      <c r="C863" s="10" t="n"/>
      <c r="D863" s="11" t="n"/>
      <c r="E863" s="10" t="n"/>
      <c r="F863" s="22" t="n"/>
      <c r="G863" s="24" t="n"/>
      <c r="H863" s="23" t="n"/>
      <c r="I863" s="25" t="n"/>
      <c r="J863" s="10">
        <f>IF(D863="","",IF(H863="✓","完了",IF(G863="","",IF(G863&lt;TODAY(),"期限超過",IF(G863=TODAY(),"今日まで","予定")))))</f>
        <v/>
      </c>
      <c r="K863" s="22" t="n"/>
      <c r="L863" s="26" t="n"/>
    </row>
    <row r="864">
      <c r="A864" s="11" t="n"/>
      <c r="B864" s="11" t="n"/>
      <c r="C864" s="10" t="n"/>
      <c r="D864" s="11" t="n"/>
      <c r="E864" s="10" t="n"/>
      <c r="F864" s="22" t="n"/>
      <c r="G864" s="24" t="n"/>
      <c r="H864" s="23" t="n"/>
      <c r="I864" s="25" t="n"/>
      <c r="J864" s="10">
        <f>IF(D864="","",IF(H864="✓","完了",IF(G864="","",IF(G864&lt;TODAY(),"期限超過",IF(G864=TODAY(),"今日まで","予定")))))</f>
        <v/>
      </c>
      <c r="K864" s="22" t="n"/>
      <c r="L864" s="26" t="n"/>
    </row>
    <row r="865">
      <c r="A865" s="11" t="n"/>
      <c r="B865" s="11" t="n"/>
      <c r="C865" s="10" t="n"/>
      <c r="D865" s="11" t="n"/>
      <c r="E865" s="10" t="n"/>
      <c r="F865" s="22" t="n"/>
      <c r="G865" s="24" t="n"/>
      <c r="H865" s="23" t="n"/>
      <c r="I865" s="25" t="n"/>
      <c r="J865" s="10">
        <f>IF(D865="","",IF(H865="✓","完了",IF(G865="","",IF(G865&lt;TODAY(),"期限超過",IF(G865=TODAY(),"今日まで","予定")))))</f>
        <v/>
      </c>
      <c r="K865" s="22" t="n"/>
      <c r="L865" s="26" t="n"/>
    </row>
    <row r="866">
      <c r="A866" s="11" t="n"/>
      <c r="B866" s="11" t="n"/>
      <c r="C866" s="10" t="n"/>
      <c r="D866" s="11" t="n"/>
      <c r="E866" s="10" t="n"/>
      <c r="F866" s="22" t="n"/>
      <c r="G866" s="24" t="n"/>
      <c r="H866" s="23" t="n"/>
      <c r="I866" s="25" t="n"/>
      <c r="J866" s="10">
        <f>IF(D866="","",IF(H866="✓","完了",IF(G866="","",IF(G866&lt;TODAY(),"期限超過",IF(G866=TODAY(),"今日まで","予定")))))</f>
        <v/>
      </c>
      <c r="K866" s="22" t="n"/>
      <c r="L866" s="26" t="n"/>
    </row>
    <row r="867">
      <c r="A867" s="11" t="n"/>
      <c r="B867" s="11" t="n"/>
      <c r="C867" s="10" t="n"/>
      <c r="D867" s="11" t="n"/>
      <c r="E867" s="10" t="n"/>
      <c r="F867" s="22" t="n"/>
      <c r="G867" s="24" t="n"/>
      <c r="H867" s="23" t="n"/>
      <c r="I867" s="25" t="n"/>
      <c r="J867" s="10">
        <f>IF(D867="","",IF(H867="✓","完了",IF(G867="","",IF(G867&lt;TODAY(),"期限超過",IF(G867=TODAY(),"今日まで","予定")))))</f>
        <v/>
      </c>
      <c r="K867" s="22" t="n"/>
      <c r="L867" s="26" t="n"/>
    </row>
    <row r="868">
      <c r="A868" s="11" t="n"/>
      <c r="B868" s="11" t="n"/>
      <c r="C868" s="10" t="n"/>
      <c r="D868" s="11" t="n"/>
      <c r="E868" s="10" t="n"/>
      <c r="F868" s="22" t="n"/>
      <c r="G868" s="24" t="n"/>
      <c r="H868" s="23" t="n"/>
      <c r="I868" s="25" t="n"/>
      <c r="J868" s="10">
        <f>IF(D868="","",IF(H868="✓","完了",IF(G868="","",IF(G868&lt;TODAY(),"期限超過",IF(G868=TODAY(),"今日まで","予定")))))</f>
        <v/>
      </c>
      <c r="K868" s="22" t="n"/>
      <c r="L868" s="26" t="n"/>
    </row>
    <row r="869">
      <c r="A869" s="11" t="n"/>
      <c r="B869" s="11" t="n"/>
      <c r="C869" s="10" t="n"/>
      <c r="D869" s="11" t="n"/>
      <c r="E869" s="10" t="n"/>
      <c r="F869" s="22" t="n"/>
      <c r="G869" s="24" t="n"/>
      <c r="H869" s="23" t="n"/>
      <c r="I869" s="25" t="n"/>
      <c r="J869" s="10">
        <f>IF(D869="","",IF(H869="✓","完了",IF(G869="","",IF(G869&lt;TODAY(),"期限超過",IF(G869=TODAY(),"今日まで","予定")))))</f>
        <v/>
      </c>
      <c r="K869" s="22" t="n"/>
      <c r="L869" s="26" t="n"/>
    </row>
    <row r="870">
      <c r="A870" s="11" t="n"/>
      <c r="B870" s="11" t="n"/>
      <c r="C870" s="10" t="n"/>
      <c r="D870" s="11" t="n"/>
      <c r="E870" s="10" t="n"/>
      <c r="F870" s="22" t="n"/>
      <c r="G870" s="24" t="n"/>
      <c r="H870" s="23" t="n"/>
      <c r="I870" s="25" t="n"/>
      <c r="J870" s="10">
        <f>IF(D870="","",IF(H870="✓","完了",IF(G870="","",IF(G870&lt;TODAY(),"期限超過",IF(G870=TODAY(),"今日まで","予定")))))</f>
        <v/>
      </c>
      <c r="K870" s="22" t="n"/>
      <c r="L870" s="26" t="n"/>
    </row>
    <row r="871">
      <c r="A871" s="11" t="n"/>
      <c r="B871" s="11" t="n"/>
      <c r="C871" s="10" t="n"/>
      <c r="D871" s="11" t="n"/>
      <c r="E871" s="10" t="n"/>
      <c r="F871" s="22" t="n"/>
      <c r="G871" s="24" t="n"/>
      <c r="H871" s="23" t="n"/>
      <c r="I871" s="25" t="n"/>
      <c r="J871" s="10">
        <f>IF(D871="","",IF(H871="✓","完了",IF(G871="","",IF(G871&lt;TODAY(),"期限超過",IF(G871=TODAY(),"今日まで","予定")))))</f>
        <v/>
      </c>
      <c r="K871" s="22" t="n"/>
      <c r="L871" s="26" t="n"/>
    </row>
    <row r="872">
      <c r="A872" s="11" t="n"/>
      <c r="B872" s="11" t="n"/>
      <c r="C872" s="10" t="n"/>
      <c r="D872" s="11" t="n"/>
      <c r="E872" s="10" t="n"/>
      <c r="F872" s="22" t="n"/>
      <c r="G872" s="24" t="n"/>
      <c r="H872" s="23" t="n"/>
      <c r="I872" s="25" t="n"/>
      <c r="J872" s="10">
        <f>IF(D872="","",IF(H872="✓","完了",IF(G872="","",IF(G872&lt;TODAY(),"期限超過",IF(G872=TODAY(),"今日まで","予定")))))</f>
        <v/>
      </c>
      <c r="K872" s="22" t="n"/>
      <c r="L872" s="26" t="n"/>
    </row>
    <row r="873">
      <c r="A873" s="11" t="n"/>
      <c r="B873" s="11" t="n"/>
      <c r="C873" s="10" t="n"/>
      <c r="D873" s="11" t="n"/>
      <c r="E873" s="10" t="n"/>
      <c r="F873" s="22" t="n"/>
      <c r="G873" s="24" t="n"/>
      <c r="H873" s="23" t="n"/>
      <c r="I873" s="25" t="n"/>
      <c r="J873" s="10">
        <f>IF(D873="","",IF(H873="✓","完了",IF(G873="","",IF(G873&lt;TODAY(),"期限超過",IF(G873=TODAY(),"今日まで","予定")))))</f>
        <v/>
      </c>
      <c r="K873" s="22" t="n"/>
      <c r="L873" s="26" t="n"/>
    </row>
    <row r="874">
      <c r="A874" s="11" t="n"/>
      <c r="B874" s="11" t="n"/>
      <c r="C874" s="10" t="n"/>
      <c r="D874" s="11" t="n"/>
      <c r="E874" s="10" t="n"/>
      <c r="F874" s="22" t="n"/>
      <c r="G874" s="24" t="n"/>
      <c r="H874" s="23" t="n"/>
      <c r="I874" s="25" t="n"/>
      <c r="J874" s="10">
        <f>IF(D874="","",IF(H874="✓","完了",IF(G874="","",IF(G874&lt;TODAY(),"期限超過",IF(G874=TODAY(),"今日まで","予定")))))</f>
        <v/>
      </c>
      <c r="K874" s="22" t="n"/>
      <c r="L874" s="26" t="n"/>
    </row>
    <row r="875">
      <c r="A875" s="11" t="n"/>
      <c r="B875" s="11" t="n"/>
      <c r="C875" s="10" t="n"/>
      <c r="D875" s="11" t="n"/>
      <c r="E875" s="10" t="n"/>
      <c r="F875" s="22" t="n"/>
      <c r="G875" s="24" t="n"/>
      <c r="H875" s="23" t="n"/>
      <c r="I875" s="25" t="n"/>
      <c r="J875" s="10">
        <f>IF(D875="","",IF(H875="✓","完了",IF(G875="","",IF(G875&lt;TODAY(),"期限超過",IF(G875=TODAY(),"今日まで","予定")))))</f>
        <v/>
      </c>
      <c r="K875" s="22" t="n"/>
      <c r="L875" s="26" t="n"/>
    </row>
    <row r="876">
      <c r="A876" s="11" t="n"/>
      <c r="B876" s="11" t="n"/>
      <c r="C876" s="10" t="n"/>
      <c r="D876" s="11" t="n"/>
      <c r="E876" s="10" t="n"/>
      <c r="F876" s="22" t="n"/>
      <c r="G876" s="24" t="n"/>
      <c r="H876" s="23" t="n"/>
      <c r="I876" s="25" t="n"/>
      <c r="J876" s="10">
        <f>IF(D876="","",IF(H876="✓","完了",IF(G876="","",IF(G876&lt;TODAY(),"期限超過",IF(G876=TODAY(),"今日まで","予定")))))</f>
        <v/>
      </c>
      <c r="K876" s="22" t="n"/>
      <c r="L876" s="26" t="n"/>
    </row>
    <row r="877">
      <c r="A877" s="11" t="n"/>
      <c r="B877" s="11" t="n"/>
      <c r="C877" s="10" t="n"/>
      <c r="D877" s="11" t="n"/>
      <c r="E877" s="10" t="n"/>
      <c r="F877" s="22" t="n"/>
      <c r="G877" s="24" t="n"/>
      <c r="H877" s="23" t="n"/>
      <c r="I877" s="25" t="n"/>
      <c r="J877" s="10">
        <f>IF(D877="","",IF(H877="✓","完了",IF(G877="","",IF(G877&lt;TODAY(),"期限超過",IF(G877=TODAY(),"今日まで","予定")))))</f>
        <v/>
      </c>
      <c r="K877" s="22" t="n"/>
      <c r="L877" s="26" t="n"/>
    </row>
    <row r="878">
      <c r="A878" s="11" t="n"/>
      <c r="B878" s="11" t="n"/>
      <c r="C878" s="10" t="n"/>
      <c r="D878" s="11" t="n"/>
      <c r="E878" s="10" t="n"/>
      <c r="F878" s="22" t="n"/>
      <c r="G878" s="24" t="n"/>
      <c r="H878" s="23" t="n"/>
      <c r="I878" s="25" t="n"/>
      <c r="J878" s="10">
        <f>IF(D878="","",IF(H878="✓","完了",IF(G878="","",IF(G878&lt;TODAY(),"期限超過",IF(G878=TODAY(),"今日まで","予定")))))</f>
        <v/>
      </c>
      <c r="K878" s="22" t="n"/>
      <c r="L878" s="26" t="n"/>
    </row>
    <row r="879">
      <c r="A879" s="11" t="n"/>
      <c r="B879" s="11" t="n"/>
      <c r="C879" s="10" t="n"/>
      <c r="D879" s="11" t="n"/>
      <c r="E879" s="10" t="n"/>
      <c r="F879" s="22" t="n"/>
      <c r="G879" s="24" t="n"/>
      <c r="H879" s="23" t="n"/>
      <c r="I879" s="25" t="n"/>
      <c r="J879" s="10">
        <f>IF(D879="","",IF(H879="✓","完了",IF(G879="","",IF(G879&lt;TODAY(),"期限超過",IF(G879=TODAY(),"今日まで","予定")))))</f>
        <v/>
      </c>
      <c r="K879" s="22" t="n"/>
      <c r="L879" s="26" t="n"/>
    </row>
    <row r="880">
      <c r="A880" s="11" t="n"/>
      <c r="B880" s="11" t="n"/>
      <c r="C880" s="10" t="n"/>
      <c r="D880" s="11" t="n"/>
      <c r="E880" s="10" t="n"/>
      <c r="F880" s="22" t="n"/>
      <c r="G880" s="24" t="n"/>
      <c r="H880" s="23" t="n"/>
      <c r="I880" s="25" t="n"/>
      <c r="J880" s="10">
        <f>IF(D880="","",IF(H880="✓","完了",IF(G880="","",IF(G880&lt;TODAY(),"期限超過",IF(G880=TODAY(),"今日まで","予定")))))</f>
        <v/>
      </c>
      <c r="K880" s="22" t="n"/>
      <c r="L880" s="26" t="n"/>
    </row>
    <row r="881">
      <c r="A881" s="11" t="n"/>
      <c r="B881" s="11" t="n"/>
      <c r="C881" s="10" t="n"/>
      <c r="D881" s="11" t="n"/>
      <c r="E881" s="10" t="n"/>
      <c r="F881" s="22" t="n"/>
      <c r="G881" s="24" t="n"/>
      <c r="H881" s="23" t="n"/>
      <c r="I881" s="25" t="n"/>
      <c r="J881" s="10">
        <f>IF(D881="","",IF(H881="✓","完了",IF(G881="","",IF(G881&lt;TODAY(),"期限超過",IF(G881=TODAY(),"今日まで","予定")))))</f>
        <v/>
      </c>
      <c r="K881" s="22" t="n"/>
      <c r="L881" s="26" t="n"/>
    </row>
    <row r="882">
      <c r="A882" s="11" t="n"/>
      <c r="B882" s="11" t="n"/>
      <c r="C882" s="10" t="n"/>
      <c r="D882" s="11" t="n"/>
      <c r="E882" s="10" t="n"/>
      <c r="F882" s="22" t="n"/>
      <c r="G882" s="24" t="n"/>
      <c r="H882" s="23" t="n"/>
      <c r="I882" s="25" t="n"/>
      <c r="J882" s="10">
        <f>IF(D882="","",IF(H882="✓","完了",IF(G882="","",IF(G882&lt;TODAY(),"期限超過",IF(G882=TODAY(),"今日まで","予定")))))</f>
        <v/>
      </c>
      <c r="K882" s="22" t="n"/>
      <c r="L882" s="26" t="n"/>
    </row>
    <row r="883">
      <c r="A883" s="11" t="n"/>
      <c r="B883" s="11" t="n"/>
      <c r="C883" s="10" t="n"/>
      <c r="D883" s="11" t="n"/>
      <c r="E883" s="10" t="n"/>
      <c r="F883" s="22" t="n"/>
      <c r="G883" s="24" t="n"/>
      <c r="H883" s="23" t="n"/>
      <c r="I883" s="25" t="n"/>
      <c r="J883" s="10">
        <f>IF(D883="","",IF(H883="✓","完了",IF(G883="","",IF(G883&lt;TODAY(),"期限超過",IF(G883=TODAY(),"今日まで","予定")))))</f>
        <v/>
      </c>
      <c r="K883" s="22" t="n"/>
      <c r="L883" s="26" t="n"/>
    </row>
    <row r="884">
      <c r="A884" s="11" t="n"/>
      <c r="B884" s="11" t="n"/>
      <c r="C884" s="10" t="n"/>
      <c r="D884" s="11" t="n"/>
      <c r="E884" s="10" t="n"/>
      <c r="F884" s="22" t="n"/>
      <c r="G884" s="24" t="n"/>
      <c r="H884" s="23" t="n"/>
      <c r="I884" s="25" t="n"/>
      <c r="J884" s="10">
        <f>IF(D884="","",IF(H884="✓","完了",IF(G884="","",IF(G884&lt;TODAY(),"期限超過",IF(G884=TODAY(),"今日まで","予定")))))</f>
        <v/>
      </c>
      <c r="K884" s="22" t="n"/>
      <c r="L884" s="26" t="n"/>
    </row>
    <row r="885">
      <c r="A885" s="11" t="n"/>
      <c r="B885" s="11" t="n"/>
      <c r="C885" s="10" t="n"/>
      <c r="D885" s="11" t="n"/>
      <c r="E885" s="10" t="n"/>
      <c r="F885" s="22" t="n"/>
      <c r="G885" s="24" t="n"/>
      <c r="H885" s="23" t="n"/>
      <c r="I885" s="25" t="n"/>
      <c r="J885" s="10">
        <f>IF(D885="","",IF(H885="✓","完了",IF(G885="","",IF(G885&lt;TODAY(),"期限超過",IF(G885=TODAY(),"今日まで","予定")))))</f>
        <v/>
      </c>
      <c r="K885" s="22" t="n"/>
      <c r="L885" s="26" t="n"/>
    </row>
    <row r="886">
      <c r="A886" s="11" t="n"/>
      <c r="B886" s="11" t="n"/>
      <c r="C886" s="10" t="n"/>
      <c r="D886" s="11" t="n"/>
      <c r="E886" s="10" t="n"/>
      <c r="F886" s="22" t="n"/>
      <c r="G886" s="24" t="n"/>
      <c r="H886" s="23" t="n"/>
      <c r="I886" s="25" t="n"/>
      <c r="J886" s="10">
        <f>IF(D886="","",IF(H886="✓","完了",IF(G886="","",IF(G886&lt;TODAY(),"期限超過",IF(G886=TODAY(),"今日まで","予定")))))</f>
        <v/>
      </c>
      <c r="K886" s="22" t="n"/>
      <c r="L886" s="26" t="n"/>
    </row>
    <row r="887">
      <c r="A887" s="11" t="n"/>
      <c r="B887" s="11" t="n"/>
      <c r="C887" s="10" t="n"/>
      <c r="D887" s="11" t="n"/>
      <c r="E887" s="10" t="n"/>
      <c r="F887" s="22" t="n"/>
      <c r="G887" s="24" t="n"/>
      <c r="H887" s="23" t="n"/>
      <c r="I887" s="25" t="n"/>
      <c r="J887" s="10">
        <f>IF(D887="","",IF(H887="✓","完了",IF(G887="","",IF(G887&lt;TODAY(),"期限超過",IF(G887=TODAY(),"今日まで","予定")))))</f>
        <v/>
      </c>
      <c r="K887" s="22" t="n"/>
      <c r="L887" s="26" t="n"/>
    </row>
    <row r="888">
      <c r="A888" s="11" t="n"/>
      <c r="B888" s="11" t="n"/>
      <c r="C888" s="10" t="n"/>
      <c r="D888" s="11" t="n"/>
      <c r="E888" s="10" t="n"/>
      <c r="F888" s="22" t="n"/>
      <c r="G888" s="24" t="n"/>
      <c r="H888" s="23" t="n"/>
      <c r="I888" s="25" t="n"/>
      <c r="J888" s="10">
        <f>IF(D888="","",IF(H888="✓","完了",IF(G888="","",IF(G888&lt;TODAY(),"期限超過",IF(G888=TODAY(),"今日まで","予定")))))</f>
        <v/>
      </c>
      <c r="K888" s="22" t="n"/>
      <c r="L888" s="26" t="n"/>
    </row>
    <row r="889">
      <c r="A889" s="11" t="n"/>
      <c r="B889" s="11" t="n"/>
      <c r="C889" s="10" t="n"/>
      <c r="D889" s="11" t="n"/>
      <c r="E889" s="10" t="n"/>
      <c r="F889" s="22" t="n"/>
      <c r="G889" s="24" t="n"/>
      <c r="H889" s="23" t="n"/>
      <c r="I889" s="25" t="n"/>
      <c r="J889" s="10">
        <f>IF(D889="","",IF(H889="✓","完了",IF(G889="","",IF(G889&lt;TODAY(),"期限超過",IF(G889=TODAY(),"今日まで","予定")))))</f>
        <v/>
      </c>
      <c r="K889" s="22" t="n"/>
      <c r="L889" s="26" t="n"/>
    </row>
    <row r="890">
      <c r="A890" s="11" t="n"/>
      <c r="B890" s="11" t="n"/>
      <c r="C890" s="10" t="n"/>
      <c r="D890" s="11" t="n"/>
      <c r="E890" s="10" t="n"/>
      <c r="F890" s="22" t="n"/>
      <c r="G890" s="24" t="n"/>
      <c r="H890" s="23" t="n"/>
      <c r="I890" s="25" t="n"/>
      <c r="J890" s="10">
        <f>IF(D890="","",IF(H890="✓","完了",IF(G890="","",IF(G890&lt;TODAY(),"期限超過",IF(G890=TODAY(),"今日まで","予定")))))</f>
        <v/>
      </c>
      <c r="K890" s="22" t="n"/>
      <c r="L890" s="26" t="n"/>
    </row>
    <row r="891">
      <c r="A891" s="11" t="n"/>
      <c r="B891" s="11" t="n"/>
      <c r="C891" s="10" t="n"/>
      <c r="D891" s="11" t="n"/>
      <c r="E891" s="10" t="n"/>
      <c r="F891" s="22" t="n"/>
      <c r="G891" s="24" t="n"/>
      <c r="H891" s="23" t="n"/>
      <c r="I891" s="25" t="n"/>
      <c r="J891" s="10">
        <f>IF(D891="","",IF(H891="✓","完了",IF(G891="","",IF(G891&lt;TODAY(),"期限超過",IF(G891=TODAY(),"今日まで","予定")))))</f>
        <v/>
      </c>
      <c r="K891" s="22" t="n"/>
      <c r="L891" s="26" t="n"/>
    </row>
    <row r="892">
      <c r="A892" s="11" t="n"/>
      <c r="B892" s="11" t="n"/>
      <c r="C892" s="10" t="n"/>
      <c r="D892" s="11" t="n"/>
      <c r="E892" s="10" t="n"/>
      <c r="F892" s="22" t="n"/>
      <c r="G892" s="24" t="n"/>
      <c r="H892" s="23" t="n"/>
      <c r="I892" s="25" t="n"/>
      <c r="J892" s="10">
        <f>IF(D892="","",IF(H892="✓","完了",IF(G892="","",IF(G892&lt;TODAY(),"期限超過",IF(G892=TODAY(),"今日まで","予定")))))</f>
        <v/>
      </c>
      <c r="K892" s="22" t="n"/>
      <c r="L892" s="26" t="n"/>
    </row>
    <row r="893">
      <c r="A893" s="11" t="n"/>
      <c r="B893" s="11" t="n"/>
      <c r="C893" s="10" t="n"/>
      <c r="D893" s="11" t="n"/>
      <c r="E893" s="10" t="n"/>
      <c r="F893" s="22" t="n"/>
      <c r="G893" s="24" t="n"/>
      <c r="H893" s="23" t="n"/>
      <c r="I893" s="25" t="n"/>
      <c r="J893" s="10">
        <f>IF(D893="","",IF(H893="✓","完了",IF(G893="","",IF(G893&lt;TODAY(),"期限超過",IF(G893=TODAY(),"今日まで","予定")))))</f>
        <v/>
      </c>
      <c r="K893" s="22" t="n"/>
      <c r="L893" s="26" t="n"/>
    </row>
    <row r="894">
      <c r="A894" s="11" t="n"/>
      <c r="B894" s="11" t="n"/>
      <c r="C894" s="10" t="n"/>
      <c r="D894" s="11" t="n"/>
      <c r="E894" s="10" t="n"/>
      <c r="F894" s="22" t="n"/>
      <c r="G894" s="24" t="n"/>
      <c r="H894" s="23" t="n"/>
      <c r="I894" s="25" t="n"/>
      <c r="J894" s="10">
        <f>IF(D894="","",IF(H894="✓","完了",IF(G894="","",IF(G894&lt;TODAY(),"期限超過",IF(G894=TODAY(),"今日まで","予定")))))</f>
        <v/>
      </c>
      <c r="K894" s="22" t="n"/>
      <c r="L894" s="26" t="n"/>
    </row>
    <row r="895">
      <c r="A895" s="11" t="n"/>
      <c r="B895" s="11" t="n"/>
      <c r="C895" s="10" t="n"/>
      <c r="D895" s="11" t="n"/>
      <c r="E895" s="10" t="n"/>
      <c r="F895" s="22" t="n"/>
      <c r="G895" s="24" t="n"/>
      <c r="H895" s="23" t="n"/>
      <c r="I895" s="25" t="n"/>
      <c r="J895" s="10">
        <f>IF(D895="","",IF(H895="✓","完了",IF(G895="","",IF(G895&lt;TODAY(),"期限超過",IF(G895=TODAY(),"今日まで","予定")))))</f>
        <v/>
      </c>
      <c r="K895" s="22" t="n"/>
      <c r="L895" s="26" t="n"/>
    </row>
    <row r="896">
      <c r="A896" s="11" t="n"/>
      <c r="B896" s="11" t="n"/>
      <c r="C896" s="10" t="n"/>
      <c r="D896" s="11" t="n"/>
      <c r="E896" s="10" t="n"/>
      <c r="F896" s="22" t="n"/>
      <c r="G896" s="24" t="n"/>
      <c r="H896" s="23" t="n"/>
      <c r="I896" s="25" t="n"/>
      <c r="J896" s="10">
        <f>IF(D896="","",IF(H896="✓","完了",IF(G896="","",IF(G896&lt;TODAY(),"期限超過",IF(G896=TODAY(),"今日まで","予定")))))</f>
        <v/>
      </c>
      <c r="K896" s="22" t="n"/>
      <c r="L896" s="26" t="n"/>
    </row>
    <row r="897">
      <c r="A897" s="11" t="n"/>
      <c r="B897" s="11" t="n"/>
      <c r="C897" s="10" t="n"/>
      <c r="D897" s="11" t="n"/>
      <c r="E897" s="10" t="n"/>
      <c r="F897" s="22" t="n"/>
      <c r="G897" s="24" t="n"/>
      <c r="H897" s="23" t="n"/>
      <c r="I897" s="25" t="n"/>
      <c r="J897" s="10">
        <f>IF(D897="","",IF(H897="✓","完了",IF(G897="","",IF(G897&lt;TODAY(),"期限超過",IF(G897=TODAY(),"今日まで","予定")))))</f>
        <v/>
      </c>
      <c r="K897" s="22" t="n"/>
      <c r="L897" s="26" t="n"/>
    </row>
    <row r="898">
      <c r="A898" s="11" t="n"/>
      <c r="B898" s="11" t="n"/>
      <c r="C898" s="10" t="n"/>
      <c r="D898" s="11" t="n"/>
      <c r="E898" s="10" t="n"/>
      <c r="F898" s="22" t="n"/>
      <c r="G898" s="24" t="n"/>
      <c r="H898" s="23" t="n"/>
      <c r="I898" s="25" t="n"/>
      <c r="J898" s="10">
        <f>IF(D898="","",IF(H898="✓","完了",IF(G898="","",IF(G898&lt;TODAY(),"期限超過",IF(G898=TODAY(),"今日まで","予定")))))</f>
        <v/>
      </c>
      <c r="K898" s="22" t="n"/>
      <c r="L898" s="26" t="n"/>
    </row>
    <row r="899">
      <c r="A899" s="11" t="n"/>
      <c r="B899" s="11" t="n"/>
      <c r="C899" s="10" t="n"/>
      <c r="D899" s="11" t="n"/>
      <c r="E899" s="10" t="n"/>
      <c r="F899" s="22" t="n"/>
      <c r="G899" s="24" t="n"/>
      <c r="H899" s="23" t="n"/>
      <c r="I899" s="25" t="n"/>
      <c r="J899" s="10">
        <f>IF(D899="","",IF(H899="✓","完了",IF(G899="","",IF(G899&lt;TODAY(),"期限超過",IF(G899=TODAY(),"今日まで","予定")))))</f>
        <v/>
      </c>
      <c r="K899" s="22" t="n"/>
      <c r="L899" s="26" t="n"/>
    </row>
    <row r="900">
      <c r="A900" s="11" t="n"/>
      <c r="B900" s="11" t="n"/>
      <c r="C900" s="10" t="n"/>
      <c r="D900" s="11" t="n"/>
      <c r="E900" s="10" t="n"/>
      <c r="F900" s="22" t="n"/>
      <c r="G900" s="24" t="n"/>
      <c r="H900" s="23" t="n"/>
      <c r="I900" s="25" t="n"/>
      <c r="J900" s="10">
        <f>IF(D900="","",IF(H900="✓","完了",IF(G900="","",IF(G900&lt;TODAY(),"期限超過",IF(G900=TODAY(),"今日まで","予定")))))</f>
        <v/>
      </c>
      <c r="K900" s="22" t="n"/>
      <c r="L900" s="26" t="n"/>
    </row>
    <row r="901">
      <c r="A901" s="11" t="n"/>
      <c r="B901" s="11" t="n"/>
      <c r="C901" s="10" t="n"/>
      <c r="D901" s="11" t="n"/>
      <c r="E901" s="10" t="n"/>
      <c r="F901" s="22" t="n"/>
      <c r="G901" s="24" t="n"/>
      <c r="H901" s="23" t="n"/>
      <c r="I901" s="25" t="n"/>
      <c r="J901" s="10">
        <f>IF(D901="","",IF(H901="✓","完了",IF(G901="","",IF(G901&lt;TODAY(),"期限超過",IF(G901=TODAY(),"今日まで","予定")))))</f>
        <v/>
      </c>
      <c r="K901" s="22" t="n"/>
      <c r="L901" s="26" t="n"/>
    </row>
    <row r="902">
      <c r="A902" s="11" t="n"/>
      <c r="B902" s="11" t="n"/>
      <c r="C902" s="10" t="n"/>
      <c r="D902" s="11" t="n"/>
      <c r="E902" s="10" t="n"/>
      <c r="F902" s="22" t="n"/>
      <c r="G902" s="24" t="n"/>
      <c r="H902" s="23" t="n"/>
      <c r="I902" s="25" t="n"/>
      <c r="J902" s="10">
        <f>IF(D902="","",IF(H902="✓","完了",IF(G902="","",IF(G902&lt;TODAY(),"期限超過",IF(G902=TODAY(),"今日まで","予定")))))</f>
        <v/>
      </c>
      <c r="K902" s="22" t="n"/>
      <c r="L902" s="26" t="n"/>
    </row>
    <row r="903">
      <c r="A903" s="11" t="n"/>
      <c r="B903" s="11" t="n"/>
      <c r="C903" s="10" t="n"/>
      <c r="D903" s="11" t="n"/>
      <c r="E903" s="10" t="n"/>
      <c r="F903" s="22" t="n"/>
      <c r="G903" s="24" t="n"/>
      <c r="H903" s="23" t="n"/>
      <c r="I903" s="25" t="n"/>
      <c r="J903" s="10">
        <f>IF(D903="","",IF(H903="✓","完了",IF(G903="","",IF(G903&lt;TODAY(),"期限超過",IF(G903=TODAY(),"今日まで","予定")))))</f>
        <v/>
      </c>
      <c r="K903" s="22" t="n"/>
      <c r="L903" s="26" t="n"/>
    </row>
    <row r="904">
      <c r="A904" s="11" t="n"/>
      <c r="B904" s="11" t="n"/>
      <c r="C904" s="10" t="n"/>
      <c r="D904" s="11" t="n"/>
      <c r="E904" s="10" t="n"/>
      <c r="F904" s="22" t="n"/>
      <c r="G904" s="24" t="n"/>
      <c r="H904" s="23" t="n"/>
      <c r="I904" s="25" t="n"/>
      <c r="J904" s="10">
        <f>IF(D904="","",IF(H904="✓","完了",IF(G904="","",IF(G904&lt;TODAY(),"期限超過",IF(G904=TODAY(),"今日まで","予定")))))</f>
        <v/>
      </c>
      <c r="K904" s="22" t="n"/>
      <c r="L904" s="26" t="n"/>
    </row>
    <row r="905">
      <c r="A905" s="11" t="n"/>
      <c r="B905" s="11" t="n"/>
      <c r="C905" s="10" t="n"/>
      <c r="D905" s="11" t="n"/>
      <c r="E905" s="10" t="n"/>
      <c r="F905" s="22" t="n"/>
      <c r="G905" s="24" t="n"/>
      <c r="H905" s="23" t="n"/>
      <c r="I905" s="25" t="n"/>
      <c r="J905" s="10">
        <f>IF(D905="","",IF(H905="✓","完了",IF(G905="","",IF(G905&lt;TODAY(),"期限超過",IF(G905=TODAY(),"今日まで","予定")))))</f>
        <v/>
      </c>
      <c r="K905" s="22" t="n"/>
      <c r="L905" s="26" t="n"/>
    </row>
    <row r="906">
      <c r="A906" s="11" t="n"/>
      <c r="B906" s="11" t="n"/>
      <c r="C906" s="10" t="n"/>
      <c r="D906" s="11" t="n"/>
      <c r="E906" s="10" t="n"/>
      <c r="F906" s="22" t="n"/>
      <c r="G906" s="24" t="n"/>
      <c r="H906" s="23" t="n"/>
      <c r="I906" s="25" t="n"/>
      <c r="J906" s="10">
        <f>IF(D906="","",IF(H906="✓","完了",IF(G906="","",IF(G906&lt;TODAY(),"期限超過",IF(G906=TODAY(),"今日まで","予定")))))</f>
        <v/>
      </c>
      <c r="K906" s="22" t="n"/>
      <c r="L906" s="26" t="n"/>
    </row>
    <row r="907">
      <c r="A907" s="11" t="n"/>
      <c r="B907" s="11" t="n"/>
      <c r="C907" s="10" t="n"/>
      <c r="D907" s="11" t="n"/>
      <c r="E907" s="10" t="n"/>
      <c r="F907" s="22" t="n"/>
      <c r="G907" s="24" t="n"/>
      <c r="H907" s="23" t="n"/>
      <c r="I907" s="25" t="n"/>
      <c r="J907" s="10">
        <f>IF(D907="","",IF(H907="✓","完了",IF(G907="","",IF(G907&lt;TODAY(),"期限超過",IF(G907=TODAY(),"今日まで","予定")))))</f>
        <v/>
      </c>
      <c r="K907" s="22" t="n"/>
      <c r="L907" s="26" t="n"/>
    </row>
    <row r="908">
      <c r="A908" s="11" t="n"/>
      <c r="B908" s="11" t="n"/>
      <c r="C908" s="10" t="n"/>
      <c r="D908" s="11" t="n"/>
      <c r="E908" s="10" t="n"/>
      <c r="F908" s="22" t="n"/>
      <c r="G908" s="24" t="n"/>
      <c r="H908" s="23" t="n"/>
      <c r="I908" s="25" t="n"/>
      <c r="J908" s="10">
        <f>IF(D908="","",IF(H908="✓","完了",IF(G908="","",IF(G908&lt;TODAY(),"期限超過",IF(G908=TODAY(),"今日まで","予定")))))</f>
        <v/>
      </c>
      <c r="K908" s="22" t="n"/>
      <c r="L908" s="26" t="n"/>
    </row>
    <row r="909">
      <c r="A909" s="11" t="n"/>
      <c r="B909" s="11" t="n"/>
      <c r="C909" s="10" t="n"/>
      <c r="D909" s="11" t="n"/>
      <c r="E909" s="10" t="n"/>
      <c r="F909" s="22" t="n"/>
      <c r="G909" s="24" t="n"/>
      <c r="H909" s="23" t="n"/>
      <c r="I909" s="25" t="n"/>
      <c r="J909" s="10">
        <f>IF(D909="","",IF(H909="✓","完了",IF(G909="","",IF(G909&lt;TODAY(),"期限超過",IF(G909=TODAY(),"今日まで","予定")))))</f>
        <v/>
      </c>
      <c r="K909" s="22" t="n"/>
      <c r="L909" s="26" t="n"/>
    </row>
    <row r="910">
      <c r="A910" s="11" t="n"/>
      <c r="B910" s="11" t="n"/>
      <c r="C910" s="10" t="n"/>
      <c r="D910" s="11" t="n"/>
      <c r="E910" s="10" t="n"/>
      <c r="F910" s="22" t="n"/>
      <c r="G910" s="24" t="n"/>
      <c r="H910" s="23" t="n"/>
      <c r="I910" s="25" t="n"/>
      <c r="J910" s="10">
        <f>IF(D910="","",IF(H910="✓","完了",IF(G910="","",IF(G910&lt;TODAY(),"期限超過",IF(G910=TODAY(),"今日まで","予定")))))</f>
        <v/>
      </c>
      <c r="K910" s="22" t="n"/>
      <c r="L910" s="26" t="n"/>
    </row>
    <row r="911">
      <c r="A911" s="11" t="n"/>
      <c r="B911" s="11" t="n"/>
      <c r="C911" s="10" t="n"/>
      <c r="D911" s="11" t="n"/>
      <c r="E911" s="10" t="n"/>
      <c r="F911" s="22" t="n"/>
      <c r="G911" s="24" t="n"/>
      <c r="H911" s="23" t="n"/>
      <c r="I911" s="25" t="n"/>
      <c r="J911" s="10">
        <f>IF(D911="","",IF(H911="✓","完了",IF(G911="","",IF(G911&lt;TODAY(),"期限超過",IF(G911=TODAY(),"今日まで","予定")))))</f>
        <v/>
      </c>
      <c r="K911" s="22" t="n"/>
      <c r="L911" s="26" t="n"/>
    </row>
    <row r="912">
      <c r="A912" s="11" t="n"/>
      <c r="B912" s="11" t="n"/>
      <c r="C912" s="10" t="n"/>
      <c r="D912" s="11" t="n"/>
      <c r="E912" s="10" t="n"/>
      <c r="F912" s="22" t="n"/>
      <c r="G912" s="24" t="n"/>
      <c r="H912" s="23" t="n"/>
      <c r="I912" s="25" t="n"/>
      <c r="J912" s="10">
        <f>IF(D912="","",IF(H912="✓","完了",IF(G912="","",IF(G912&lt;TODAY(),"期限超過",IF(G912=TODAY(),"今日まで","予定")))))</f>
        <v/>
      </c>
      <c r="K912" s="22" t="n"/>
      <c r="L912" s="26" t="n"/>
    </row>
    <row r="913">
      <c r="A913" s="11" t="n"/>
      <c r="B913" s="11" t="n"/>
      <c r="C913" s="10" t="n"/>
      <c r="D913" s="11" t="n"/>
      <c r="E913" s="10" t="n"/>
      <c r="F913" s="22" t="n"/>
      <c r="G913" s="24" t="n"/>
      <c r="H913" s="23" t="n"/>
      <c r="I913" s="25" t="n"/>
      <c r="J913" s="10">
        <f>IF(D913="","",IF(H913="✓","完了",IF(G913="","",IF(G913&lt;TODAY(),"期限超過",IF(G913=TODAY(),"今日まで","予定")))))</f>
        <v/>
      </c>
      <c r="K913" s="22" t="n"/>
      <c r="L913" s="26" t="n"/>
    </row>
    <row r="914">
      <c r="A914" s="11" t="n"/>
      <c r="B914" s="11" t="n"/>
      <c r="C914" s="10" t="n"/>
      <c r="D914" s="11" t="n"/>
      <c r="E914" s="10" t="n"/>
      <c r="F914" s="22" t="n"/>
      <c r="G914" s="24" t="n"/>
      <c r="H914" s="23" t="n"/>
      <c r="I914" s="25" t="n"/>
      <c r="J914" s="10">
        <f>IF(D914="","",IF(H914="✓","完了",IF(G914="","",IF(G914&lt;TODAY(),"期限超過",IF(G914=TODAY(),"今日まで","予定")))))</f>
        <v/>
      </c>
      <c r="K914" s="22" t="n"/>
      <c r="L914" s="26" t="n"/>
    </row>
    <row r="915">
      <c r="A915" s="11" t="n"/>
      <c r="B915" s="11" t="n"/>
      <c r="C915" s="10" t="n"/>
      <c r="D915" s="11" t="n"/>
      <c r="E915" s="10" t="n"/>
      <c r="F915" s="22" t="n"/>
      <c r="G915" s="24" t="n"/>
      <c r="H915" s="23" t="n"/>
      <c r="I915" s="25" t="n"/>
      <c r="J915" s="10">
        <f>IF(D915="","",IF(H915="✓","完了",IF(G915="","",IF(G915&lt;TODAY(),"期限超過",IF(G915=TODAY(),"今日まで","予定")))))</f>
        <v/>
      </c>
      <c r="K915" s="22" t="n"/>
      <c r="L915" s="26" t="n"/>
    </row>
    <row r="916">
      <c r="A916" s="11" t="n"/>
      <c r="B916" s="11" t="n"/>
      <c r="C916" s="10" t="n"/>
      <c r="D916" s="11" t="n"/>
      <c r="E916" s="10" t="n"/>
      <c r="F916" s="22" t="n"/>
      <c r="G916" s="24" t="n"/>
      <c r="H916" s="23" t="n"/>
      <c r="I916" s="25" t="n"/>
      <c r="J916" s="10">
        <f>IF(D916="","",IF(H916="✓","完了",IF(G916="","",IF(G916&lt;TODAY(),"期限超過",IF(G916=TODAY(),"今日まで","予定")))))</f>
        <v/>
      </c>
      <c r="K916" s="22" t="n"/>
      <c r="L916" s="26" t="n"/>
    </row>
    <row r="917">
      <c r="A917" s="11" t="n"/>
      <c r="B917" s="11" t="n"/>
      <c r="C917" s="10" t="n"/>
      <c r="D917" s="11" t="n"/>
      <c r="E917" s="10" t="n"/>
      <c r="F917" s="22" t="n"/>
      <c r="G917" s="24" t="n"/>
      <c r="H917" s="23" t="n"/>
      <c r="I917" s="25" t="n"/>
      <c r="J917" s="10">
        <f>IF(D917="","",IF(H917="✓","完了",IF(G917="","",IF(G917&lt;TODAY(),"期限超過",IF(G917=TODAY(),"今日まで","予定")))))</f>
        <v/>
      </c>
      <c r="K917" s="22" t="n"/>
      <c r="L917" s="26" t="n"/>
    </row>
    <row r="918">
      <c r="A918" s="11" t="n"/>
      <c r="B918" s="11" t="n"/>
      <c r="C918" s="10" t="n"/>
      <c r="D918" s="11" t="n"/>
      <c r="E918" s="10" t="n"/>
      <c r="F918" s="22" t="n"/>
      <c r="G918" s="24" t="n"/>
      <c r="H918" s="23" t="n"/>
      <c r="I918" s="25" t="n"/>
      <c r="J918" s="10">
        <f>IF(D918="","",IF(H918="✓","完了",IF(G918="","",IF(G918&lt;TODAY(),"期限超過",IF(G918=TODAY(),"今日まで","予定")))))</f>
        <v/>
      </c>
      <c r="K918" s="22" t="n"/>
      <c r="L918" s="26" t="n"/>
    </row>
    <row r="919">
      <c r="A919" s="11" t="n"/>
      <c r="B919" s="11" t="n"/>
      <c r="C919" s="10" t="n"/>
      <c r="D919" s="11" t="n"/>
      <c r="E919" s="10" t="n"/>
      <c r="F919" s="22" t="n"/>
      <c r="G919" s="24" t="n"/>
      <c r="H919" s="23" t="n"/>
      <c r="I919" s="25" t="n"/>
      <c r="J919" s="10">
        <f>IF(D919="","",IF(H919="✓","完了",IF(G919="","",IF(G919&lt;TODAY(),"期限超過",IF(G919=TODAY(),"今日まで","予定")))))</f>
        <v/>
      </c>
      <c r="K919" s="22" t="n"/>
      <c r="L919" s="26" t="n"/>
    </row>
    <row r="920">
      <c r="A920" s="11" t="n"/>
      <c r="B920" s="11" t="n"/>
      <c r="C920" s="10" t="n"/>
      <c r="D920" s="11" t="n"/>
      <c r="E920" s="10" t="n"/>
      <c r="F920" s="22" t="n"/>
      <c r="G920" s="24" t="n"/>
      <c r="H920" s="23" t="n"/>
      <c r="I920" s="25" t="n"/>
      <c r="J920" s="10">
        <f>IF(D920="","",IF(H920="✓","完了",IF(G920="","",IF(G920&lt;TODAY(),"期限超過",IF(G920=TODAY(),"今日まで","予定")))))</f>
        <v/>
      </c>
      <c r="K920" s="22" t="n"/>
      <c r="L920" s="26" t="n"/>
    </row>
    <row r="921">
      <c r="A921" s="11" t="n"/>
      <c r="B921" s="11" t="n"/>
      <c r="C921" s="10" t="n"/>
      <c r="D921" s="11" t="n"/>
      <c r="E921" s="10" t="n"/>
      <c r="F921" s="22" t="n"/>
      <c r="G921" s="24" t="n"/>
      <c r="H921" s="23" t="n"/>
      <c r="I921" s="25" t="n"/>
      <c r="J921" s="10">
        <f>IF(D921="","",IF(H921="✓","完了",IF(G921="","",IF(G921&lt;TODAY(),"期限超過",IF(G921=TODAY(),"今日まで","予定")))))</f>
        <v/>
      </c>
      <c r="K921" s="22" t="n"/>
      <c r="L921" s="26" t="n"/>
    </row>
    <row r="922">
      <c r="A922" s="11" t="n"/>
      <c r="B922" s="11" t="n"/>
      <c r="C922" s="10" t="n"/>
      <c r="D922" s="11" t="n"/>
      <c r="E922" s="10" t="n"/>
      <c r="F922" s="22" t="n"/>
      <c r="G922" s="24" t="n"/>
      <c r="H922" s="23" t="n"/>
      <c r="I922" s="25" t="n"/>
      <c r="J922" s="10">
        <f>IF(D922="","",IF(H922="✓","完了",IF(G922="","",IF(G922&lt;TODAY(),"期限超過",IF(G922=TODAY(),"今日まで","予定")))))</f>
        <v/>
      </c>
      <c r="K922" s="22" t="n"/>
      <c r="L922" s="26" t="n"/>
    </row>
    <row r="923">
      <c r="A923" s="11" t="n"/>
      <c r="B923" s="11" t="n"/>
      <c r="C923" s="10" t="n"/>
      <c r="D923" s="11" t="n"/>
      <c r="E923" s="10" t="n"/>
      <c r="F923" s="22" t="n"/>
      <c r="G923" s="24" t="n"/>
      <c r="H923" s="23" t="n"/>
      <c r="I923" s="25" t="n"/>
      <c r="J923" s="10">
        <f>IF(D923="","",IF(H923="✓","完了",IF(G923="","",IF(G923&lt;TODAY(),"期限超過",IF(G923=TODAY(),"今日まで","予定")))))</f>
        <v/>
      </c>
      <c r="K923" s="22" t="n"/>
      <c r="L923" s="26" t="n"/>
    </row>
    <row r="924">
      <c r="A924" s="11" t="n"/>
      <c r="B924" s="11" t="n"/>
      <c r="C924" s="10" t="n"/>
      <c r="D924" s="11" t="n"/>
      <c r="E924" s="10" t="n"/>
      <c r="F924" s="22" t="n"/>
      <c r="G924" s="24" t="n"/>
      <c r="H924" s="23" t="n"/>
      <c r="I924" s="25" t="n"/>
      <c r="J924" s="10">
        <f>IF(D924="","",IF(H924="✓","完了",IF(G924="","",IF(G924&lt;TODAY(),"期限超過",IF(G924=TODAY(),"今日まで","予定")))))</f>
        <v/>
      </c>
      <c r="K924" s="22" t="n"/>
      <c r="L924" s="26" t="n"/>
    </row>
    <row r="925">
      <c r="A925" s="11" t="n"/>
      <c r="B925" s="11" t="n"/>
      <c r="C925" s="10" t="n"/>
      <c r="D925" s="11" t="n"/>
      <c r="E925" s="10" t="n"/>
      <c r="F925" s="22" t="n"/>
      <c r="G925" s="24" t="n"/>
      <c r="H925" s="23" t="n"/>
      <c r="I925" s="25" t="n"/>
      <c r="J925" s="10">
        <f>IF(D925="","",IF(H925="✓","完了",IF(G925="","",IF(G925&lt;TODAY(),"期限超過",IF(G925=TODAY(),"今日まで","予定")))))</f>
        <v/>
      </c>
      <c r="K925" s="22" t="n"/>
      <c r="L925" s="26" t="n"/>
    </row>
    <row r="926">
      <c r="A926" s="11" t="n"/>
      <c r="B926" s="11" t="n"/>
      <c r="C926" s="10" t="n"/>
      <c r="D926" s="11" t="n"/>
      <c r="E926" s="10" t="n"/>
      <c r="F926" s="22" t="n"/>
      <c r="G926" s="24" t="n"/>
      <c r="H926" s="23" t="n"/>
      <c r="I926" s="25" t="n"/>
      <c r="J926" s="10">
        <f>IF(D926="","",IF(H926="✓","完了",IF(G926="","",IF(G926&lt;TODAY(),"期限超過",IF(G926=TODAY(),"今日まで","予定")))))</f>
        <v/>
      </c>
      <c r="K926" s="22" t="n"/>
      <c r="L926" s="26" t="n"/>
    </row>
    <row r="927">
      <c r="A927" s="11" t="n"/>
      <c r="B927" s="11" t="n"/>
      <c r="C927" s="10" t="n"/>
      <c r="D927" s="11" t="n"/>
      <c r="E927" s="10" t="n"/>
      <c r="F927" s="22" t="n"/>
      <c r="G927" s="24" t="n"/>
      <c r="H927" s="23" t="n"/>
      <c r="I927" s="25" t="n"/>
      <c r="J927" s="10">
        <f>IF(D927="","",IF(H927="✓","完了",IF(G927="","",IF(G927&lt;TODAY(),"期限超過",IF(G927=TODAY(),"今日まで","予定")))))</f>
        <v/>
      </c>
      <c r="K927" s="22" t="n"/>
      <c r="L927" s="26" t="n"/>
    </row>
    <row r="928">
      <c r="A928" s="11" t="n"/>
      <c r="B928" s="11" t="n"/>
      <c r="C928" s="10" t="n"/>
      <c r="D928" s="11" t="n"/>
      <c r="E928" s="10" t="n"/>
      <c r="F928" s="22" t="n"/>
      <c r="G928" s="24" t="n"/>
      <c r="H928" s="23" t="n"/>
      <c r="I928" s="25" t="n"/>
      <c r="J928" s="10">
        <f>IF(D928="","",IF(H928="✓","完了",IF(G928="","",IF(G928&lt;TODAY(),"期限超過",IF(G928=TODAY(),"今日まで","予定")))))</f>
        <v/>
      </c>
      <c r="K928" s="22" t="n"/>
      <c r="L928" s="26" t="n"/>
    </row>
    <row r="929">
      <c r="A929" s="11" t="n"/>
      <c r="B929" s="11" t="n"/>
      <c r="C929" s="10" t="n"/>
      <c r="D929" s="11" t="n"/>
      <c r="E929" s="10" t="n"/>
      <c r="F929" s="22" t="n"/>
      <c r="G929" s="24" t="n"/>
      <c r="H929" s="23" t="n"/>
      <c r="I929" s="25" t="n"/>
      <c r="J929" s="10">
        <f>IF(D929="","",IF(H929="✓","完了",IF(G929="","",IF(G929&lt;TODAY(),"期限超過",IF(G929=TODAY(),"今日まで","予定")))))</f>
        <v/>
      </c>
      <c r="K929" s="22" t="n"/>
      <c r="L929" s="26" t="n"/>
    </row>
    <row r="930">
      <c r="A930" s="11" t="n"/>
      <c r="B930" s="11" t="n"/>
      <c r="C930" s="10" t="n"/>
      <c r="D930" s="11" t="n"/>
      <c r="E930" s="10" t="n"/>
      <c r="F930" s="22" t="n"/>
      <c r="G930" s="24" t="n"/>
      <c r="H930" s="23" t="n"/>
      <c r="I930" s="25" t="n"/>
      <c r="J930" s="10">
        <f>IF(D930="","",IF(H930="✓","完了",IF(G930="","",IF(G930&lt;TODAY(),"期限超過",IF(G930=TODAY(),"今日まで","予定")))))</f>
        <v/>
      </c>
      <c r="K930" s="22" t="n"/>
      <c r="L930" s="26" t="n"/>
    </row>
    <row r="931">
      <c r="A931" s="11" t="n"/>
      <c r="B931" s="11" t="n"/>
      <c r="C931" s="10" t="n"/>
      <c r="D931" s="11" t="n"/>
      <c r="E931" s="10" t="n"/>
      <c r="F931" s="22" t="n"/>
      <c r="G931" s="24" t="n"/>
      <c r="H931" s="23" t="n"/>
      <c r="I931" s="25" t="n"/>
      <c r="J931" s="10">
        <f>IF(D931="","",IF(H931="✓","完了",IF(G931="","",IF(G931&lt;TODAY(),"期限超過",IF(G931=TODAY(),"今日まで","予定")))))</f>
        <v/>
      </c>
      <c r="K931" s="22" t="n"/>
      <c r="L931" s="26" t="n"/>
    </row>
    <row r="932">
      <c r="A932" s="11" t="n"/>
      <c r="B932" s="11" t="n"/>
      <c r="C932" s="10" t="n"/>
      <c r="D932" s="11" t="n"/>
      <c r="E932" s="10" t="n"/>
      <c r="F932" s="22" t="n"/>
      <c r="G932" s="24" t="n"/>
      <c r="H932" s="23" t="n"/>
      <c r="I932" s="25" t="n"/>
      <c r="J932" s="10">
        <f>IF(D932="","",IF(H932="✓","完了",IF(G932="","",IF(G932&lt;TODAY(),"期限超過",IF(G932=TODAY(),"今日まで","予定")))))</f>
        <v/>
      </c>
      <c r="K932" s="22" t="n"/>
      <c r="L932" s="26" t="n"/>
    </row>
    <row r="933">
      <c r="A933" s="11" t="n"/>
      <c r="B933" s="11" t="n"/>
      <c r="C933" s="10" t="n"/>
      <c r="D933" s="11" t="n"/>
      <c r="E933" s="10" t="n"/>
      <c r="F933" s="22" t="n"/>
      <c r="G933" s="24" t="n"/>
      <c r="H933" s="23" t="n"/>
      <c r="I933" s="25" t="n"/>
      <c r="J933" s="10">
        <f>IF(D933="","",IF(H933="✓","完了",IF(G933="","",IF(G933&lt;TODAY(),"期限超過",IF(G933=TODAY(),"今日まで","予定")))))</f>
        <v/>
      </c>
      <c r="K933" s="22" t="n"/>
      <c r="L933" s="26" t="n"/>
    </row>
    <row r="934">
      <c r="A934" s="11" t="n"/>
      <c r="B934" s="11" t="n"/>
      <c r="C934" s="10" t="n"/>
      <c r="D934" s="11" t="n"/>
      <c r="E934" s="10" t="n"/>
      <c r="F934" s="22" t="n"/>
      <c r="G934" s="24" t="n"/>
      <c r="H934" s="23" t="n"/>
      <c r="I934" s="25" t="n"/>
      <c r="J934" s="10">
        <f>IF(D934="","",IF(H934="✓","完了",IF(G934="","",IF(G934&lt;TODAY(),"期限超過",IF(G934=TODAY(),"今日まで","予定")))))</f>
        <v/>
      </c>
      <c r="K934" s="22" t="n"/>
      <c r="L934" s="26" t="n"/>
    </row>
    <row r="935">
      <c r="A935" s="11" t="n"/>
      <c r="B935" s="11" t="n"/>
      <c r="C935" s="10" t="n"/>
      <c r="D935" s="11" t="n"/>
      <c r="E935" s="10" t="n"/>
      <c r="F935" s="22" t="n"/>
      <c r="G935" s="24" t="n"/>
      <c r="H935" s="23" t="n"/>
      <c r="I935" s="25" t="n"/>
      <c r="J935" s="10">
        <f>IF(D935="","",IF(H935="✓","完了",IF(G935="","",IF(G935&lt;TODAY(),"期限超過",IF(G935=TODAY(),"今日まで","予定")))))</f>
        <v/>
      </c>
      <c r="K935" s="22" t="n"/>
      <c r="L935" s="26" t="n"/>
    </row>
    <row r="936">
      <c r="A936" s="11" t="n"/>
      <c r="B936" s="11" t="n"/>
      <c r="C936" s="10" t="n"/>
      <c r="D936" s="11" t="n"/>
      <c r="E936" s="10" t="n"/>
      <c r="F936" s="22" t="n"/>
      <c r="G936" s="24" t="n"/>
      <c r="H936" s="23" t="n"/>
      <c r="I936" s="25" t="n"/>
      <c r="J936" s="10">
        <f>IF(D936="","",IF(H936="✓","完了",IF(G936="","",IF(G936&lt;TODAY(),"期限超過",IF(G936=TODAY(),"今日まで","予定")))))</f>
        <v/>
      </c>
      <c r="K936" s="22" t="n"/>
      <c r="L936" s="26" t="n"/>
    </row>
    <row r="937">
      <c r="A937" s="11" t="n"/>
      <c r="B937" s="11" t="n"/>
      <c r="C937" s="10" t="n"/>
      <c r="D937" s="11" t="n"/>
      <c r="E937" s="10" t="n"/>
      <c r="F937" s="22" t="n"/>
      <c r="G937" s="24" t="n"/>
      <c r="H937" s="23" t="n"/>
      <c r="I937" s="25" t="n"/>
      <c r="J937" s="10">
        <f>IF(D937="","",IF(H937="✓","完了",IF(G937="","",IF(G937&lt;TODAY(),"期限超過",IF(G937=TODAY(),"今日まで","予定")))))</f>
        <v/>
      </c>
      <c r="K937" s="22" t="n"/>
      <c r="L937" s="26" t="n"/>
    </row>
    <row r="938">
      <c r="A938" s="11" t="n"/>
      <c r="B938" s="11" t="n"/>
      <c r="C938" s="10" t="n"/>
      <c r="D938" s="11" t="n"/>
      <c r="E938" s="10" t="n"/>
      <c r="F938" s="22" t="n"/>
      <c r="G938" s="24" t="n"/>
      <c r="H938" s="23" t="n"/>
      <c r="I938" s="25" t="n"/>
      <c r="J938" s="10">
        <f>IF(D938="","",IF(H938="✓","完了",IF(G938="","",IF(G938&lt;TODAY(),"期限超過",IF(G938=TODAY(),"今日まで","予定")))))</f>
        <v/>
      </c>
      <c r="K938" s="22" t="n"/>
      <c r="L938" s="26" t="n"/>
    </row>
    <row r="939">
      <c r="A939" s="11" t="n"/>
      <c r="B939" s="11" t="n"/>
      <c r="C939" s="10" t="n"/>
      <c r="D939" s="11" t="n"/>
      <c r="E939" s="10" t="n"/>
      <c r="F939" s="22" t="n"/>
      <c r="G939" s="24" t="n"/>
      <c r="H939" s="23" t="n"/>
      <c r="I939" s="25" t="n"/>
      <c r="J939" s="10">
        <f>IF(D939="","",IF(H939="✓","完了",IF(G939="","",IF(G939&lt;TODAY(),"期限超過",IF(G939=TODAY(),"今日まで","予定")))))</f>
        <v/>
      </c>
      <c r="K939" s="22" t="n"/>
      <c r="L939" s="26" t="n"/>
    </row>
    <row r="940">
      <c r="A940" s="11" t="n"/>
      <c r="B940" s="11" t="n"/>
      <c r="C940" s="10" t="n"/>
      <c r="D940" s="11" t="n"/>
      <c r="E940" s="10" t="n"/>
      <c r="F940" s="22" t="n"/>
      <c r="G940" s="24" t="n"/>
      <c r="H940" s="23" t="n"/>
      <c r="I940" s="25" t="n"/>
      <c r="J940" s="10">
        <f>IF(D940="","",IF(H940="✓","完了",IF(G940="","",IF(G940&lt;TODAY(),"期限超過",IF(G940=TODAY(),"今日まで","予定")))))</f>
        <v/>
      </c>
      <c r="K940" s="22" t="n"/>
      <c r="L940" s="26" t="n"/>
    </row>
    <row r="941">
      <c r="A941" s="11" t="n"/>
      <c r="B941" s="11" t="n"/>
      <c r="C941" s="10" t="n"/>
      <c r="D941" s="11" t="n"/>
      <c r="E941" s="10" t="n"/>
      <c r="F941" s="22" t="n"/>
      <c r="G941" s="24" t="n"/>
      <c r="H941" s="23" t="n"/>
      <c r="I941" s="25" t="n"/>
      <c r="J941" s="10">
        <f>IF(D941="","",IF(H941="✓","完了",IF(G941="","",IF(G941&lt;TODAY(),"期限超過",IF(G941=TODAY(),"今日まで","予定")))))</f>
        <v/>
      </c>
      <c r="K941" s="22" t="n"/>
      <c r="L941" s="26" t="n"/>
    </row>
    <row r="942">
      <c r="A942" s="11" t="n"/>
      <c r="B942" s="11" t="n"/>
      <c r="C942" s="10" t="n"/>
      <c r="D942" s="11" t="n"/>
      <c r="E942" s="10" t="n"/>
      <c r="F942" s="22" t="n"/>
      <c r="G942" s="24" t="n"/>
      <c r="H942" s="23" t="n"/>
      <c r="I942" s="25" t="n"/>
      <c r="J942" s="10">
        <f>IF(D942="","",IF(H942="✓","完了",IF(G942="","",IF(G942&lt;TODAY(),"期限超過",IF(G942=TODAY(),"今日まで","予定")))))</f>
        <v/>
      </c>
      <c r="K942" s="22" t="n"/>
      <c r="L942" s="26" t="n"/>
    </row>
    <row r="943">
      <c r="A943" s="11" t="n"/>
      <c r="B943" s="11" t="n"/>
      <c r="C943" s="10" t="n"/>
      <c r="D943" s="11" t="n"/>
      <c r="E943" s="10" t="n"/>
      <c r="F943" s="22" t="n"/>
      <c r="G943" s="24" t="n"/>
      <c r="H943" s="23" t="n"/>
      <c r="I943" s="25" t="n"/>
      <c r="J943" s="10">
        <f>IF(D943="","",IF(H943="✓","完了",IF(G943="","",IF(G943&lt;TODAY(),"期限超過",IF(G943=TODAY(),"今日まで","予定")))))</f>
        <v/>
      </c>
      <c r="K943" s="22" t="n"/>
      <c r="L943" s="26" t="n"/>
    </row>
    <row r="944">
      <c r="A944" s="11" t="n"/>
      <c r="B944" s="11" t="n"/>
      <c r="C944" s="10" t="n"/>
      <c r="D944" s="11" t="n"/>
      <c r="E944" s="10" t="n"/>
      <c r="F944" s="22" t="n"/>
      <c r="G944" s="24" t="n"/>
      <c r="H944" s="23" t="n"/>
      <c r="I944" s="25" t="n"/>
      <c r="J944" s="10">
        <f>IF(D944="","",IF(H944="✓","完了",IF(G944="","",IF(G944&lt;TODAY(),"期限超過",IF(G944=TODAY(),"今日まで","予定")))))</f>
        <v/>
      </c>
      <c r="K944" s="22" t="n"/>
      <c r="L944" s="26" t="n"/>
    </row>
    <row r="945">
      <c r="A945" s="11" t="n"/>
      <c r="B945" s="11" t="n"/>
      <c r="C945" s="10" t="n"/>
      <c r="D945" s="11" t="n"/>
      <c r="E945" s="10" t="n"/>
      <c r="F945" s="22" t="n"/>
      <c r="G945" s="24" t="n"/>
      <c r="H945" s="23" t="n"/>
      <c r="I945" s="25" t="n"/>
      <c r="J945" s="10">
        <f>IF(D945="","",IF(H945="✓","完了",IF(G945="","",IF(G945&lt;TODAY(),"期限超過",IF(G945=TODAY(),"今日まで","予定")))))</f>
        <v/>
      </c>
      <c r="K945" s="22" t="n"/>
      <c r="L945" s="26" t="n"/>
    </row>
    <row r="946">
      <c r="A946" s="11" t="n"/>
      <c r="B946" s="11" t="n"/>
      <c r="C946" s="10" t="n"/>
      <c r="D946" s="11" t="n"/>
      <c r="E946" s="10" t="n"/>
      <c r="F946" s="22" t="n"/>
      <c r="G946" s="24" t="n"/>
      <c r="H946" s="23" t="n"/>
      <c r="I946" s="25" t="n"/>
      <c r="J946" s="10">
        <f>IF(D946="","",IF(H946="✓","完了",IF(G946="","",IF(G946&lt;TODAY(),"期限超過",IF(G946=TODAY(),"今日まで","予定")))))</f>
        <v/>
      </c>
      <c r="K946" s="22" t="n"/>
      <c r="L946" s="26" t="n"/>
    </row>
    <row r="947">
      <c r="A947" s="11" t="n"/>
      <c r="B947" s="11" t="n"/>
      <c r="C947" s="10" t="n"/>
      <c r="D947" s="11" t="n"/>
      <c r="E947" s="10" t="n"/>
      <c r="F947" s="22" t="n"/>
      <c r="G947" s="24" t="n"/>
      <c r="H947" s="23" t="n"/>
      <c r="I947" s="25" t="n"/>
      <c r="J947" s="10">
        <f>IF(D947="","",IF(H947="✓","完了",IF(G947="","",IF(G947&lt;TODAY(),"期限超過",IF(G947=TODAY(),"今日まで","予定")))))</f>
        <v/>
      </c>
      <c r="K947" s="22" t="n"/>
      <c r="L947" s="26" t="n"/>
    </row>
    <row r="948">
      <c r="A948" s="11" t="n"/>
      <c r="B948" s="11" t="n"/>
      <c r="C948" s="10" t="n"/>
      <c r="D948" s="11" t="n"/>
      <c r="E948" s="10" t="n"/>
      <c r="F948" s="22" t="n"/>
      <c r="G948" s="24" t="n"/>
      <c r="H948" s="23" t="n"/>
      <c r="I948" s="25" t="n"/>
      <c r="J948" s="10">
        <f>IF(D948="","",IF(H948="✓","完了",IF(G948="","",IF(G948&lt;TODAY(),"期限超過",IF(G948=TODAY(),"今日まで","予定")))))</f>
        <v/>
      </c>
      <c r="K948" s="22" t="n"/>
      <c r="L948" s="26" t="n"/>
    </row>
    <row r="949">
      <c r="A949" s="11" t="n"/>
      <c r="B949" s="11" t="n"/>
      <c r="C949" s="10" t="n"/>
      <c r="D949" s="11" t="n"/>
      <c r="E949" s="10" t="n"/>
      <c r="F949" s="22" t="n"/>
      <c r="G949" s="24" t="n"/>
      <c r="H949" s="23" t="n"/>
      <c r="I949" s="25" t="n"/>
      <c r="J949" s="10">
        <f>IF(D949="","",IF(H949="✓","完了",IF(G949="","",IF(G949&lt;TODAY(),"期限超過",IF(G949=TODAY(),"今日まで","予定")))))</f>
        <v/>
      </c>
      <c r="K949" s="22" t="n"/>
      <c r="L949" s="26" t="n"/>
    </row>
    <row r="950">
      <c r="A950" s="11" t="n"/>
      <c r="B950" s="11" t="n"/>
      <c r="C950" s="10" t="n"/>
      <c r="D950" s="11" t="n"/>
      <c r="E950" s="10" t="n"/>
      <c r="F950" s="22" t="n"/>
      <c r="G950" s="24" t="n"/>
      <c r="H950" s="23" t="n"/>
      <c r="I950" s="25" t="n"/>
      <c r="J950" s="10">
        <f>IF(D950="","",IF(H950="✓","完了",IF(G950="","",IF(G950&lt;TODAY(),"期限超過",IF(G950=TODAY(),"今日まで","予定")))))</f>
        <v/>
      </c>
      <c r="K950" s="22" t="n"/>
      <c r="L950" s="26" t="n"/>
    </row>
    <row r="951">
      <c r="A951" s="11" t="n"/>
      <c r="B951" s="11" t="n"/>
      <c r="C951" s="10" t="n"/>
      <c r="D951" s="11" t="n"/>
      <c r="E951" s="10" t="n"/>
      <c r="F951" s="22" t="n"/>
      <c r="G951" s="24" t="n"/>
      <c r="H951" s="23" t="n"/>
      <c r="I951" s="25" t="n"/>
      <c r="J951" s="10">
        <f>IF(D951="","",IF(H951="✓","完了",IF(G951="","",IF(G951&lt;TODAY(),"期限超過",IF(G951=TODAY(),"今日まで","予定")))))</f>
        <v/>
      </c>
      <c r="K951" s="22" t="n"/>
      <c r="L951" s="26" t="n"/>
    </row>
    <row r="952">
      <c r="A952" s="11" t="n"/>
      <c r="B952" s="11" t="n"/>
      <c r="C952" s="10" t="n"/>
      <c r="D952" s="11" t="n"/>
      <c r="E952" s="10" t="n"/>
      <c r="F952" s="22" t="n"/>
      <c r="G952" s="24" t="n"/>
      <c r="H952" s="23" t="n"/>
      <c r="I952" s="25" t="n"/>
      <c r="J952" s="10">
        <f>IF(D952="","",IF(H952="✓","完了",IF(G952="","",IF(G952&lt;TODAY(),"期限超過",IF(G952=TODAY(),"今日まで","予定")))))</f>
        <v/>
      </c>
      <c r="K952" s="22" t="n"/>
      <c r="L952" s="26" t="n"/>
    </row>
    <row r="953">
      <c r="A953" s="11" t="n"/>
      <c r="B953" s="11" t="n"/>
      <c r="C953" s="10" t="n"/>
      <c r="D953" s="11" t="n"/>
      <c r="E953" s="10" t="n"/>
      <c r="F953" s="22" t="n"/>
      <c r="G953" s="24" t="n"/>
      <c r="H953" s="23" t="n"/>
      <c r="I953" s="25" t="n"/>
      <c r="J953" s="10">
        <f>IF(D953="","",IF(H953="✓","完了",IF(G953="","",IF(G953&lt;TODAY(),"期限超過",IF(G953=TODAY(),"今日まで","予定")))))</f>
        <v/>
      </c>
      <c r="K953" s="22" t="n"/>
      <c r="L953" s="26" t="n"/>
    </row>
    <row r="954">
      <c r="A954" s="11" t="n"/>
      <c r="B954" s="11" t="n"/>
      <c r="C954" s="10" t="n"/>
      <c r="D954" s="11" t="n"/>
      <c r="E954" s="10" t="n"/>
      <c r="F954" s="22" t="n"/>
      <c r="G954" s="24" t="n"/>
      <c r="H954" s="23" t="n"/>
      <c r="I954" s="25" t="n"/>
      <c r="J954" s="10">
        <f>IF(D954="","",IF(H954="✓","完了",IF(G954="","",IF(G954&lt;TODAY(),"期限超過",IF(G954=TODAY(),"今日まで","予定")))))</f>
        <v/>
      </c>
      <c r="K954" s="22" t="n"/>
      <c r="L954" s="26" t="n"/>
    </row>
    <row r="955">
      <c r="A955" s="11" t="n"/>
      <c r="B955" s="11" t="n"/>
      <c r="C955" s="10" t="n"/>
      <c r="D955" s="11" t="n"/>
      <c r="E955" s="10" t="n"/>
      <c r="F955" s="22" t="n"/>
      <c r="G955" s="24" t="n"/>
      <c r="H955" s="23" t="n"/>
      <c r="I955" s="25" t="n"/>
      <c r="J955" s="10">
        <f>IF(D955="","",IF(H955="✓","完了",IF(G955="","",IF(G955&lt;TODAY(),"期限超過",IF(G955=TODAY(),"今日まで","予定")))))</f>
        <v/>
      </c>
      <c r="K955" s="22" t="n"/>
      <c r="L955" s="26" t="n"/>
    </row>
    <row r="956">
      <c r="A956" s="11" t="n"/>
      <c r="B956" s="11" t="n"/>
      <c r="C956" s="10" t="n"/>
      <c r="D956" s="11" t="n"/>
      <c r="E956" s="10" t="n"/>
      <c r="F956" s="22" t="n"/>
      <c r="G956" s="24" t="n"/>
      <c r="H956" s="23" t="n"/>
      <c r="I956" s="25" t="n"/>
      <c r="J956" s="10">
        <f>IF(D956="","",IF(H956="✓","完了",IF(G956="","",IF(G956&lt;TODAY(),"期限超過",IF(G956=TODAY(),"今日まで","予定")))))</f>
        <v/>
      </c>
      <c r="K956" s="22" t="n"/>
      <c r="L956" s="26" t="n"/>
    </row>
    <row r="957">
      <c r="A957" s="11" t="n"/>
      <c r="B957" s="11" t="n"/>
      <c r="C957" s="10" t="n"/>
      <c r="D957" s="11" t="n"/>
      <c r="E957" s="10" t="n"/>
      <c r="F957" s="22" t="n"/>
      <c r="G957" s="24" t="n"/>
      <c r="H957" s="23" t="n"/>
      <c r="I957" s="25" t="n"/>
      <c r="J957" s="10">
        <f>IF(D957="","",IF(H957="✓","完了",IF(G957="","",IF(G957&lt;TODAY(),"期限超過",IF(G957=TODAY(),"今日まで","予定")))))</f>
        <v/>
      </c>
      <c r="K957" s="22" t="n"/>
      <c r="L957" s="26" t="n"/>
    </row>
    <row r="958">
      <c r="A958" s="11" t="n"/>
      <c r="B958" s="11" t="n"/>
      <c r="C958" s="10" t="n"/>
      <c r="D958" s="11" t="n"/>
      <c r="E958" s="10" t="n"/>
      <c r="F958" s="22" t="n"/>
      <c r="G958" s="24" t="n"/>
      <c r="H958" s="23" t="n"/>
      <c r="I958" s="25" t="n"/>
      <c r="J958" s="10">
        <f>IF(D958="","",IF(H958="✓","完了",IF(G958="","",IF(G958&lt;TODAY(),"期限超過",IF(G958=TODAY(),"今日まで","予定")))))</f>
        <v/>
      </c>
      <c r="K958" s="22" t="n"/>
      <c r="L958" s="26" t="n"/>
    </row>
    <row r="959">
      <c r="A959" s="11" t="n"/>
      <c r="B959" s="11" t="n"/>
      <c r="C959" s="10" t="n"/>
      <c r="D959" s="11" t="n"/>
      <c r="E959" s="10" t="n"/>
      <c r="F959" s="22" t="n"/>
      <c r="G959" s="24" t="n"/>
      <c r="H959" s="23" t="n"/>
      <c r="I959" s="25" t="n"/>
      <c r="J959" s="10">
        <f>IF(D959="","",IF(H959="✓","完了",IF(G959="","",IF(G959&lt;TODAY(),"期限超過",IF(G959=TODAY(),"今日まで","予定")))))</f>
        <v/>
      </c>
      <c r="K959" s="22" t="n"/>
      <c r="L959" s="26" t="n"/>
    </row>
    <row r="960">
      <c r="A960" s="11" t="n"/>
      <c r="B960" s="11" t="n"/>
      <c r="C960" s="10" t="n"/>
      <c r="D960" s="11" t="n"/>
      <c r="E960" s="10" t="n"/>
      <c r="F960" s="22" t="n"/>
      <c r="G960" s="24" t="n"/>
      <c r="H960" s="23" t="n"/>
      <c r="I960" s="25" t="n"/>
      <c r="J960" s="10">
        <f>IF(D960="","",IF(H960="✓","完了",IF(G960="","",IF(G960&lt;TODAY(),"期限超過",IF(G960=TODAY(),"今日まで","予定")))))</f>
        <v/>
      </c>
      <c r="K960" s="22" t="n"/>
      <c r="L960" s="26" t="n"/>
    </row>
    <row r="961">
      <c r="A961" s="11" t="n"/>
      <c r="B961" s="11" t="n"/>
      <c r="C961" s="10" t="n"/>
      <c r="D961" s="11" t="n"/>
      <c r="E961" s="10" t="n"/>
      <c r="F961" s="22" t="n"/>
      <c r="G961" s="24" t="n"/>
      <c r="H961" s="23" t="n"/>
      <c r="I961" s="25" t="n"/>
      <c r="J961" s="10">
        <f>IF(D961="","",IF(H961="✓","完了",IF(G961="","",IF(G961&lt;TODAY(),"期限超過",IF(G961=TODAY(),"今日まで","予定")))))</f>
        <v/>
      </c>
      <c r="K961" s="22" t="n"/>
      <c r="L961" s="26" t="n"/>
    </row>
    <row r="962">
      <c r="A962" s="11" t="n"/>
      <c r="B962" s="11" t="n"/>
      <c r="C962" s="10" t="n"/>
      <c r="D962" s="11" t="n"/>
      <c r="E962" s="10" t="n"/>
      <c r="F962" s="22" t="n"/>
      <c r="G962" s="24" t="n"/>
      <c r="H962" s="23" t="n"/>
      <c r="I962" s="25" t="n"/>
      <c r="J962" s="10">
        <f>IF(D962="","",IF(H962="✓","完了",IF(G962="","",IF(G962&lt;TODAY(),"期限超過",IF(G962=TODAY(),"今日まで","予定")))))</f>
        <v/>
      </c>
      <c r="K962" s="22" t="n"/>
      <c r="L962" s="26" t="n"/>
    </row>
    <row r="963">
      <c r="A963" s="11" t="n"/>
      <c r="B963" s="11" t="n"/>
      <c r="C963" s="10" t="n"/>
      <c r="D963" s="11" t="n"/>
      <c r="E963" s="10" t="n"/>
      <c r="F963" s="22" t="n"/>
      <c r="G963" s="24" t="n"/>
      <c r="H963" s="23" t="n"/>
      <c r="I963" s="25" t="n"/>
      <c r="J963" s="10">
        <f>IF(D963="","",IF(H963="✓","完了",IF(G963="","",IF(G963&lt;TODAY(),"期限超過",IF(G963=TODAY(),"今日まで","予定")))))</f>
        <v/>
      </c>
      <c r="K963" s="22" t="n"/>
      <c r="L963" s="26" t="n"/>
    </row>
    <row r="964">
      <c r="A964" s="11" t="n"/>
      <c r="B964" s="11" t="n"/>
      <c r="C964" s="10" t="n"/>
      <c r="D964" s="11" t="n"/>
      <c r="E964" s="10" t="n"/>
      <c r="F964" s="22" t="n"/>
      <c r="G964" s="24" t="n"/>
      <c r="H964" s="23" t="n"/>
      <c r="I964" s="25" t="n"/>
      <c r="J964" s="10">
        <f>IF(D964="","",IF(H964="✓","完了",IF(G964="","",IF(G964&lt;TODAY(),"期限超過",IF(G964=TODAY(),"今日まで","予定")))))</f>
        <v/>
      </c>
      <c r="K964" s="22" t="n"/>
      <c r="L964" s="26" t="n"/>
    </row>
    <row r="965">
      <c r="A965" s="11" t="n"/>
      <c r="B965" s="11" t="n"/>
      <c r="C965" s="10" t="n"/>
      <c r="D965" s="11" t="n"/>
      <c r="E965" s="10" t="n"/>
      <c r="F965" s="22" t="n"/>
      <c r="G965" s="24" t="n"/>
      <c r="H965" s="23" t="n"/>
      <c r="I965" s="25" t="n"/>
      <c r="J965" s="10">
        <f>IF(D965="","",IF(H965="✓","完了",IF(G965="","",IF(G965&lt;TODAY(),"期限超過",IF(G965=TODAY(),"今日まで","予定")))))</f>
        <v/>
      </c>
      <c r="K965" s="22" t="n"/>
      <c r="L965" s="26" t="n"/>
    </row>
    <row r="966">
      <c r="A966" s="11" t="n"/>
      <c r="B966" s="11" t="n"/>
      <c r="C966" s="10" t="n"/>
      <c r="D966" s="11" t="n"/>
      <c r="E966" s="10" t="n"/>
      <c r="F966" s="22" t="n"/>
      <c r="G966" s="24" t="n"/>
      <c r="H966" s="23" t="n"/>
      <c r="I966" s="25" t="n"/>
      <c r="J966" s="10">
        <f>IF(D966="","",IF(H966="✓","完了",IF(G966="","",IF(G966&lt;TODAY(),"期限超過",IF(G966=TODAY(),"今日まで","予定")))))</f>
        <v/>
      </c>
      <c r="K966" s="22" t="n"/>
      <c r="L966" s="26" t="n"/>
    </row>
    <row r="967">
      <c r="A967" s="11" t="n"/>
      <c r="B967" s="11" t="n"/>
      <c r="C967" s="10" t="n"/>
      <c r="D967" s="11" t="n"/>
      <c r="E967" s="10" t="n"/>
      <c r="F967" s="22" t="n"/>
      <c r="G967" s="24" t="n"/>
      <c r="H967" s="23" t="n"/>
      <c r="I967" s="25" t="n"/>
      <c r="J967" s="10">
        <f>IF(D967="","",IF(H967="✓","完了",IF(G967="","",IF(G967&lt;TODAY(),"期限超過",IF(G967=TODAY(),"今日まで","予定")))))</f>
        <v/>
      </c>
      <c r="K967" s="22" t="n"/>
      <c r="L967" s="26" t="n"/>
    </row>
    <row r="968">
      <c r="A968" s="11" t="n"/>
      <c r="B968" s="11" t="n"/>
      <c r="C968" s="10" t="n"/>
      <c r="D968" s="11" t="n"/>
      <c r="E968" s="10" t="n"/>
      <c r="F968" s="22" t="n"/>
      <c r="G968" s="24" t="n"/>
      <c r="H968" s="23" t="n"/>
      <c r="I968" s="25" t="n"/>
      <c r="J968" s="10">
        <f>IF(D968="","",IF(H968="✓","完了",IF(G968="","",IF(G968&lt;TODAY(),"期限超過",IF(G968=TODAY(),"今日まで","予定")))))</f>
        <v/>
      </c>
      <c r="K968" s="22" t="n"/>
      <c r="L968" s="26" t="n"/>
    </row>
    <row r="969">
      <c r="A969" s="11" t="n"/>
      <c r="B969" s="11" t="n"/>
      <c r="C969" s="10" t="n"/>
      <c r="D969" s="11" t="n"/>
      <c r="E969" s="10" t="n"/>
      <c r="F969" s="22" t="n"/>
      <c r="G969" s="24" t="n"/>
      <c r="H969" s="23" t="n"/>
      <c r="I969" s="25" t="n"/>
      <c r="J969" s="10">
        <f>IF(D969="","",IF(H969="✓","完了",IF(G969="","",IF(G969&lt;TODAY(),"期限超過",IF(G969=TODAY(),"今日まで","予定")))))</f>
        <v/>
      </c>
      <c r="K969" s="22" t="n"/>
      <c r="L969" s="26" t="n"/>
    </row>
    <row r="970">
      <c r="A970" s="11" t="n"/>
      <c r="B970" s="11" t="n"/>
      <c r="C970" s="10" t="n"/>
      <c r="D970" s="11" t="n"/>
      <c r="E970" s="10" t="n"/>
      <c r="F970" s="22" t="n"/>
      <c r="G970" s="24" t="n"/>
      <c r="H970" s="23" t="n"/>
      <c r="I970" s="25" t="n"/>
      <c r="J970" s="10">
        <f>IF(D970="","",IF(H970="✓","完了",IF(G970="","",IF(G970&lt;TODAY(),"期限超過",IF(G970=TODAY(),"今日まで","予定")))))</f>
        <v/>
      </c>
      <c r="K970" s="22" t="n"/>
      <c r="L970" s="26" t="n"/>
    </row>
    <row r="971">
      <c r="A971" s="11" t="n"/>
      <c r="B971" s="11" t="n"/>
      <c r="C971" s="10" t="n"/>
      <c r="D971" s="11" t="n"/>
      <c r="E971" s="10" t="n"/>
      <c r="F971" s="22" t="n"/>
      <c r="G971" s="24" t="n"/>
      <c r="H971" s="23" t="n"/>
      <c r="I971" s="25" t="n"/>
      <c r="J971" s="10">
        <f>IF(D971="","",IF(H971="✓","完了",IF(G971="","",IF(G971&lt;TODAY(),"期限超過",IF(G971=TODAY(),"今日まで","予定")))))</f>
        <v/>
      </c>
      <c r="K971" s="22" t="n"/>
      <c r="L971" s="26" t="n"/>
    </row>
    <row r="972">
      <c r="A972" s="11" t="n"/>
      <c r="B972" s="11" t="n"/>
      <c r="C972" s="10" t="n"/>
      <c r="D972" s="11" t="n"/>
      <c r="E972" s="10" t="n"/>
      <c r="F972" s="22" t="n"/>
      <c r="G972" s="24" t="n"/>
      <c r="H972" s="23" t="n"/>
      <c r="I972" s="25" t="n"/>
      <c r="J972" s="10">
        <f>IF(D972="","",IF(H972="✓","完了",IF(G972="","",IF(G972&lt;TODAY(),"期限超過",IF(G972=TODAY(),"今日まで","予定")))))</f>
        <v/>
      </c>
      <c r="K972" s="22" t="n"/>
      <c r="L972" s="26" t="n"/>
    </row>
    <row r="973">
      <c r="A973" s="11" t="n"/>
      <c r="B973" s="11" t="n"/>
      <c r="C973" s="10" t="n"/>
      <c r="D973" s="11" t="n"/>
      <c r="E973" s="10" t="n"/>
      <c r="F973" s="22" t="n"/>
      <c r="G973" s="24" t="n"/>
      <c r="H973" s="23" t="n"/>
      <c r="I973" s="25" t="n"/>
      <c r="J973" s="10">
        <f>IF(D973="","",IF(H973="✓","完了",IF(G973="","",IF(G973&lt;TODAY(),"期限超過",IF(G973=TODAY(),"今日まで","予定")))))</f>
        <v/>
      </c>
      <c r="K973" s="22" t="n"/>
      <c r="L973" s="26" t="n"/>
    </row>
    <row r="974">
      <c r="A974" s="11" t="n"/>
      <c r="B974" s="11" t="n"/>
      <c r="C974" s="10" t="n"/>
      <c r="D974" s="11" t="n"/>
      <c r="E974" s="10" t="n"/>
      <c r="F974" s="22" t="n"/>
      <c r="G974" s="24" t="n"/>
      <c r="H974" s="23" t="n"/>
      <c r="I974" s="25" t="n"/>
      <c r="J974" s="10">
        <f>IF(D974="","",IF(H974="✓","完了",IF(G974="","",IF(G974&lt;TODAY(),"期限超過",IF(G974=TODAY(),"今日まで","予定")))))</f>
        <v/>
      </c>
      <c r="K974" s="22" t="n"/>
      <c r="L974" s="26" t="n"/>
    </row>
    <row r="975">
      <c r="A975" s="11" t="n"/>
      <c r="B975" s="11" t="n"/>
      <c r="C975" s="10" t="n"/>
      <c r="D975" s="11" t="n"/>
      <c r="E975" s="10" t="n"/>
      <c r="F975" s="22" t="n"/>
      <c r="G975" s="24" t="n"/>
      <c r="H975" s="23" t="n"/>
      <c r="I975" s="25" t="n"/>
      <c r="J975" s="10">
        <f>IF(D975="","",IF(H975="✓","完了",IF(G975="","",IF(G975&lt;TODAY(),"期限超過",IF(G975=TODAY(),"今日まで","予定")))))</f>
        <v/>
      </c>
      <c r="K975" s="22" t="n"/>
      <c r="L975" s="26" t="n"/>
    </row>
    <row r="976">
      <c r="A976" s="11" t="n"/>
      <c r="B976" s="11" t="n"/>
      <c r="C976" s="10" t="n"/>
      <c r="D976" s="11" t="n"/>
      <c r="E976" s="10" t="n"/>
      <c r="F976" s="22" t="n"/>
      <c r="G976" s="24" t="n"/>
      <c r="H976" s="23" t="n"/>
      <c r="I976" s="25" t="n"/>
      <c r="J976" s="10">
        <f>IF(D976="","",IF(H976="✓","完了",IF(G976="","",IF(G976&lt;TODAY(),"期限超過",IF(G976=TODAY(),"今日まで","予定")))))</f>
        <v/>
      </c>
      <c r="K976" s="22" t="n"/>
      <c r="L976" s="26" t="n"/>
    </row>
    <row r="977">
      <c r="A977" s="11" t="n"/>
      <c r="B977" s="11" t="n"/>
      <c r="C977" s="10" t="n"/>
      <c r="D977" s="11" t="n"/>
      <c r="E977" s="10" t="n"/>
      <c r="F977" s="22" t="n"/>
      <c r="G977" s="24" t="n"/>
      <c r="H977" s="23" t="n"/>
      <c r="I977" s="25" t="n"/>
      <c r="J977" s="10">
        <f>IF(D977="","",IF(H977="✓","完了",IF(G977="","",IF(G977&lt;TODAY(),"期限超過",IF(G977=TODAY(),"今日まで","予定")))))</f>
        <v/>
      </c>
      <c r="K977" s="22" t="n"/>
      <c r="L977" s="26" t="n"/>
    </row>
    <row r="978">
      <c r="A978" s="11" t="n"/>
      <c r="B978" s="11" t="n"/>
      <c r="C978" s="10" t="n"/>
      <c r="D978" s="11" t="n"/>
      <c r="E978" s="10" t="n"/>
      <c r="F978" s="22" t="n"/>
      <c r="G978" s="24" t="n"/>
      <c r="H978" s="23" t="n"/>
      <c r="I978" s="25" t="n"/>
      <c r="J978" s="10">
        <f>IF(D978="","",IF(H978="✓","完了",IF(G978="","",IF(G978&lt;TODAY(),"期限超過",IF(G978=TODAY(),"今日まで","予定")))))</f>
        <v/>
      </c>
      <c r="K978" s="22" t="n"/>
      <c r="L978" s="26" t="n"/>
    </row>
    <row r="979">
      <c r="A979" s="11" t="n"/>
      <c r="B979" s="11" t="n"/>
      <c r="C979" s="10" t="n"/>
      <c r="D979" s="11" t="n"/>
      <c r="E979" s="10" t="n"/>
      <c r="F979" s="22" t="n"/>
      <c r="G979" s="24" t="n"/>
      <c r="H979" s="23" t="n"/>
      <c r="I979" s="25" t="n"/>
      <c r="J979" s="10">
        <f>IF(D979="","",IF(H979="✓","完了",IF(G979="","",IF(G979&lt;TODAY(),"期限超過",IF(G979=TODAY(),"今日まで","予定")))))</f>
        <v/>
      </c>
      <c r="K979" s="22" t="n"/>
      <c r="L979" s="26" t="n"/>
    </row>
    <row r="980">
      <c r="A980" s="11" t="n"/>
      <c r="B980" s="11" t="n"/>
      <c r="C980" s="10" t="n"/>
      <c r="D980" s="11" t="n"/>
      <c r="E980" s="10" t="n"/>
      <c r="F980" s="22" t="n"/>
      <c r="G980" s="24" t="n"/>
      <c r="H980" s="23" t="n"/>
      <c r="I980" s="25" t="n"/>
      <c r="J980" s="10">
        <f>IF(D980="","",IF(H980="✓","完了",IF(G980="","",IF(G980&lt;TODAY(),"期限超過",IF(G980=TODAY(),"今日まで","予定")))))</f>
        <v/>
      </c>
      <c r="K980" s="22" t="n"/>
      <c r="L980" s="26" t="n"/>
    </row>
    <row r="981">
      <c r="A981" s="11" t="n"/>
      <c r="B981" s="11" t="n"/>
      <c r="C981" s="10" t="n"/>
      <c r="D981" s="11" t="n"/>
      <c r="E981" s="10" t="n"/>
      <c r="F981" s="22" t="n"/>
      <c r="G981" s="24" t="n"/>
      <c r="H981" s="23" t="n"/>
      <c r="I981" s="25" t="n"/>
      <c r="J981" s="10">
        <f>IF(D981="","",IF(H981="✓","完了",IF(G981="","",IF(G981&lt;TODAY(),"期限超過",IF(G981=TODAY(),"今日まで","予定")))))</f>
        <v/>
      </c>
      <c r="K981" s="22" t="n"/>
      <c r="L981" s="26" t="n"/>
    </row>
    <row r="982">
      <c r="A982" s="11" t="n"/>
      <c r="B982" s="11" t="n"/>
      <c r="C982" s="10" t="n"/>
      <c r="D982" s="11" t="n"/>
      <c r="E982" s="10" t="n"/>
      <c r="F982" s="22" t="n"/>
      <c r="G982" s="24" t="n"/>
      <c r="H982" s="23" t="n"/>
      <c r="I982" s="25" t="n"/>
      <c r="J982" s="10">
        <f>IF(D982="","",IF(H982="✓","完了",IF(G982="","",IF(G982&lt;TODAY(),"期限超過",IF(G982=TODAY(),"今日まで","予定")))))</f>
        <v/>
      </c>
      <c r="K982" s="22" t="n"/>
      <c r="L982" s="26" t="n"/>
    </row>
    <row r="983">
      <c r="A983" s="11" t="n"/>
      <c r="B983" s="11" t="n"/>
      <c r="C983" s="10" t="n"/>
      <c r="D983" s="11" t="n"/>
      <c r="E983" s="10" t="n"/>
      <c r="F983" s="22" t="n"/>
      <c r="G983" s="24" t="n"/>
      <c r="H983" s="23" t="n"/>
      <c r="I983" s="25" t="n"/>
      <c r="J983" s="10">
        <f>IF(D983="","",IF(H983="✓","完了",IF(G983="","",IF(G983&lt;TODAY(),"期限超過",IF(G983=TODAY(),"今日まで","予定")))))</f>
        <v/>
      </c>
      <c r="K983" s="22" t="n"/>
      <c r="L983" s="26" t="n"/>
    </row>
    <row r="984">
      <c r="A984" s="11" t="n"/>
      <c r="B984" s="11" t="n"/>
      <c r="C984" s="10" t="n"/>
      <c r="D984" s="11" t="n"/>
      <c r="E984" s="10" t="n"/>
      <c r="F984" s="22" t="n"/>
      <c r="G984" s="24" t="n"/>
      <c r="H984" s="23" t="n"/>
      <c r="I984" s="25" t="n"/>
      <c r="J984" s="10">
        <f>IF(D984="","",IF(H984="✓","完了",IF(G984="","",IF(G984&lt;TODAY(),"期限超過",IF(G984=TODAY(),"今日まで","予定")))))</f>
        <v/>
      </c>
      <c r="K984" s="22" t="n"/>
      <c r="L984" s="26" t="n"/>
    </row>
    <row r="985">
      <c r="A985" s="11" t="n"/>
      <c r="B985" s="11" t="n"/>
      <c r="C985" s="10" t="n"/>
      <c r="D985" s="11" t="n"/>
      <c r="E985" s="10" t="n"/>
      <c r="F985" s="22" t="n"/>
      <c r="G985" s="24" t="n"/>
      <c r="H985" s="23" t="n"/>
      <c r="I985" s="25" t="n"/>
      <c r="J985" s="10">
        <f>IF(D985="","",IF(H985="✓","完了",IF(G985="","",IF(G985&lt;TODAY(),"期限超過",IF(G985=TODAY(),"今日まで","予定")))))</f>
        <v/>
      </c>
      <c r="K985" s="22" t="n"/>
      <c r="L985" s="26" t="n"/>
    </row>
    <row r="986">
      <c r="A986" s="11" t="n"/>
      <c r="B986" s="11" t="n"/>
      <c r="C986" s="10" t="n"/>
      <c r="D986" s="11" t="n"/>
      <c r="E986" s="10" t="n"/>
      <c r="F986" s="22" t="n"/>
      <c r="G986" s="24" t="n"/>
      <c r="H986" s="23" t="n"/>
      <c r="I986" s="25" t="n"/>
      <c r="J986" s="10">
        <f>IF(D986="","",IF(H986="✓","完了",IF(G986="","",IF(G986&lt;TODAY(),"期限超過",IF(G986=TODAY(),"今日まで","予定")))))</f>
        <v/>
      </c>
      <c r="K986" s="22" t="n"/>
      <c r="L986" s="26" t="n"/>
    </row>
    <row r="987">
      <c r="A987" s="11" t="n"/>
      <c r="B987" s="11" t="n"/>
      <c r="C987" s="10" t="n"/>
      <c r="D987" s="11" t="n"/>
      <c r="E987" s="10" t="n"/>
      <c r="F987" s="22" t="n"/>
      <c r="G987" s="24" t="n"/>
      <c r="H987" s="23" t="n"/>
      <c r="I987" s="25" t="n"/>
      <c r="J987" s="10">
        <f>IF(D987="","",IF(H987="✓","完了",IF(G987="","",IF(G987&lt;TODAY(),"期限超過",IF(G987=TODAY(),"今日まで","予定")))))</f>
        <v/>
      </c>
      <c r="K987" s="22" t="n"/>
      <c r="L987" s="26" t="n"/>
    </row>
    <row r="988">
      <c r="A988" s="11" t="n"/>
      <c r="B988" s="11" t="n"/>
      <c r="C988" s="10" t="n"/>
      <c r="D988" s="11" t="n"/>
      <c r="E988" s="10" t="n"/>
      <c r="F988" s="22" t="n"/>
      <c r="G988" s="24" t="n"/>
      <c r="H988" s="23" t="n"/>
      <c r="I988" s="25" t="n"/>
      <c r="J988" s="10">
        <f>IF(D988="","",IF(H988="✓","完了",IF(G988="","",IF(G988&lt;TODAY(),"期限超過",IF(G988=TODAY(),"今日まで","予定")))))</f>
        <v/>
      </c>
      <c r="K988" s="22" t="n"/>
      <c r="L988" s="26" t="n"/>
    </row>
    <row r="989">
      <c r="A989" s="11" t="n"/>
      <c r="B989" s="11" t="n"/>
      <c r="C989" s="10" t="n"/>
      <c r="D989" s="11" t="n"/>
      <c r="E989" s="10" t="n"/>
      <c r="F989" s="22" t="n"/>
      <c r="G989" s="24" t="n"/>
      <c r="H989" s="23" t="n"/>
      <c r="I989" s="25" t="n"/>
      <c r="J989" s="10">
        <f>IF(D989="","",IF(H989="✓","完了",IF(G989="","",IF(G989&lt;TODAY(),"期限超過",IF(G989=TODAY(),"今日まで","予定")))))</f>
        <v/>
      </c>
      <c r="K989" s="22" t="n"/>
      <c r="L989" s="26" t="n"/>
    </row>
    <row r="990">
      <c r="A990" s="11" t="n"/>
      <c r="B990" s="11" t="n"/>
      <c r="C990" s="10" t="n"/>
      <c r="D990" s="11" t="n"/>
      <c r="E990" s="10" t="n"/>
      <c r="F990" s="22" t="n"/>
      <c r="G990" s="24" t="n"/>
      <c r="H990" s="23" t="n"/>
      <c r="I990" s="25" t="n"/>
      <c r="J990" s="10">
        <f>IF(D990="","",IF(H990="✓","完了",IF(G990="","",IF(G990&lt;TODAY(),"期限超過",IF(G990=TODAY(),"今日まで","予定")))))</f>
        <v/>
      </c>
      <c r="K990" s="22" t="n"/>
      <c r="L990" s="26" t="n"/>
    </row>
    <row r="991">
      <c r="A991" s="11" t="n"/>
      <c r="B991" s="11" t="n"/>
      <c r="C991" s="10" t="n"/>
      <c r="D991" s="11" t="n"/>
      <c r="E991" s="10" t="n"/>
      <c r="F991" s="22" t="n"/>
      <c r="G991" s="24" t="n"/>
      <c r="H991" s="23" t="n"/>
      <c r="I991" s="25" t="n"/>
      <c r="J991" s="10">
        <f>IF(D991="","",IF(H991="✓","完了",IF(G991="","",IF(G991&lt;TODAY(),"期限超過",IF(G991=TODAY(),"今日まで","予定")))))</f>
        <v/>
      </c>
      <c r="K991" s="22" t="n"/>
      <c r="L991" s="26" t="n"/>
    </row>
    <row r="992">
      <c r="A992" s="11" t="n"/>
      <c r="B992" s="11" t="n"/>
      <c r="C992" s="10" t="n"/>
      <c r="D992" s="11" t="n"/>
      <c r="E992" s="10" t="n"/>
      <c r="F992" s="22" t="n"/>
      <c r="G992" s="24" t="n"/>
      <c r="H992" s="23" t="n"/>
      <c r="I992" s="25" t="n"/>
      <c r="J992" s="10">
        <f>IF(D992="","",IF(H992="✓","完了",IF(G992="","",IF(G992&lt;TODAY(),"期限超過",IF(G992=TODAY(),"今日まで","予定")))))</f>
        <v/>
      </c>
      <c r="K992" s="22" t="n"/>
      <c r="L992" s="26" t="n"/>
    </row>
    <row r="993">
      <c r="A993" s="11" t="n"/>
      <c r="B993" s="11" t="n"/>
      <c r="C993" s="10" t="n"/>
      <c r="D993" s="11" t="n"/>
      <c r="E993" s="10" t="n"/>
      <c r="F993" s="22" t="n"/>
      <c r="G993" s="24" t="n"/>
      <c r="H993" s="23" t="n"/>
      <c r="I993" s="25" t="n"/>
      <c r="J993" s="10">
        <f>IF(D993="","",IF(H993="✓","完了",IF(G993="","",IF(G993&lt;TODAY(),"期限超過",IF(G993=TODAY(),"今日まで","予定")))))</f>
        <v/>
      </c>
      <c r="K993" s="22" t="n"/>
      <c r="L993" s="26" t="n"/>
    </row>
    <row r="994">
      <c r="A994" s="11" t="n"/>
      <c r="B994" s="11" t="n"/>
      <c r="C994" s="10" t="n"/>
      <c r="D994" s="11" t="n"/>
      <c r="E994" s="10" t="n"/>
      <c r="F994" s="22" t="n"/>
      <c r="G994" s="24" t="n"/>
      <c r="H994" s="23" t="n"/>
      <c r="I994" s="25" t="n"/>
      <c r="J994" s="10">
        <f>IF(D994="","",IF(H994="✓","完了",IF(G994="","",IF(G994&lt;TODAY(),"期限超過",IF(G994=TODAY(),"今日まで","予定")))))</f>
        <v/>
      </c>
      <c r="K994" s="22" t="n"/>
      <c r="L994" s="26" t="n"/>
    </row>
    <row r="995">
      <c r="A995" s="11" t="n"/>
      <c r="B995" s="11" t="n"/>
      <c r="C995" s="10" t="n"/>
      <c r="D995" s="11" t="n"/>
      <c r="E995" s="10" t="n"/>
      <c r="F995" s="22" t="n"/>
      <c r="G995" s="24" t="n"/>
      <c r="H995" s="23" t="n"/>
      <c r="I995" s="25" t="n"/>
      <c r="J995" s="10">
        <f>IF(D995="","",IF(H995="✓","完了",IF(G995="","",IF(G995&lt;TODAY(),"期限超過",IF(G995=TODAY(),"今日まで","予定")))))</f>
        <v/>
      </c>
      <c r="K995" s="22" t="n"/>
      <c r="L995" s="26" t="n"/>
    </row>
    <row r="996">
      <c r="A996" s="11" t="n"/>
      <c r="B996" s="11" t="n"/>
      <c r="C996" s="10" t="n"/>
      <c r="D996" s="11" t="n"/>
      <c r="E996" s="10" t="n"/>
      <c r="F996" s="22" t="n"/>
      <c r="G996" s="24" t="n"/>
      <c r="H996" s="23" t="n"/>
      <c r="I996" s="25" t="n"/>
      <c r="J996" s="10">
        <f>IF(D996="","",IF(H996="✓","完了",IF(G996="","",IF(G996&lt;TODAY(),"期限超過",IF(G996=TODAY(),"今日まで","予定")))))</f>
        <v/>
      </c>
      <c r="K996" s="22" t="n"/>
      <c r="L996" s="26" t="n"/>
    </row>
    <row r="997">
      <c r="A997" s="11" t="n"/>
      <c r="B997" s="11" t="n"/>
      <c r="C997" s="10" t="n"/>
      <c r="D997" s="11" t="n"/>
      <c r="E997" s="10" t="n"/>
      <c r="F997" s="22" t="n"/>
      <c r="G997" s="24" t="n"/>
      <c r="H997" s="23" t="n"/>
      <c r="I997" s="25" t="n"/>
      <c r="J997" s="10">
        <f>IF(D997="","",IF(H997="✓","完了",IF(G997="","",IF(G997&lt;TODAY(),"期限超過",IF(G997=TODAY(),"今日まで","予定")))))</f>
        <v/>
      </c>
      <c r="K997" s="22" t="n"/>
      <c r="L997" s="26" t="n"/>
    </row>
    <row r="998">
      <c r="A998" s="11" t="n"/>
      <c r="B998" s="11" t="n"/>
      <c r="C998" s="10" t="n"/>
      <c r="D998" s="11" t="n"/>
      <c r="E998" s="10" t="n"/>
      <c r="F998" s="22" t="n"/>
      <c r="G998" s="24" t="n"/>
      <c r="H998" s="23" t="n"/>
      <c r="I998" s="25" t="n"/>
      <c r="J998" s="10">
        <f>IF(D998="","",IF(H998="✓","完了",IF(G998="","",IF(G998&lt;TODAY(),"期限超過",IF(G998=TODAY(),"今日まで","予定")))))</f>
        <v/>
      </c>
      <c r="K998" s="22" t="n"/>
      <c r="L998" s="26" t="n"/>
    </row>
    <row r="999">
      <c r="A999" s="11" t="n"/>
      <c r="B999" s="11" t="n"/>
      <c r="C999" s="10" t="n"/>
      <c r="D999" s="11" t="n"/>
      <c r="E999" s="10" t="n"/>
      <c r="F999" s="22" t="n"/>
      <c r="G999" s="24" t="n"/>
      <c r="H999" s="23" t="n"/>
      <c r="I999" s="25" t="n"/>
      <c r="J999" s="10">
        <f>IF(D999="","",IF(H999="✓","完了",IF(G999="","",IF(G999&lt;TODAY(),"期限超過",IF(G999=TODAY(),"今日まで","予定")))))</f>
        <v/>
      </c>
      <c r="K999" s="22" t="n"/>
      <c r="L999" s="26" t="n"/>
    </row>
    <row r="1000">
      <c r="A1000" s="11" t="n"/>
      <c r="B1000" s="11" t="n"/>
      <c r="C1000" s="10" t="n"/>
      <c r="D1000" s="11" t="n"/>
      <c r="E1000" s="10" t="n"/>
      <c r="F1000" s="22" t="n"/>
      <c r="G1000" s="24" t="n"/>
      <c r="H1000" s="23" t="n"/>
      <c r="I1000" s="25" t="n"/>
      <c r="J1000" s="10">
        <f>IF(D1000="","",IF(H1000="✓","完了",IF(G1000="","",IF(G1000&lt;TODAY(),"期限超過",IF(G1000=TODAY(),"今日まで","予定")))))</f>
        <v/>
      </c>
      <c r="K1000" s="22" t="n"/>
      <c r="L1000" s="26" t="n"/>
    </row>
    <row r="1001">
      <c r="A1001" s="11" t="n"/>
      <c r="B1001" s="11" t="n"/>
      <c r="C1001" s="10" t="n"/>
      <c r="D1001" s="11" t="n"/>
      <c r="E1001" s="10" t="n"/>
      <c r="F1001" s="22" t="n"/>
      <c r="G1001" s="24" t="n"/>
      <c r="H1001" s="23" t="n"/>
      <c r="I1001" s="25" t="n"/>
      <c r="J1001" s="10">
        <f>IF(D1001="","",IF(H1001="✓","完了",IF(G1001="","",IF(G1001&lt;TODAY(),"期限超過",IF(G1001=TODAY(),"今日まで","予定")))))</f>
        <v/>
      </c>
      <c r="K1001" s="22" t="n"/>
      <c r="L1001" s="26" t="n"/>
    </row>
    <row r="1002">
      <c r="A1002" s="11" t="n"/>
      <c r="B1002" s="11" t="n"/>
      <c r="C1002" s="10" t="n"/>
      <c r="D1002" s="11" t="n"/>
      <c r="E1002" s="10" t="n"/>
      <c r="F1002" s="22" t="n"/>
      <c r="G1002" s="24" t="n"/>
      <c r="H1002" s="23" t="n"/>
      <c r="I1002" s="25" t="n"/>
      <c r="J1002" s="10">
        <f>IF(D1002="","",IF(H1002="✓","完了",IF(G1002="","",IF(G1002&lt;TODAY(),"期限超過",IF(G1002=TODAY(),"今日まで","予定")))))</f>
        <v/>
      </c>
      <c r="K1002" s="22" t="n"/>
      <c r="L1002" s="26" t="n"/>
    </row>
    <row r="1003">
      <c r="A1003" s="11" t="n"/>
      <c r="B1003" s="11" t="n"/>
      <c r="C1003" s="10" t="n"/>
      <c r="D1003" s="11" t="n"/>
      <c r="E1003" s="10" t="n"/>
      <c r="F1003" s="22" t="n"/>
      <c r="G1003" s="24" t="n"/>
      <c r="H1003" s="23" t="n"/>
      <c r="I1003" s="25" t="n"/>
      <c r="J1003" s="10">
        <f>IF(D1003="","",IF(H1003="✓","完了",IF(G1003="","",IF(G1003&lt;TODAY(),"期限超過",IF(G1003=TODAY(),"今日まで","予定")))))</f>
        <v/>
      </c>
      <c r="K1003" s="22" t="n"/>
      <c r="L1003" s="26" t="n"/>
    </row>
    <row r="1004">
      <c r="A1004" s="11" t="n"/>
      <c r="B1004" s="11" t="n"/>
      <c r="C1004" s="10" t="n"/>
      <c r="D1004" s="11" t="n"/>
      <c r="E1004" s="10" t="n"/>
      <c r="F1004" s="22" t="n"/>
      <c r="G1004" s="24" t="n"/>
      <c r="H1004" s="23" t="n"/>
      <c r="I1004" s="25" t="n"/>
      <c r="J1004" s="10">
        <f>IF(D1004="","",IF(H1004="✓","完了",IF(G1004="","",IF(G1004&lt;TODAY(),"期限超過",IF(G1004=TODAY(),"今日まで","予定")))))</f>
        <v/>
      </c>
      <c r="K1004" s="22" t="n"/>
      <c r="L1004" s="26" t="n"/>
    </row>
    <row r="1005">
      <c r="A1005" s="11" t="n"/>
      <c r="B1005" s="11" t="n"/>
      <c r="C1005" s="10" t="n"/>
      <c r="D1005" s="11" t="n"/>
      <c r="E1005" s="10" t="n"/>
      <c r="F1005" s="22" t="n"/>
      <c r="G1005" s="24" t="n"/>
      <c r="H1005" s="23" t="n"/>
      <c r="I1005" s="25" t="n"/>
      <c r="J1005" s="10">
        <f>IF(D1005="","",IF(H1005="✓","完了",IF(G1005="","",IF(G1005&lt;TODAY(),"期限超過",IF(G1005=TODAY(),"今日まで","予定")))))</f>
        <v/>
      </c>
      <c r="K1005" s="22" t="n"/>
      <c r="L1005" s="26" t="n"/>
    </row>
    <row r="1006">
      <c r="A1006" s="11" t="n"/>
      <c r="B1006" s="11" t="n"/>
      <c r="C1006" s="10" t="n"/>
      <c r="D1006" s="11" t="n"/>
      <c r="E1006" s="10" t="n"/>
      <c r="F1006" s="22" t="n"/>
      <c r="G1006" s="24" t="n"/>
      <c r="H1006" s="23" t="n"/>
      <c r="I1006" s="25" t="n"/>
      <c r="J1006" s="10">
        <f>IF(D1006="","",IF(H1006="✓","完了",IF(G1006="","",IF(G1006&lt;TODAY(),"期限超過",IF(G1006=TODAY(),"今日まで","予定")))))</f>
        <v/>
      </c>
      <c r="K1006" s="22" t="n"/>
      <c r="L1006" s="26" t="n"/>
    </row>
    <row r="1007">
      <c r="A1007" s="11" t="n"/>
      <c r="B1007" s="11" t="n"/>
      <c r="C1007" s="10" t="n"/>
      <c r="D1007" s="11" t="n"/>
      <c r="E1007" s="10" t="n"/>
      <c r="F1007" s="22" t="n"/>
      <c r="G1007" s="24" t="n"/>
      <c r="H1007" s="23" t="n"/>
      <c r="I1007" s="25" t="n"/>
      <c r="J1007" s="10">
        <f>IF(D1007="","",IF(H1007="✓","完了",IF(G1007="","",IF(G1007&lt;TODAY(),"期限超過",IF(G1007=TODAY(),"今日まで","予定")))))</f>
        <v/>
      </c>
      <c r="K1007" s="22" t="n"/>
      <c r="L1007" s="26" t="n"/>
    </row>
    <row r="1008">
      <c r="A1008" s="11" t="n"/>
      <c r="B1008" s="11" t="n"/>
      <c r="C1008" s="10" t="n"/>
      <c r="D1008" s="11" t="n"/>
      <c r="E1008" s="10" t="n"/>
      <c r="F1008" s="22" t="n"/>
      <c r="G1008" s="24" t="n"/>
      <c r="H1008" s="23" t="n"/>
      <c r="I1008" s="25" t="n"/>
      <c r="J1008" s="10">
        <f>IF(D1008="","",IF(H1008="✓","完了",IF(G1008="","",IF(G1008&lt;TODAY(),"期限超過",IF(G1008=TODAY(),"今日まで","予定")))))</f>
        <v/>
      </c>
      <c r="K1008" s="22" t="n"/>
      <c r="L1008" s="26" t="n"/>
    </row>
    <row r="1009">
      <c r="A1009" s="11" t="n"/>
      <c r="B1009" s="11" t="n"/>
      <c r="C1009" s="10" t="n"/>
      <c r="D1009" s="11" t="n"/>
      <c r="E1009" s="10" t="n"/>
      <c r="F1009" s="22" t="n"/>
      <c r="G1009" s="24" t="n"/>
      <c r="H1009" s="23" t="n"/>
      <c r="I1009" s="25" t="n"/>
      <c r="J1009" s="10">
        <f>IF(D1009="","",IF(H1009="✓","完了",IF(G1009="","",IF(G1009&lt;TODAY(),"期限超過",IF(G1009=TODAY(),"今日まで","予定")))))</f>
        <v/>
      </c>
      <c r="K1009" s="22" t="n"/>
      <c r="L1009" s="26" t="n"/>
    </row>
    <row r="1010">
      <c r="A1010" s="11" t="n"/>
      <c r="B1010" s="11" t="n"/>
      <c r="C1010" s="10" t="n"/>
      <c r="D1010" s="11" t="n"/>
      <c r="E1010" s="10" t="n"/>
      <c r="F1010" s="22" t="n"/>
      <c r="G1010" s="24" t="n"/>
      <c r="H1010" s="23" t="n"/>
      <c r="I1010" s="25" t="n"/>
      <c r="J1010" s="10">
        <f>IF(D1010="","",IF(H1010="✓","完了",IF(G1010="","",IF(G1010&lt;TODAY(),"期限超過",IF(G1010=TODAY(),"今日まで","予定")))))</f>
        <v/>
      </c>
      <c r="K1010" s="22" t="n"/>
      <c r="L1010" s="26" t="n"/>
    </row>
    <row r="1011">
      <c r="A1011" s="11" t="n"/>
      <c r="B1011" s="11" t="n"/>
      <c r="C1011" s="10" t="n"/>
      <c r="D1011" s="11" t="n"/>
      <c r="E1011" s="10" t="n"/>
      <c r="F1011" s="22" t="n"/>
      <c r="G1011" s="24" t="n"/>
      <c r="H1011" s="23" t="n"/>
      <c r="I1011" s="25" t="n"/>
      <c r="J1011" s="10">
        <f>IF(D1011="","",IF(H1011="✓","完了",IF(G1011="","",IF(G1011&lt;TODAY(),"期限超過",IF(G1011=TODAY(),"今日まで","予定")))))</f>
        <v/>
      </c>
      <c r="K1011" s="22" t="n"/>
      <c r="L1011" s="26" t="n"/>
    </row>
    <row r="1012">
      <c r="A1012" s="11" t="n"/>
      <c r="B1012" s="11" t="n"/>
      <c r="C1012" s="10" t="n"/>
      <c r="D1012" s="11" t="n"/>
      <c r="E1012" s="10" t="n"/>
      <c r="F1012" s="22" t="n"/>
      <c r="G1012" s="24" t="n"/>
      <c r="H1012" s="23" t="n"/>
      <c r="I1012" s="25" t="n"/>
      <c r="J1012" s="10">
        <f>IF(D1012="","",IF(H1012="✓","完了",IF(G1012="","",IF(G1012&lt;TODAY(),"期限超過",IF(G1012=TODAY(),"今日まで","予定")))))</f>
        <v/>
      </c>
      <c r="K1012" s="22" t="n"/>
      <c r="L1012" s="26" t="n"/>
    </row>
    <row r="1013">
      <c r="A1013" s="11" t="n"/>
      <c r="B1013" s="11" t="n"/>
      <c r="C1013" s="10" t="n"/>
      <c r="D1013" s="11" t="n"/>
      <c r="E1013" s="10" t="n"/>
      <c r="F1013" s="22" t="n"/>
      <c r="G1013" s="24" t="n"/>
      <c r="H1013" s="23" t="n"/>
      <c r="I1013" s="25" t="n"/>
      <c r="J1013" s="10">
        <f>IF(D1013="","",IF(H1013="✓","完了",IF(G1013="","",IF(G1013&lt;TODAY(),"期限超過",IF(G1013=TODAY(),"今日まで","予定")))))</f>
        <v/>
      </c>
      <c r="K1013" s="22" t="n"/>
      <c r="L1013" s="26" t="n"/>
    </row>
    <row r="1014">
      <c r="A1014" s="11" t="n"/>
      <c r="B1014" s="11" t="n"/>
      <c r="C1014" s="10" t="n"/>
      <c r="D1014" s="11" t="n"/>
      <c r="E1014" s="10" t="n"/>
      <c r="F1014" s="22" t="n"/>
      <c r="G1014" s="24" t="n"/>
      <c r="H1014" s="23" t="n"/>
      <c r="I1014" s="25" t="n"/>
      <c r="J1014" s="10">
        <f>IF(D1014="","",IF(H1014="✓","完了",IF(G1014="","",IF(G1014&lt;TODAY(),"期限超過",IF(G1014=TODAY(),"今日まで","予定")))))</f>
        <v/>
      </c>
      <c r="K1014" s="22" t="n"/>
      <c r="L1014" s="26" t="n"/>
    </row>
    <row r="1015">
      <c r="A1015" s="11" t="n"/>
      <c r="B1015" s="11" t="n"/>
      <c r="C1015" s="10" t="n"/>
      <c r="D1015" s="11" t="n"/>
      <c r="E1015" s="10" t="n"/>
      <c r="F1015" s="22" t="n"/>
      <c r="G1015" s="24" t="n"/>
      <c r="H1015" s="23" t="n"/>
      <c r="I1015" s="25" t="n"/>
      <c r="J1015" s="10">
        <f>IF(D1015="","",IF(H1015="✓","完了",IF(G1015="","",IF(G1015&lt;TODAY(),"期限超過",IF(G1015=TODAY(),"今日まで","予定")))))</f>
        <v/>
      </c>
      <c r="K1015" s="22" t="n"/>
      <c r="L1015" s="26" t="n"/>
    </row>
    <row r="1016">
      <c r="A1016" s="11" t="n"/>
      <c r="B1016" s="11" t="n"/>
      <c r="C1016" s="10" t="n"/>
      <c r="D1016" s="11" t="n"/>
      <c r="E1016" s="10" t="n"/>
      <c r="F1016" s="22" t="n"/>
      <c r="G1016" s="24" t="n"/>
      <c r="H1016" s="23" t="n"/>
      <c r="I1016" s="25" t="n"/>
      <c r="J1016" s="10">
        <f>IF(D1016="","",IF(H1016="✓","完了",IF(G1016="","",IF(G1016&lt;TODAY(),"期限超過",IF(G1016=TODAY(),"今日まで","予定")))))</f>
        <v/>
      </c>
      <c r="K1016" s="22" t="n"/>
      <c r="L1016" s="26" t="n"/>
    </row>
    <row r="1017">
      <c r="A1017" s="11" t="n"/>
      <c r="B1017" s="11" t="n"/>
      <c r="C1017" s="10" t="n"/>
      <c r="D1017" s="11" t="n"/>
      <c r="E1017" s="10" t="n"/>
      <c r="F1017" s="22" t="n"/>
      <c r="G1017" s="24" t="n"/>
      <c r="H1017" s="23" t="n"/>
      <c r="I1017" s="25" t="n"/>
      <c r="J1017" s="10">
        <f>IF(D1017="","",IF(H1017="✓","完了",IF(G1017="","",IF(G1017&lt;TODAY(),"期限超過",IF(G1017=TODAY(),"今日まで","予定")))))</f>
        <v/>
      </c>
      <c r="K1017" s="22" t="n"/>
      <c r="L1017" s="26" t="n"/>
    </row>
    <row r="1018">
      <c r="A1018" s="11" t="n"/>
      <c r="B1018" s="11" t="n"/>
      <c r="C1018" s="10" t="n"/>
      <c r="D1018" s="11" t="n"/>
      <c r="E1018" s="10" t="n"/>
      <c r="F1018" s="22" t="n"/>
      <c r="G1018" s="24" t="n"/>
      <c r="H1018" s="23" t="n"/>
      <c r="I1018" s="25" t="n"/>
      <c r="J1018" s="10">
        <f>IF(D1018="","",IF(H1018="✓","完了",IF(G1018="","",IF(G1018&lt;TODAY(),"期限超過",IF(G1018=TODAY(),"今日まで","予定")))))</f>
        <v/>
      </c>
      <c r="K1018" s="22" t="n"/>
      <c r="L1018" s="26" t="n"/>
    </row>
    <row r="1019">
      <c r="A1019" s="11" t="n"/>
      <c r="B1019" s="11" t="n"/>
      <c r="C1019" s="10" t="n"/>
      <c r="D1019" s="11" t="n"/>
      <c r="E1019" s="10" t="n"/>
      <c r="F1019" s="22" t="n"/>
      <c r="G1019" s="24" t="n"/>
      <c r="H1019" s="23" t="n"/>
      <c r="I1019" s="25" t="n"/>
      <c r="J1019" s="10">
        <f>IF(D1019="","",IF(H1019="✓","完了",IF(G1019="","",IF(G1019&lt;TODAY(),"期限超過",IF(G1019=TODAY(),"今日まで","予定")))))</f>
        <v/>
      </c>
      <c r="K1019" s="22" t="n"/>
      <c r="L1019" s="26" t="n"/>
    </row>
    <row r="1020">
      <c r="A1020" s="11" t="n"/>
      <c r="B1020" s="11" t="n"/>
      <c r="C1020" s="10" t="n"/>
      <c r="D1020" s="11" t="n"/>
      <c r="E1020" s="10" t="n"/>
      <c r="F1020" s="22" t="n"/>
      <c r="G1020" s="24" t="n"/>
      <c r="H1020" s="23" t="n"/>
      <c r="I1020" s="25" t="n"/>
      <c r="J1020" s="10">
        <f>IF(D1020="","",IF(H1020="✓","完了",IF(G1020="","",IF(G1020&lt;TODAY(),"期限超過",IF(G1020=TODAY(),"今日まで","予定")))))</f>
        <v/>
      </c>
      <c r="K1020" s="22" t="n"/>
      <c r="L1020" s="26" t="n"/>
    </row>
    <row r="1021">
      <c r="A1021" s="11" t="n"/>
      <c r="B1021" s="11" t="n"/>
      <c r="C1021" s="10" t="n"/>
      <c r="D1021" s="11" t="n"/>
      <c r="E1021" s="10" t="n"/>
      <c r="F1021" s="22" t="n"/>
      <c r="G1021" s="24" t="n"/>
      <c r="H1021" s="23" t="n"/>
      <c r="I1021" s="25" t="n"/>
      <c r="J1021" s="10">
        <f>IF(D1021="","",IF(H1021="✓","完了",IF(G1021="","",IF(G1021&lt;TODAY(),"期限超過",IF(G1021=TODAY(),"今日まで","予定")))))</f>
        <v/>
      </c>
      <c r="K1021" s="22" t="n"/>
      <c r="L1021" s="26" t="n"/>
    </row>
    <row r="1022">
      <c r="A1022" s="11" t="n"/>
      <c r="B1022" s="11" t="n"/>
      <c r="C1022" s="10" t="n"/>
      <c r="D1022" s="11" t="n"/>
      <c r="E1022" s="10" t="n"/>
      <c r="F1022" s="22" t="n"/>
      <c r="G1022" s="24" t="n"/>
      <c r="H1022" s="23" t="n"/>
      <c r="I1022" s="25" t="n"/>
      <c r="J1022" s="10">
        <f>IF(D1022="","",IF(H1022="✓","完了",IF(G1022="","",IF(G1022&lt;TODAY(),"期限超過",IF(G1022=TODAY(),"今日まで","予定")))))</f>
        <v/>
      </c>
      <c r="K1022" s="22" t="n"/>
      <c r="L1022" s="26" t="n"/>
    </row>
    <row r="1023">
      <c r="A1023" s="11" t="n"/>
      <c r="B1023" s="11" t="n"/>
      <c r="C1023" s="10" t="n"/>
      <c r="D1023" s="11" t="n"/>
      <c r="E1023" s="10" t="n"/>
      <c r="F1023" s="22" t="n"/>
      <c r="G1023" s="24" t="n"/>
      <c r="H1023" s="23" t="n"/>
      <c r="I1023" s="25" t="n"/>
      <c r="J1023" s="10">
        <f>IF(D1023="","",IF(H1023="✓","完了",IF(G1023="","",IF(G1023&lt;TODAY(),"期限超過",IF(G1023=TODAY(),"今日まで","予定")))))</f>
        <v/>
      </c>
      <c r="K1023" s="22" t="n"/>
      <c r="L1023" s="26" t="n"/>
    </row>
    <row r="1024">
      <c r="A1024" s="11" t="n"/>
      <c r="B1024" s="11" t="n"/>
      <c r="C1024" s="10" t="n"/>
      <c r="D1024" s="11" t="n"/>
      <c r="E1024" s="10" t="n"/>
      <c r="F1024" s="22" t="n"/>
      <c r="G1024" s="24" t="n"/>
      <c r="H1024" s="23" t="n"/>
      <c r="I1024" s="25" t="n"/>
      <c r="J1024" s="10">
        <f>IF(D1024="","",IF(H1024="✓","完了",IF(G1024="","",IF(G1024&lt;TODAY(),"期限超過",IF(G1024=TODAY(),"今日まで","予定")))))</f>
        <v/>
      </c>
      <c r="K1024" s="22" t="n"/>
      <c r="L1024" s="26" t="n"/>
    </row>
    <row r="1025">
      <c r="A1025" s="11" t="n"/>
      <c r="B1025" s="11" t="n"/>
      <c r="C1025" s="10" t="n"/>
      <c r="D1025" s="11" t="n"/>
      <c r="E1025" s="10" t="n"/>
      <c r="F1025" s="22" t="n"/>
      <c r="G1025" s="24" t="n"/>
      <c r="H1025" s="23" t="n"/>
      <c r="I1025" s="25" t="n"/>
      <c r="J1025" s="10">
        <f>IF(D1025="","",IF(H1025="✓","完了",IF(G1025="","",IF(G1025&lt;TODAY(),"期限超過",IF(G1025=TODAY(),"今日まで","予定")))))</f>
        <v/>
      </c>
      <c r="K1025" s="22" t="n"/>
      <c r="L1025" s="26" t="n"/>
    </row>
    <row r="1026">
      <c r="A1026" s="11" t="n"/>
      <c r="B1026" s="11" t="n"/>
      <c r="C1026" s="10" t="n"/>
      <c r="D1026" s="11" t="n"/>
      <c r="E1026" s="10" t="n"/>
      <c r="F1026" s="22" t="n"/>
      <c r="G1026" s="24" t="n"/>
      <c r="H1026" s="23" t="n"/>
      <c r="I1026" s="25" t="n"/>
      <c r="J1026" s="10">
        <f>IF(D1026="","",IF(H1026="✓","完了",IF(G1026="","",IF(G1026&lt;TODAY(),"期限超過",IF(G1026=TODAY(),"今日まで","予定")))))</f>
        <v/>
      </c>
      <c r="K1026" s="22" t="n"/>
      <c r="L1026" s="26" t="n"/>
    </row>
    <row r="1027">
      <c r="A1027" s="11" t="n"/>
      <c r="B1027" s="11" t="n"/>
      <c r="C1027" s="10" t="n"/>
      <c r="D1027" s="11" t="n"/>
      <c r="E1027" s="10" t="n"/>
      <c r="F1027" s="22" t="n"/>
      <c r="G1027" s="24" t="n"/>
      <c r="H1027" s="23" t="n"/>
      <c r="I1027" s="25" t="n"/>
      <c r="J1027" s="10">
        <f>IF(D1027="","",IF(H1027="✓","完了",IF(G1027="","",IF(G1027&lt;TODAY(),"期限超過",IF(G1027=TODAY(),"今日まで","予定")))))</f>
        <v/>
      </c>
      <c r="K1027" s="22" t="n"/>
      <c r="L1027" s="26" t="n"/>
    </row>
    <row r="1028">
      <c r="A1028" s="11" t="n"/>
      <c r="B1028" s="11" t="n"/>
      <c r="C1028" s="10" t="n"/>
      <c r="D1028" s="11" t="n"/>
      <c r="E1028" s="10" t="n"/>
      <c r="F1028" s="22" t="n"/>
      <c r="G1028" s="24" t="n"/>
      <c r="H1028" s="23" t="n"/>
      <c r="I1028" s="25" t="n"/>
      <c r="J1028" s="10">
        <f>IF(D1028="","",IF(H1028="✓","完了",IF(G1028="","",IF(G1028&lt;TODAY(),"期限超過",IF(G1028=TODAY(),"今日まで","予定")))))</f>
        <v/>
      </c>
      <c r="K1028" s="22" t="n"/>
      <c r="L1028" s="26" t="n"/>
    </row>
    <row r="1029">
      <c r="A1029" s="11" t="n"/>
      <c r="B1029" s="11" t="n"/>
      <c r="C1029" s="10" t="n"/>
      <c r="D1029" s="11" t="n"/>
      <c r="E1029" s="10" t="n"/>
      <c r="F1029" s="22" t="n"/>
      <c r="G1029" s="24" t="n"/>
      <c r="H1029" s="23" t="n"/>
      <c r="I1029" s="25" t="n"/>
      <c r="J1029" s="10">
        <f>IF(D1029="","",IF(H1029="✓","完了",IF(G1029="","",IF(G1029&lt;TODAY(),"期限超過",IF(G1029=TODAY(),"今日まで","予定")))))</f>
        <v/>
      </c>
      <c r="K1029" s="22" t="n"/>
      <c r="L1029" s="26" t="n"/>
    </row>
    <row r="1030">
      <c r="A1030" s="11" t="n"/>
      <c r="B1030" s="11" t="n"/>
      <c r="C1030" s="10" t="n"/>
      <c r="D1030" s="11" t="n"/>
      <c r="E1030" s="10" t="n"/>
      <c r="F1030" s="22" t="n"/>
      <c r="G1030" s="24" t="n"/>
      <c r="H1030" s="23" t="n"/>
      <c r="I1030" s="25" t="n"/>
      <c r="J1030" s="10">
        <f>IF(D1030="","",IF(H1030="✓","完了",IF(G1030="","",IF(G1030&lt;TODAY(),"期限超過",IF(G1030=TODAY(),"今日まで","予定")))))</f>
        <v/>
      </c>
      <c r="K1030" s="22" t="n"/>
      <c r="L1030" s="26" t="n"/>
    </row>
    <row r="1031">
      <c r="A1031" s="11" t="n"/>
      <c r="B1031" s="11" t="n"/>
      <c r="C1031" s="10" t="n"/>
      <c r="D1031" s="11" t="n"/>
      <c r="E1031" s="10" t="n"/>
      <c r="F1031" s="22" t="n"/>
      <c r="G1031" s="24" t="n"/>
      <c r="H1031" s="23" t="n"/>
      <c r="I1031" s="25" t="n"/>
      <c r="J1031" s="10">
        <f>IF(D1031="","",IF(H1031="✓","完了",IF(G1031="","",IF(G1031&lt;TODAY(),"期限超過",IF(G1031=TODAY(),"今日まで","予定")))))</f>
        <v/>
      </c>
      <c r="K1031" s="22" t="n"/>
      <c r="L1031" s="26" t="n"/>
    </row>
    <row r="1032">
      <c r="A1032" s="11" t="n"/>
      <c r="B1032" s="11" t="n"/>
      <c r="C1032" s="10" t="n"/>
      <c r="D1032" s="11" t="n"/>
      <c r="E1032" s="10" t="n"/>
      <c r="F1032" s="22" t="n"/>
      <c r="G1032" s="24" t="n"/>
      <c r="H1032" s="23" t="n"/>
      <c r="I1032" s="25" t="n"/>
      <c r="J1032" s="10">
        <f>IF(D1032="","",IF(H1032="✓","完了",IF(G1032="","",IF(G1032&lt;TODAY(),"期限超過",IF(G1032=TODAY(),"今日まで","予定")))))</f>
        <v/>
      </c>
      <c r="K1032" s="22" t="n"/>
      <c r="L1032" s="26" t="n"/>
    </row>
    <row r="1033">
      <c r="A1033" s="11" t="n"/>
      <c r="B1033" s="11" t="n"/>
      <c r="C1033" s="10" t="n"/>
      <c r="D1033" s="11" t="n"/>
      <c r="E1033" s="10" t="n"/>
      <c r="F1033" s="22" t="n"/>
      <c r="G1033" s="24" t="n"/>
      <c r="H1033" s="23" t="n"/>
      <c r="I1033" s="25" t="n"/>
      <c r="J1033" s="10">
        <f>IF(D1033="","",IF(H1033="✓","完了",IF(G1033="","",IF(G1033&lt;TODAY(),"期限超過",IF(G1033=TODAY(),"今日まで","予定")))))</f>
        <v/>
      </c>
      <c r="K1033" s="22" t="n"/>
      <c r="L1033" s="26" t="n"/>
    </row>
    <row r="1034">
      <c r="A1034" s="11" t="n"/>
      <c r="B1034" s="11" t="n"/>
      <c r="C1034" s="10" t="n"/>
      <c r="D1034" s="11" t="n"/>
      <c r="E1034" s="10" t="n"/>
      <c r="F1034" s="22" t="n"/>
      <c r="G1034" s="24" t="n"/>
      <c r="H1034" s="23" t="n"/>
      <c r="I1034" s="25" t="n"/>
      <c r="J1034" s="10">
        <f>IF(D1034="","",IF(H1034="✓","完了",IF(G1034="","",IF(G1034&lt;TODAY(),"期限超過",IF(G1034=TODAY(),"今日まで","予定")))))</f>
        <v/>
      </c>
      <c r="K1034" s="22" t="n"/>
      <c r="L1034" s="26" t="n"/>
    </row>
    <row r="1035">
      <c r="A1035" s="11" t="n"/>
      <c r="B1035" s="11" t="n"/>
      <c r="C1035" s="10" t="n"/>
      <c r="D1035" s="11" t="n"/>
      <c r="E1035" s="10" t="n"/>
      <c r="F1035" s="22" t="n"/>
      <c r="G1035" s="24" t="n"/>
      <c r="H1035" s="23" t="n"/>
      <c r="I1035" s="25" t="n"/>
      <c r="J1035" s="10">
        <f>IF(D1035="","",IF(H1035="✓","完了",IF(G1035="","",IF(G1035&lt;TODAY(),"期限超過",IF(G1035=TODAY(),"今日まで","予定")))))</f>
        <v/>
      </c>
      <c r="K1035" s="22" t="n"/>
      <c r="L1035" s="26" t="n"/>
    </row>
    <row r="1036">
      <c r="A1036" s="11" t="n"/>
      <c r="B1036" s="11" t="n"/>
      <c r="C1036" s="10" t="n"/>
      <c r="D1036" s="11" t="n"/>
      <c r="E1036" s="10" t="n"/>
      <c r="F1036" s="22" t="n"/>
      <c r="G1036" s="24" t="n"/>
      <c r="H1036" s="23" t="n"/>
      <c r="I1036" s="25" t="n"/>
      <c r="J1036" s="10">
        <f>IF(D1036="","",IF(H1036="✓","完了",IF(G1036="","",IF(G1036&lt;TODAY(),"期限超過",IF(G1036=TODAY(),"今日まで","予定")))))</f>
        <v/>
      </c>
      <c r="K1036" s="22" t="n"/>
      <c r="L1036" s="26" t="n"/>
    </row>
    <row r="1037">
      <c r="A1037" s="11" t="n"/>
      <c r="B1037" s="11" t="n"/>
      <c r="C1037" s="10" t="n"/>
      <c r="D1037" s="11" t="n"/>
      <c r="E1037" s="10" t="n"/>
      <c r="F1037" s="22" t="n"/>
      <c r="G1037" s="24" t="n"/>
      <c r="H1037" s="23" t="n"/>
      <c r="I1037" s="25" t="n"/>
      <c r="J1037" s="10">
        <f>IF(D1037="","",IF(H1037="✓","完了",IF(G1037="","",IF(G1037&lt;TODAY(),"期限超過",IF(G1037=TODAY(),"今日まで","予定")))))</f>
        <v/>
      </c>
      <c r="K1037" s="22" t="n"/>
      <c r="L1037" s="26" t="n"/>
    </row>
    <row r="1038">
      <c r="A1038" s="11" t="n"/>
      <c r="B1038" s="11" t="n"/>
      <c r="C1038" s="10" t="n"/>
      <c r="D1038" s="11" t="n"/>
      <c r="E1038" s="10" t="n"/>
      <c r="F1038" s="22" t="n"/>
      <c r="G1038" s="24" t="n"/>
      <c r="H1038" s="23" t="n"/>
      <c r="I1038" s="25" t="n"/>
      <c r="J1038" s="10">
        <f>IF(D1038="","",IF(H1038="✓","完了",IF(G1038="","",IF(G1038&lt;TODAY(),"期限超過",IF(G1038=TODAY(),"今日まで","予定")))))</f>
        <v/>
      </c>
      <c r="K1038" s="22" t="n"/>
      <c r="L1038" s="26" t="n"/>
    </row>
    <row r="1039">
      <c r="A1039" s="11" t="n"/>
      <c r="B1039" s="11" t="n"/>
      <c r="C1039" s="10" t="n"/>
      <c r="D1039" s="11" t="n"/>
      <c r="E1039" s="10" t="n"/>
      <c r="F1039" s="22" t="n"/>
      <c r="G1039" s="24" t="n"/>
      <c r="H1039" s="23" t="n"/>
      <c r="I1039" s="25" t="n"/>
      <c r="J1039" s="10">
        <f>IF(D1039="","",IF(H1039="✓","完了",IF(G1039="","",IF(G1039&lt;TODAY(),"期限超過",IF(G1039=TODAY(),"今日まで","予定")))))</f>
        <v/>
      </c>
      <c r="K1039" s="22" t="n"/>
      <c r="L1039" s="26" t="n"/>
    </row>
    <row r="1040">
      <c r="A1040" s="11" t="n"/>
      <c r="B1040" s="11" t="n"/>
      <c r="C1040" s="10" t="n"/>
      <c r="D1040" s="11" t="n"/>
      <c r="E1040" s="10" t="n"/>
      <c r="F1040" s="22" t="n"/>
      <c r="G1040" s="24" t="n"/>
      <c r="H1040" s="23" t="n"/>
      <c r="I1040" s="25" t="n"/>
      <c r="J1040" s="10">
        <f>IF(D1040="","",IF(H1040="✓","完了",IF(G1040="","",IF(G1040&lt;TODAY(),"期限超過",IF(G1040=TODAY(),"今日まで","予定")))))</f>
        <v/>
      </c>
      <c r="K1040" s="22" t="n"/>
      <c r="L1040" s="26" t="n"/>
    </row>
    <row r="1041">
      <c r="A1041" s="11" t="n"/>
      <c r="B1041" s="11" t="n"/>
      <c r="C1041" s="10" t="n"/>
      <c r="D1041" s="11" t="n"/>
      <c r="E1041" s="10" t="n"/>
      <c r="F1041" s="22" t="n"/>
      <c r="G1041" s="24" t="n"/>
      <c r="H1041" s="23" t="n"/>
      <c r="I1041" s="25" t="n"/>
      <c r="J1041" s="10">
        <f>IF(D1041="","",IF(H1041="✓","完了",IF(G1041="","",IF(G1041&lt;TODAY(),"期限超過",IF(G1041=TODAY(),"今日まで","予定")))))</f>
        <v/>
      </c>
      <c r="K1041" s="22" t="n"/>
      <c r="L1041" s="26" t="n"/>
    </row>
    <row r="1042">
      <c r="A1042" s="11" t="n"/>
      <c r="B1042" s="11" t="n"/>
      <c r="C1042" s="10" t="n"/>
      <c r="D1042" s="11" t="n"/>
      <c r="E1042" s="10" t="n"/>
      <c r="F1042" s="22" t="n"/>
      <c r="G1042" s="24" t="n"/>
      <c r="H1042" s="23" t="n"/>
      <c r="I1042" s="25" t="n"/>
      <c r="J1042" s="10">
        <f>IF(D1042="","",IF(H1042="✓","完了",IF(G1042="","",IF(G1042&lt;TODAY(),"期限超過",IF(G1042=TODAY(),"今日まで","予定")))))</f>
        <v/>
      </c>
      <c r="K1042" s="22" t="n"/>
      <c r="L1042" s="26" t="n"/>
    </row>
    <row r="1043">
      <c r="A1043" s="11" t="n"/>
      <c r="B1043" s="11" t="n"/>
      <c r="C1043" s="10" t="n"/>
      <c r="D1043" s="11" t="n"/>
      <c r="E1043" s="10" t="n"/>
      <c r="F1043" s="22" t="n"/>
      <c r="G1043" s="24" t="n"/>
      <c r="H1043" s="23" t="n"/>
      <c r="I1043" s="25" t="n"/>
      <c r="J1043" s="10">
        <f>IF(D1043="","",IF(H1043="✓","完了",IF(G1043="","",IF(G1043&lt;TODAY(),"期限超過",IF(G1043=TODAY(),"今日まで","予定")))))</f>
        <v/>
      </c>
      <c r="K1043" s="22" t="n"/>
      <c r="L1043" s="26" t="n"/>
    </row>
    <row r="1044">
      <c r="A1044" s="11" t="n"/>
      <c r="B1044" s="11" t="n"/>
      <c r="C1044" s="10" t="n"/>
      <c r="D1044" s="11" t="n"/>
      <c r="E1044" s="10" t="n"/>
      <c r="F1044" s="22" t="n"/>
      <c r="G1044" s="24" t="n"/>
      <c r="H1044" s="23" t="n"/>
      <c r="I1044" s="25" t="n"/>
      <c r="J1044" s="10">
        <f>IF(D1044="","",IF(H1044="✓","完了",IF(G1044="","",IF(G1044&lt;TODAY(),"期限超過",IF(G1044=TODAY(),"今日まで","予定")))))</f>
        <v/>
      </c>
      <c r="K1044" s="22" t="n"/>
      <c r="L1044" s="26" t="n"/>
    </row>
    <row r="1045">
      <c r="A1045" s="11" t="n"/>
      <c r="B1045" s="11" t="n"/>
      <c r="C1045" s="10" t="n"/>
      <c r="D1045" s="11" t="n"/>
      <c r="E1045" s="10" t="n"/>
      <c r="F1045" s="22" t="n"/>
      <c r="G1045" s="24" t="n"/>
      <c r="H1045" s="23" t="n"/>
      <c r="I1045" s="25" t="n"/>
      <c r="J1045" s="10">
        <f>IF(D1045="","",IF(H1045="✓","完了",IF(G1045="","",IF(G1045&lt;TODAY(),"期限超過",IF(G1045=TODAY(),"今日まで","予定")))))</f>
        <v/>
      </c>
      <c r="K1045" s="22" t="n"/>
      <c r="L1045" s="26" t="n"/>
    </row>
    <row r="1046">
      <c r="A1046" s="11" t="n"/>
      <c r="B1046" s="11" t="n"/>
      <c r="C1046" s="10" t="n"/>
      <c r="D1046" s="11" t="n"/>
      <c r="E1046" s="10" t="n"/>
      <c r="F1046" s="22" t="n"/>
      <c r="G1046" s="24" t="n"/>
      <c r="H1046" s="23" t="n"/>
      <c r="I1046" s="25" t="n"/>
      <c r="J1046" s="10">
        <f>IF(D1046="","",IF(H1046="✓","完了",IF(G1046="","",IF(G1046&lt;TODAY(),"期限超過",IF(G1046=TODAY(),"今日まで","予定")))))</f>
        <v/>
      </c>
      <c r="K1046" s="22" t="n"/>
      <c r="L1046" s="26" t="n"/>
    </row>
    <row r="1047">
      <c r="A1047" s="11" t="n"/>
      <c r="B1047" s="11" t="n"/>
      <c r="C1047" s="10" t="n"/>
      <c r="D1047" s="11" t="n"/>
      <c r="E1047" s="10" t="n"/>
      <c r="F1047" s="22" t="n"/>
      <c r="G1047" s="24" t="n"/>
      <c r="H1047" s="23" t="n"/>
      <c r="I1047" s="25" t="n"/>
      <c r="J1047" s="10">
        <f>IF(D1047="","",IF(H1047="✓","完了",IF(G1047="","",IF(G1047&lt;TODAY(),"期限超過",IF(G1047=TODAY(),"今日まで","予定")))))</f>
        <v/>
      </c>
      <c r="K1047" s="22" t="n"/>
      <c r="L1047" s="26" t="n"/>
    </row>
    <row r="1048">
      <c r="A1048" s="11" t="n"/>
      <c r="B1048" s="11" t="n"/>
      <c r="C1048" s="10" t="n"/>
      <c r="D1048" s="11" t="n"/>
      <c r="E1048" s="10" t="n"/>
      <c r="F1048" s="22" t="n"/>
      <c r="G1048" s="24" t="n"/>
      <c r="H1048" s="23" t="n"/>
      <c r="I1048" s="25" t="n"/>
      <c r="J1048" s="10">
        <f>IF(D1048="","",IF(H1048="✓","完了",IF(G1048="","",IF(G1048&lt;TODAY(),"期限超過",IF(G1048=TODAY(),"今日まで","予定")))))</f>
        <v/>
      </c>
      <c r="K1048" s="22" t="n"/>
      <c r="L1048" s="26" t="n"/>
    </row>
    <row r="1049">
      <c r="A1049" s="11" t="n"/>
      <c r="B1049" s="11" t="n"/>
      <c r="C1049" s="10" t="n"/>
      <c r="D1049" s="11" t="n"/>
      <c r="E1049" s="10" t="n"/>
      <c r="F1049" s="22" t="n"/>
      <c r="G1049" s="24" t="n"/>
      <c r="H1049" s="23" t="n"/>
      <c r="I1049" s="25" t="n"/>
      <c r="J1049" s="10">
        <f>IF(D1049="","",IF(H1049="✓","完了",IF(G1049="","",IF(G1049&lt;TODAY(),"期限超過",IF(G1049=TODAY(),"今日まで","予定")))))</f>
        <v/>
      </c>
      <c r="K1049" s="22" t="n"/>
      <c r="L1049" s="26" t="n"/>
    </row>
    <row r="1050">
      <c r="A1050" s="11" t="n"/>
      <c r="B1050" s="11" t="n"/>
      <c r="C1050" s="10" t="n"/>
      <c r="D1050" s="11" t="n"/>
      <c r="E1050" s="10" t="n"/>
      <c r="F1050" s="22" t="n"/>
      <c r="G1050" s="24" t="n"/>
      <c r="H1050" s="23" t="n"/>
      <c r="I1050" s="25" t="n"/>
      <c r="J1050" s="10">
        <f>IF(D1050="","",IF(H1050="✓","完了",IF(G1050="","",IF(G1050&lt;TODAY(),"期限超過",IF(G1050=TODAY(),"今日まで","予定")))))</f>
        <v/>
      </c>
      <c r="K1050" s="22" t="n"/>
      <c r="L1050" s="26" t="n"/>
    </row>
    <row r="1051">
      <c r="A1051" s="11" t="n"/>
      <c r="B1051" s="11" t="n"/>
      <c r="C1051" s="10" t="n"/>
      <c r="D1051" s="11" t="n"/>
      <c r="E1051" s="10" t="n"/>
      <c r="F1051" s="22" t="n"/>
      <c r="G1051" s="24" t="n"/>
      <c r="H1051" s="23" t="n"/>
      <c r="I1051" s="25" t="n"/>
      <c r="J1051" s="10">
        <f>IF(D1051="","",IF(H1051="✓","完了",IF(G1051="","",IF(G1051&lt;TODAY(),"期限超過",IF(G1051=TODAY(),"今日まで","予定")))))</f>
        <v/>
      </c>
      <c r="K1051" s="22" t="n"/>
      <c r="L1051" s="26" t="n"/>
    </row>
    <row r="1052">
      <c r="A1052" s="11" t="n"/>
      <c r="B1052" s="11" t="n"/>
      <c r="C1052" s="10" t="n"/>
      <c r="D1052" s="11" t="n"/>
      <c r="E1052" s="10" t="n"/>
      <c r="F1052" s="22" t="n"/>
      <c r="G1052" s="24" t="n"/>
      <c r="H1052" s="23" t="n"/>
      <c r="I1052" s="25" t="n"/>
      <c r="J1052" s="10">
        <f>IF(D1052="","",IF(H1052="✓","完了",IF(G1052="","",IF(G1052&lt;TODAY(),"期限超過",IF(G1052=TODAY(),"今日まで","予定")))))</f>
        <v/>
      </c>
      <c r="K1052" s="22" t="n"/>
      <c r="L1052" s="26" t="n"/>
    </row>
    <row r="1053">
      <c r="A1053" s="11" t="n"/>
      <c r="B1053" s="11" t="n"/>
      <c r="C1053" s="10" t="n"/>
      <c r="D1053" s="11" t="n"/>
      <c r="E1053" s="10" t="n"/>
      <c r="F1053" s="22" t="n"/>
      <c r="G1053" s="24" t="n"/>
      <c r="H1053" s="23" t="n"/>
      <c r="I1053" s="25" t="n"/>
      <c r="J1053" s="10">
        <f>IF(D1053="","",IF(H1053="✓","完了",IF(G1053="","",IF(G1053&lt;TODAY(),"期限超過",IF(G1053=TODAY(),"今日まで","予定")))))</f>
        <v/>
      </c>
      <c r="K1053" s="22" t="n"/>
      <c r="L1053" s="26" t="n"/>
    </row>
    <row r="1054">
      <c r="A1054" s="11" t="n"/>
      <c r="B1054" s="11" t="n"/>
      <c r="C1054" s="10" t="n"/>
      <c r="D1054" s="11" t="n"/>
      <c r="E1054" s="10" t="n"/>
      <c r="F1054" s="22" t="n"/>
      <c r="G1054" s="24" t="n"/>
      <c r="H1054" s="23" t="n"/>
      <c r="I1054" s="25" t="n"/>
      <c r="J1054" s="10">
        <f>IF(D1054="","",IF(H1054="✓","完了",IF(G1054="","",IF(G1054&lt;TODAY(),"期限超過",IF(G1054=TODAY(),"今日まで","予定")))))</f>
        <v/>
      </c>
      <c r="K1054" s="22" t="n"/>
      <c r="L1054" s="26" t="n"/>
    </row>
    <row r="1055">
      <c r="A1055" s="11" t="n"/>
      <c r="B1055" s="11" t="n"/>
      <c r="C1055" s="10" t="n"/>
      <c r="D1055" s="11" t="n"/>
      <c r="E1055" s="10" t="n"/>
      <c r="F1055" s="22" t="n"/>
      <c r="G1055" s="24" t="n"/>
      <c r="H1055" s="23" t="n"/>
      <c r="I1055" s="25" t="n"/>
      <c r="J1055" s="10">
        <f>IF(D1055="","",IF(H1055="✓","完了",IF(G1055="","",IF(G1055&lt;TODAY(),"期限超過",IF(G1055=TODAY(),"今日まで","予定")))))</f>
        <v/>
      </c>
      <c r="K1055" s="22" t="n"/>
      <c r="L1055" s="26" t="n"/>
    </row>
    <row r="1056">
      <c r="A1056" s="11" t="n"/>
      <c r="B1056" s="11" t="n"/>
      <c r="C1056" s="10" t="n"/>
      <c r="D1056" s="11" t="n"/>
      <c r="E1056" s="10" t="n"/>
      <c r="F1056" s="22" t="n"/>
      <c r="G1056" s="24" t="n"/>
      <c r="H1056" s="23" t="n"/>
      <c r="I1056" s="25" t="n"/>
      <c r="J1056" s="10">
        <f>IF(D1056="","",IF(H1056="✓","完了",IF(G1056="","",IF(G1056&lt;TODAY(),"期限超過",IF(G1056=TODAY(),"今日まで","予定")))))</f>
        <v/>
      </c>
      <c r="K1056" s="22" t="n"/>
      <c r="L1056" s="26" t="n"/>
    </row>
    <row r="1057">
      <c r="A1057" s="11" t="n"/>
      <c r="B1057" s="11" t="n"/>
      <c r="C1057" s="10" t="n"/>
      <c r="D1057" s="11" t="n"/>
      <c r="E1057" s="10" t="n"/>
      <c r="F1057" s="22" t="n"/>
      <c r="G1057" s="24" t="n"/>
      <c r="H1057" s="23" t="n"/>
      <c r="I1057" s="25" t="n"/>
      <c r="J1057" s="10">
        <f>IF(D1057="","",IF(H1057="✓","完了",IF(G1057="","",IF(G1057&lt;TODAY(),"期限超過",IF(G1057=TODAY(),"今日まで","予定")))))</f>
        <v/>
      </c>
      <c r="K1057" s="22" t="n"/>
      <c r="L1057" s="26" t="n"/>
    </row>
    <row r="1058">
      <c r="A1058" s="11" t="n"/>
      <c r="B1058" s="11" t="n"/>
      <c r="C1058" s="10" t="n"/>
      <c r="D1058" s="11" t="n"/>
      <c r="E1058" s="10" t="n"/>
      <c r="F1058" s="22" t="n"/>
      <c r="G1058" s="24" t="n"/>
      <c r="H1058" s="23" t="n"/>
      <c r="I1058" s="25" t="n"/>
      <c r="J1058" s="10">
        <f>IF(D1058="","",IF(H1058="✓","完了",IF(G1058="","",IF(G1058&lt;TODAY(),"期限超過",IF(G1058=TODAY(),"今日まで","予定")))))</f>
        <v/>
      </c>
      <c r="K1058" s="22" t="n"/>
      <c r="L1058" s="26" t="n"/>
    </row>
    <row r="1059">
      <c r="A1059" s="11" t="n"/>
      <c r="B1059" s="11" t="n"/>
      <c r="C1059" s="10" t="n"/>
      <c r="D1059" s="11" t="n"/>
      <c r="E1059" s="10" t="n"/>
      <c r="F1059" s="22" t="n"/>
      <c r="G1059" s="24" t="n"/>
      <c r="H1059" s="23" t="n"/>
      <c r="I1059" s="25" t="n"/>
      <c r="J1059" s="10">
        <f>IF(D1059="","",IF(H1059="✓","完了",IF(G1059="","",IF(G1059&lt;TODAY(),"期限超過",IF(G1059=TODAY(),"今日まで","予定")))))</f>
        <v/>
      </c>
      <c r="K1059" s="22" t="n"/>
      <c r="L1059" s="26" t="n"/>
    </row>
    <row r="1060">
      <c r="A1060" s="11" t="n"/>
      <c r="B1060" s="11" t="n"/>
      <c r="C1060" s="10" t="n"/>
      <c r="D1060" s="11" t="n"/>
      <c r="E1060" s="10" t="n"/>
      <c r="F1060" s="22" t="n"/>
      <c r="G1060" s="24" t="n"/>
      <c r="H1060" s="23" t="n"/>
      <c r="I1060" s="25" t="n"/>
      <c r="J1060" s="10">
        <f>IF(D1060="","",IF(H1060="✓","完了",IF(G1060="","",IF(G1060&lt;TODAY(),"期限超過",IF(G1060=TODAY(),"今日まで","予定")))))</f>
        <v/>
      </c>
      <c r="K1060" s="22" t="n"/>
      <c r="L1060" s="26" t="n"/>
    </row>
    <row r="1061">
      <c r="A1061" s="11" t="n"/>
      <c r="B1061" s="11" t="n"/>
      <c r="C1061" s="10" t="n"/>
      <c r="D1061" s="11" t="n"/>
      <c r="E1061" s="10" t="n"/>
      <c r="F1061" s="22" t="n"/>
      <c r="G1061" s="24" t="n"/>
      <c r="H1061" s="23" t="n"/>
      <c r="I1061" s="25" t="n"/>
      <c r="J1061" s="10">
        <f>IF(D1061="","",IF(H1061="✓","完了",IF(G1061="","",IF(G1061&lt;TODAY(),"期限超過",IF(G1061=TODAY(),"今日まで","予定")))))</f>
        <v/>
      </c>
      <c r="K1061" s="22" t="n"/>
      <c r="L1061" s="26" t="n"/>
    </row>
    <row r="1062">
      <c r="A1062" s="11" t="n"/>
      <c r="B1062" s="11" t="n"/>
      <c r="C1062" s="10" t="n"/>
      <c r="D1062" s="11" t="n"/>
      <c r="E1062" s="10" t="n"/>
      <c r="F1062" s="22" t="n"/>
      <c r="G1062" s="24" t="n"/>
      <c r="H1062" s="23" t="n"/>
      <c r="I1062" s="25" t="n"/>
      <c r="J1062" s="10">
        <f>IF(D1062="","",IF(H1062="✓","完了",IF(G1062="","",IF(G1062&lt;TODAY(),"期限超過",IF(G1062=TODAY(),"今日まで","予定")))))</f>
        <v/>
      </c>
      <c r="K1062" s="22" t="n"/>
      <c r="L1062" s="26" t="n"/>
    </row>
    <row r="1063">
      <c r="A1063" s="11" t="n"/>
      <c r="B1063" s="11" t="n"/>
      <c r="C1063" s="10" t="n"/>
      <c r="D1063" s="11" t="n"/>
      <c r="E1063" s="10" t="n"/>
      <c r="F1063" s="22" t="n"/>
      <c r="G1063" s="24" t="n"/>
      <c r="H1063" s="23" t="n"/>
      <c r="I1063" s="25" t="n"/>
      <c r="J1063" s="10">
        <f>IF(D1063="","",IF(H1063="✓","完了",IF(G1063="","",IF(G1063&lt;TODAY(),"期限超過",IF(G1063=TODAY(),"今日まで","予定")))))</f>
        <v/>
      </c>
      <c r="K1063" s="22" t="n"/>
      <c r="L1063" s="26" t="n"/>
    </row>
    <row r="1064">
      <c r="A1064" s="11" t="n"/>
      <c r="B1064" s="11" t="n"/>
      <c r="C1064" s="10" t="n"/>
      <c r="D1064" s="11" t="n"/>
      <c r="E1064" s="10" t="n"/>
      <c r="F1064" s="22" t="n"/>
      <c r="G1064" s="24" t="n"/>
      <c r="H1064" s="23" t="n"/>
      <c r="I1064" s="25" t="n"/>
      <c r="J1064" s="10">
        <f>IF(D1064="","",IF(H1064="✓","完了",IF(G1064="","",IF(G1064&lt;TODAY(),"期限超過",IF(G1064=TODAY(),"今日まで","予定")))))</f>
        <v/>
      </c>
      <c r="K1064" s="22" t="n"/>
      <c r="L1064" s="26" t="n"/>
    </row>
    <row r="1065">
      <c r="A1065" s="11" t="n"/>
      <c r="B1065" s="11" t="n"/>
      <c r="C1065" s="10" t="n"/>
      <c r="D1065" s="11" t="n"/>
      <c r="E1065" s="10" t="n"/>
      <c r="F1065" s="22" t="n"/>
      <c r="G1065" s="24" t="n"/>
      <c r="H1065" s="23" t="n"/>
      <c r="I1065" s="25" t="n"/>
      <c r="J1065" s="10">
        <f>IF(D1065="","",IF(H1065="✓","完了",IF(G1065="","",IF(G1065&lt;TODAY(),"期限超過",IF(G1065=TODAY(),"今日まで","予定")))))</f>
        <v/>
      </c>
      <c r="K1065" s="22" t="n"/>
      <c r="L1065" s="26" t="n"/>
    </row>
    <row r="1066">
      <c r="A1066" s="11" t="n"/>
      <c r="B1066" s="11" t="n"/>
      <c r="C1066" s="10" t="n"/>
      <c r="D1066" s="11" t="n"/>
      <c r="E1066" s="10" t="n"/>
      <c r="F1066" s="22" t="n"/>
      <c r="G1066" s="24" t="n"/>
      <c r="H1066" s="23" t="n"/>
      <c r="I1066" s="25" t="n"/>
      <c r="J1066" s="10">
        <f>IF(D1066="","",IF(H1066="✓","完了",IF(G1066="","",IF(G1066&lt;TODAY(),"期限超過",IF(G1066=TODAY(),"今日まで","予定")))))</f>
        <v/>
      </c>
      <c r="K1066" s="22" t="n"/>
      <c r="L1066" s="26" t="n"/>
    </row>
    <row r="1067">
      <c r="A1067" s="11" t="n"/>
      <c r="B1067" s="11" t="n"/>
      <c r="C1067" s="10" t="n"/>
      <c r="D1067" s="11" t="n"/>
      <c r="E1067" s="10" t="n"/>
      <c r="F1067" s="22" t="n"/>
      <c r="G1067" s="24" t="n"/>
      <c r="H1067" s="23" t="n"/>
      <c r="I1067" s="25" t="n"/>
      <c r="J1067" s="10">
        <f>IF(D1067="","",IF(H1067="✓","完了",IF(G1067="","",IF(G1067&lt;TODAY(),"期限超過",IF(G1067=TODAY(),"今日まで","予定")))))</f>
        <v/>
      </c>
      <c r="K1067" s="22" t="n"/>
      <c r="L1067" s="26" t="n"/>
    </row>
    <row r="1068">
      <c r="A1068" s="11" t="n"/>
      <c r="B1068" s="11" t="n"/>
      <c r="C1068" s="10" t="n"/>
      <c r="D1068" s="11" t="n"/>
      <c r="E1068" s="10" t="n"/>
      <c r="F1068" s="22" t="n"/>
      <c r="G1068" s="24" t="n"/>
      <c r="H1068" s="23" t="n"/>
      <c r="I1068" s="25" t="n"/>
      <c r="J1068" s="10">
        <f>IF(D1068="","",IF(H1068="✓","完了",IF(G1068="","",IF(G1068&lt;TODAY(),"期限超過",IF(G1068=TODAY(),"今日まで","予定")))))</f>
        <v/>
      </c>
      <c r="K1068" s="22" t="n"/>
      <c r="L1068" s="26" t="n"/>
    </row>
    <row r="1069">
      <c r="A1069" s="11" t="n"/>
      <c r="B1069" s="11" t="n"/>
      <c r="C1069" s="10" t="n"/>
      <c r="D1069" s="11" t="n"/>
      <c r="E1069" s="10" t="n"/>
      <c r="F1069" s="22" t="n"/>
      <c r="G1069" s="24" t="n"/>
      <c r="H1069" s="23" t="n"/>
      <c r="I1069" s="25" t="n"/>
      <c r="J1069" s="10">
        <f>IF(D1069="","",IF(H1069="✓","完了",IF(G1069="","",IF(G1069&lt;TODAY(),"期限超過",IF(G1069=TODAY(),"今日まで","予定")))))</f>
        <v/>
      </c>
      <c r="K1069" s="22" t="n"/>
      <c r="L1069" s="26" t="n"/>
    </row>
    <row r="1070">
      <c r="A1070" s="11" t="n"/>
      <c r="B1070" s="11" t="n"/>
      <c r="C1070" s="10" t="n"/>
      <c r="D1070" s="11" t="n"/>
      <c r="E1070" s="10" t="n"/>
      <c r="F1070" s="22" t="n"/>
      <c r="G1070" s="24" t="n"/>
      <c r="H1070" s="23" t="n"/>
      <c r="I1070" s="25" t="n"/>
      <c r="J1070" s="10">
        <f>IF(D1070="","",IF(H1070="✓","完了",IF(G1070="","",IF(G1070&lt;TODAY(),"期限超過",IF(G1070=TODAY(),"今日まで","予定")))))</f>
        <v/>
      </c>
      <c r="K1070" s="22" t="n"/>
      <c r="L1070" s="26" t="n"/>
    </row>
    <row r="1071">
      <c r="A1071" s="11" t="n"/>
      <c r="B1071" s="11" t="n"/>
      <c r="C1071" s="10" t="n"/>
      <c r="D1071" s="11" t="n"/>
      <c r="E1071" s="10" t="n"/>
      <c r="F1071" s="22" t="n"/>
      <c r="G1071" s="24" t="n"/>
      <c r="H1071" s="23" t="n"/>
      <c r="I1071" s="25" t="n"/>
      <c r="J1071" s="10">
        <f>IF(D1071="","",IF(H1071="✓","完了",IF(G1071="","",IF(G1071&lt;TODAY(),"期限超過",IF(G1071=TODAY(),"今日まで","予定")))))</f>
        <v/>
      </c>
      <c r="K1071" s="22" t="n"/>
      <c r="L1071" s="26" t="n"/>
    </row>
    <row r="1072">
      <c r="A1072" s="11" t="n"/>
      <c r="B1072" s="11" t="n"/>
      <c r="C1072" s="10" t="n"/>
      <c r="D1072" s="11" t="n"/>
      <c r="E1072" s="10" t="n"/>
      <c r="F1072" s="22" t="n"/>
      <c r="G1072" s="24" t="n"/>
      <c r="H1072" s="23" t="n"/>
      <c r="I1072" s="25" t="n"/>
      <c r="J1072" s="10">
        <f>IF(D1072="","",IF(H1072="✓","完了",IF(G1072="","",IF(G1072&lt;TODAY(),"期限超過",IF(G1072=TODAY(),"今日まで","予定")))))</f>
        <v/>
      </c>
      <c r="K1072" s="22" t="n"/>
      <c r="L1072" s="26" t="n"/>
    </row>
    <row r="1073">
      <c r="A1073" s="11" t="n"/>
      <c r="B1073" s="11" t="n"/>
      <c r="C1073" s="10" t="n"/>
      <c r="D1073" s="11" t="n"/>
      <c r="E1073" s="10" t="n"/>
      <c r="F1073" s="22" t="n"/>
      <c r="G1073" s="24" t="n"/>
      <c r="H1073" s="23" t="n"/>
      <c r="I1073" s="25" t="n"/>
      <c r="J1073" s="10">
        <f>IF(D1073="","",IF(H1073="✓","完了",IF(G1073="","",IF(G1073&lt;TODAY(),"期限超過",IF(G1073=TODAY(),"今日まで","予定")))))</f>
        <v/>
      </c>
      <c r="K1073" s="22" t="n"/>
      <c r="L1073" s="26" t="n"/>
    </row>
    <row r="1074">
      <c r="A1074" s="11" t="n"/>
      <c r="B1074" s="11" t="n"/>
      <c r="C1074" s="10" t="n"/>
      <c r="D1074" s="11" t="n"/>
      <c r="E1074" s="10" t="n"/>
      <c r="F1074" s="22" t="n"/>
      <c r="G1074" s="24" t="n"/>
      <c r="H1074" s="23" t="n"/>
      <c r="I1074" s="25" t="n"/>
      <c r="J1074" s="10">
        <f>IF(D1074="","",IF(H1074="✓","完了",IF(G1074="","",IF(G1074&lt;TODAY(),"期限超過",IF(G1074=TODAY(),"今日まで","予定")))))</f>
        <v/>
      </c>
      <c r="K1074" s="22" t="n"/>
      <c r="L1074" s="26" t="n"/>
    </row>
    <row r="1075">
      <c r="A1075" s="11" t="n"/>
      <c r="B1075" s="11" t="n"/>
      <c r="C1075" s="10" t="n"/>
      <c r="D1075" s="11" t="n"/>
      <c r="E1075" s="10" t="n"/>
      <c r="F1075" s="22" t="n"/>
      <c r="G1075" s="24" t="n"/>
      <c r="H1075" s="23" t="n"/>
      <c r="I1075" s="25" t="n"/>
      <c r="J1075" s="10">
        <f>IF(D1075="","",IF(H1075="✓","完了",IF(G1075="","",IF(G1075&lt;TODAY(),"期限超過",IF(G1075=TODAY(),"今日まで","予定")))))</f>
        <v/>
      </c>
      <c r="K1075" s="22" t="n"/>
      <c r="L1075" s="26" t="n"/>
    </row>
    <row r="1076">
      <c r="A1076" s="11" t="n"/>
      <c r="B1076" s="11" t="n"/>
      <c r="C1076" s="10" t="n"/>
      <c r="D1076" s="11" t="n"/>
      <c r="E1076" s="10" t="n"/>
      <c r="F1076" s="22" t="n"/>
      <c r="G1076" s="24" t="n"/>
      <c r="H1076" s="23" t="n"/>
      <c r="I1076" s="25" t="n"/>
      <c r="J1076" s="10">
        <f>IF(D1076="","",IF(H1076="✓","完了",IF(G1076="","",IF(G1076&lt;TODAY(),"期限超過",IF(G1076=TODAY(),"今日まで","予定")))))</f>
        <v/>
      </c>
      <c r="K1076" s="22" t="n"/>
      <c r="L1076" s="26" t="n"/>
    </row>
    <row r="1077">
      <c r="A1077" s="11" t="n"/>
      <c r="B1077" s="11" t="n"/>
      <c r="C1077" s="10" t="n"/>
      <c r="D1077" s="11" t="n"/>
      <c r="E1077" s="10" t="n"/>
      <c r="F1077" s="22" t="n"/>
      <c r="G1077" s="24" t="n"/>
      <c r="H1077" s="23" t="n"/>
      <c r="I1077" s="25" t="n"/>
      <c r="J1077" s="10">
        <f>IF(D1077="","",IF(H1077="✓","完了",IF(G1077="","",IF(G1077&lt;TODAY(),"期限超過",IF(G1077=TODAY(),"今日まで","予定")))))</f>
        <v/>
      </c>
      <c r="K1077" s="22" t="n"/>
      <c r="L1077" s="26" t="n"/>
    </row>
    <row r="1078">
      <c r="A1078" s="11" t="n"/>
      <c r="B1078" s="11" t="n"/>
      <c r="C1078" s="10" t="n"/>
      <c r="D1078" s="11" t="n"/>
      <c r="E1078" s="10" t="n"/>
      <c r="F1078" s="22" t="n"/>
      <c r="G1078" s="24" t="n"/>
      <c r="H1078" s="23" t="n"/>
      <c r="I1078" s="25" t="n"/>
      <c r="J1078" s="10">
        <f>IF(D1078="","",IF(H1078="✓","完了",IF(G1078="","",IF(G1078&lt;TODAY(),"期限超過",IF(G1078=TODAY(),"今日まで","予定")))))</f>
        <v/>
      </c>
      <c r="K1078" s="22" t="n"/>
      <c r="L1078" s="26" t="n"/>
    </row>
    <row r="1079">
      <c r="A1079" s="11" t="n"/>
      <c r="B1079" s="11" t="n"/>
      <c r="C1079" s="10" t="n"/>
      <c r="D1079" s="11" t="n"/>
      <c r="E1079" s="10" t="n"/>
      <c r="F1079" s="22" t="n"/>
      <c r="G1079" s="24" t="n"/>
      <c r="H1079" s="23" t="n"/>
      <c r="I1079" s="25" t="n"/>
      <c r="J1079" s="10">
        <f>IF(D1079="","",IF(H1079="✓","完了",IF(G1079="","",IF(G1079&lt;TODAY(),"期限超過",IF(G1079=TODAY(),"今日まで","予定")))))</f>
        <v/>
      </c>
      <c r="K1079" s="22" t="n"/>
      <c r="L1079" s="26" t="n"/>
    </row>
    <row r="1080">
      <c r="A1080" s="11" t="n"/>
      <c r="B1080" s="11" t="n"/>
      <c r="C1080" s="10" t="n"/>
      <c r="D1080" s="11" t="n"/>
      <c r="E1080" s="10" t="n"/>
      <c r="F1080" s="22" t="n"/>
      <c r="G1080" s="24" t="n"/>
      <c r="H1080" s="23" t="n"/>
      <c r="I1080" s="25" t="n"/>
      <c r="J1080" s="10">
        <f>IF(D1080="","",IF(H1080="✓","完了",IF(G1080="","",IF(G1080&lt;TODAY(),"期限超過",IF(G1080=TODAY(),"今日まで","予定")))))</f>
        <v/>
      </c>
      <c r="K1080" s="22" t="n"/>
      <c r="L1080" s="26" t="n"/>
    </row>
    <row r="1081">
      <c r="A1081" s="11" t="n"/>
      <c r="B1081" s="11" t="n"/>
      <c r="C1081" s="10" t="n"/>
      <c r="D1081" s="11" t="n"/>
      <c r="E1081" s="10" t="n"/>
      <c r="F1081" s="22" t="n"/>
      <c r="G1081" s="24" t="n"/>
      <c r="H1081" s="23" t="n"/>
      <c r="I1081" s="25" t="n"/>
      <c r="J1081" s="10">
        <f>IF(D1081="","",IF(H1081="✓","完了",IF(G1081="","",IF(G1081&lt;TODAY(),"期限超過",IF(G1081=TODAY(),"今日まで","予定")))))</f>
        <v/>
      </c>
      <c r="K1081" s="22" t="n"/>
      <c r="L1081" s="26" t="n"/>
    </row>
    <row r="1082">
      <c r="A1082" s="11" t="n"/>
      <c r="B1082" s="11" t="n"/>
      <c r="C1082" s="10" t="n"/>
      <c r="D1082" s="11" t="n"/>
      <c r="E1082" s="10" t="n"/>
      <c r="F1082" s="22" t="n"/>
      <c r="G1082" s="24" t="n"/>
      <c r="H1082" s="23" t="n"/>
      <c r="I1082" s="25" t="n"/>
      <c r="J1082" s="10">
        <f>IF(D1082="","",IF(H1082="✓","完了",IF(G1082="","",IF(G1082&lt;TODAY(),"期限超過",IF(G1082=TODAY(),"今日まで","予定")))))</f>
        <v/>
      </c>
      <c r="K1082" s="22" t="n"/>
      <c r="L1082" s="26" t="n"/>
    </row>
    <row r="1083">
      <c r="A1083" s="11" t="n"/>
      <c r="B1083" s="11" t="n"/>
      <c r="C1083" s="10" t="n"/>
      <c r="D1083" s="11" t="n"/>
      <c r="E1083" s="10" t="n"/>
      <c r="F1083" s="22" t="n"/>
      <c r="G1083" s="24" t="n"/>
      <c r="H1083" s="23" t="n"/>
      <c r="I1083" s="25" t="n"/>
      <c r="J1083" s="10">
        <f>IF(D1083="","",IF(H1083="✓","完了",IF(G1083="","",IF(G1083&lt;TODAY(),"期限超過",IF(G1083=TODAY(),"今日まで","予定")))))</f>
        <v/>
      </c>
      <c r="K1083" s="22" t="n"/>
      <c r="L1083" s="26" t="n"/>
    </row>
    <row r="1084">
      <c r="A1084" s="11" t="n"/>
      <c r="B1084" s="11" t="n"/>
      <c r="C1084" s="10" t="n"/>
      <c r="D1084" s="11" t="n"/>
      <c r="E1084" s="10" t="n"/>
      <c r="F1084" s="22" t="n"/>
      <c r="G1084" s="24" t="n"/>
      <c r="H1084" s="23" t="n"/>
      <c r="I1084" s="25" t="n"/>
      <c r="J1084" s="10">
        <f>IF(D1084="","",IF(H1084="✓","完了",IF(G1084="","",IF(G1084&lt;TODAY(),"期限超過",IF(G1084=TODAY(),"今日まで","予定")))))</f>
        <v/>
      </c>
      <c r="K1084" s="22" t="n"/>
      <c r="L1084" s="26" t="n"/>
    </row>
    <row r="1085">
      <c r="A1085" s="11" t="n"/>
      <c r="B1085" s="11" t="n"/>
      <c r="C1085" s="10" t="n"/>
      <c r="D1085" s="11" t="n"/>
      <c r="E1085" s="10" t="n"/>
      <c r="F1085" s="22" t="n"/>
      <c r="G1085" s="24" t="n"/>
      <c r="H1085" s="23" t="n"/>
      <c r="I1085" s="25" t="n"/>
      <c r="J1085" s="10">
        <f>IF(D1085="","",IF(H1085="✓","完了",IF(G1085="","",IF(G1085&lt;TODAY(),"期限超過",IF(G1085=TODAY(),"今日まで","予定")))))</f>
        <v/>
      </c>
      <c r="K1085" s="22" t="n"/>
      <c r="L1085" s="26" t="n"/>
    </row>
    <row r="1086">
      <c r="A1086" s="11" t="n"/>
      <c r="B1086" s="11" t="n"/>
      <c r="C1086" s="10" t="n"/>
      <c r="D1086" s="11" t="n"/>
      <c r="E1086" s="10" t="n"/>
      <c r="F1086" s="22" t="n"/>
      <c r="G1086" s="24" t="n"/>
      <c r="H1086" s="23" t="n"/>
      <c r="I1086" s="25" t="n"/>
      <c r="J1086" s="10">
        <f>IF(D1086="","",IF(H1086="✓","完了",IF(G1086="","",IF(G1086&lt;TODAY(),"期限超過",IF(G1086=TODAY(),"今日まで","予定")))))</f>
        <v/>
      </c>
      <c r="K1086" s="22" t="n"/>
      <c r="L1086" s="26" t="n"/>
    </row>
    <row r="1087">
      <c r="A1087" s="11" t="n"/>
      <c r="B1087" s="11" t="n"/>
      <c r="C1087" s="10" t="n"/>
      <c r="D1087" s="11" t="n"/>
      <c r="E1087" s="10" t="n"/>
      <c r="F1087" s="22" t="n"/>
      <c r="G1087" s="24" t="n"/>
      <c r="H1087" s="23" t="n"/>
      <c r="I1087" s="25" t="n"/>
      <c r="J1087" s="10">
        <f>IF(D1087="","",IF(H1087="✓","完了",IF(G1087="","",IF(G1087&lt;TODAY(),"期限超過",IF(G1087=TODAY(),"今日まで","予定")))))</f>
        <v/>
      </c>
      <c r="K1087" s="22" t="n"/>
      <c r="L1087" s="26" t="n"/>
    </row>
    <row r="1088">
      <c r="A1088" s="11" t="n"/>
      <c r="B1088" s="11" t="n"/>
      <c r="C1088" s="10" t="n"/>
      <c r="D1088" s="11" t="n"/>
      <c r="E1088" s="10" t="n"/>
      <c r="F1088" s="22" t="n"/>
      <c r="G1088" s="24" t="n"/>
      <c r="H1088" s="23" t="n"/>
      <c r="I1088" s="25" t="n"/>
      <c r="J1088" s="10">
        <f>IF(D1088="","",IF(H1088="✓","完了",IF(G1088="","",IF(G1088&lt;TODAY(),"期限超過",IF(G1088=TODAY(),"今日まで","予定")))))</f>
        <v/>
      </c>
      <c r="K1088" s="22" t="n"/>
      <c r="L1088" s="26" t="n"/>
    </row>
    <row r="1089">
      <c r="A1089" s="11" t="n"/>
      <c r="B1089" s="11" t="n"/>
      <c r="C1089" s="10" t="n"/>
      <c r="D1089" s="11" t="n"/>
      <c r="E1089" s="10" t="n"/>
      <c r="F1089" s="22" t="n"/>
      <c r="G1089" s="24" t="n"/>
      <c r="H1089" s="23" t="n"/>
      <c r="I1089" s="25" t="n"/>
      <c r="J1089" s="10">
        <f>IF(D1089="","",IF(H1089="✓","完了",IF(G1089="","",IF(G1089&lt;TODAY(),"期限超過",IF(G1089=TODAY(),"今日まで","予定")))))</f>
        <v/>
      </c>
      <c r="K1089" s="22" t="n"/>
      <c r="L1089" s="26" t="n"/>
    </row>
    <row r="1090">
      <c r="A1090" s="11" t="n"/>
      <c r="B1090" s="11" t="n"/>
      <c r="C1090" s="10" t="n"/>
      <c r="D1090" s="11" t="n"/>
      <c r="E1090" s="10" t="n"/>
      <c r="F1090" s="22" t="n"/>
      <c r="G1090" s="24" t="n"/>
      <c r="H1090" s="23" t="n"/>
      <c r="I1090" s="25" t="n"/>
      <c r="J1090" s="10">
        <f>IF(D1090="","",IF(H1090="✓","完了",IF(G1090="","",IF(G1090&lt;TODAY(),"期限超過",IF(G1090=TODAY(),"今日まで","予定")))))</f>
        <v/>
      </c>
      <c r="K1090" s="22" t="n"/>
      <c r="L1090" s="26" t="n"/>
    </row>
    <row r="1091">
      <c r="A1091" s="11" t="n"/>
      <c r="B1091" s="11" t="n"/>
      <c r="C1091" s="10" t="n"/>
      <c r="D1091" s="11" t="n"/>
      <c r="E1091" s="10" t="n"/>
      <c r="F1091" s="22" t="n"/>
      <c r="G1091" s="24" t="n"/>
      <c r="H1091" s="23" t="n"/>
      <c r="I1091" s="25" t="n"/>
      <c r="J1091" s="10">
        <f>IF(D1091="","",IF(H1091="✓","完了",IF(G1091="","",IF(G1091&lt;TODAY(),"期限超過",IF(G1091=TODAY(),"今日まで","予定")))))</f>
        <v/>
      </c>
      <c r="K1091" s="22" t="n"/>
      <c r="L1091" s="26" t="n"/>
    </row>
    <row r="1092">
      <c r="A1092" s="11" t="n"/>
      <c r="B1092" s="11" t="n"/>
      <c r="C1092" s="10" t="n"/>
      <c r="D1092" s="11" t="n"/>
      <c r="E1092" s="10" t="n"/>
      <c r="F1092" s="22" t="n"/>
      <c r="G1092" s="24" t="n"/>
      <c r="H1092" s="23" t="n"/>
      <c r="I1092" s="25" t="n"/>
      <c r="J1092" s="10">
        <f>IF(D1092="","",IF(H1092="✓","完了",IF(G1092="","",IF(G1092&lt;TODAY(),"期限超過",IF(G1092=TODAY(),"今日まで","予定")))))</f>
        <v/>
      </c>
      <c r="K1092" s="22" t="n"/>
      <c r="L1092" s="26" t="n"/>
    </row>
    <row r="1093">
      <c r="A1093" s="11" t="n"/>
      <c r="B1093" s="11" t="n"/>
      <c r="C1093" s="10" t="n"/>
      <c r="D1093" s="11" t="n"/>
      <c r="E1093" s="10" t="n"/>
      <c r="F1093" s="22" t="n"/>
      <c r="G1093" s="24" t="n"/>
      <c r="H1093" s="23" t="n"/>
      <c r="I1093" s="25" t="n"/>
      <c r="J1093" s="10">
        <f>IF(D1093="","",IF(H1093="✓","完了",IF(G1093="","",IF(G1093&lt;TODAY(),"期限超過",IF(G1093=TODAY(),"今日まで","予定")))))</f>
        <v/>
      </c>
      <c r="K1093" s="22" t="n"/>
      <c r="L1093" s="26" t="n"/>
    </row>
    <row r="1094">
      <c r="A1094" s="11" t="n"/>
      <c r="B1094" s="11" t="n"/>
      <c r="C1094" s="10" t="n"/>
      <c r="D1094" s="11" t="n"/>
      <c r="E1094" s="10" t="n"/>
      <c r="F1094" s="22" t="n"/>
      <c r="G1094" s="24" t="n"/>
      <c r="H1094" s="23" t="n"/>
      <c r="I1094" s="25" t="n"/>
      <c r="J1094" s="10">
        <f>IF(D1094="","",IF(H1094="✓","完了",IF(G1094="","",IF(G1094&lt;TODAY(),"期限超過",IF(G1094=TODAY(),"今日まで","予定")))))</f>
        <v/>
      </c>
      <c r="K1094" s="22" t="n"/>
      <c r="L1094" s="26" t="n"/>
    </row>
    <row r="1095">
      <c r="A1095" s="11" t="n"/>
      <c r="B1095" s="11" t="n"/>
      <c r="C1095" s="10" t="n"/>
      <c r="D1095" s="11" t="n"/>
      <c r="E1095" s="10" t="n"/>
      <c r="F1095" s="22" t="n"/>
      <c r="G1095" s="24" t="n"/>
      <c r="H1095" s="23" t="n"/>
      <c r="I1095" s="25" t="n"/>
      <c r="J1095" s="10">
        <f>IF(D1095="","",IF(H1095="✓","完了",IF(G1095="","",IF(G1095&lt;TODAY(),"期限超過",IF(G1095=TODAY(),"今日まで","予定")))))</f>
        <v/>
      </c>
      <c r="K1095" s="22" t="n"/>
      <c r="L1095" s="26" t="n"/>
    </row>
    <row r="1096">
      <c r="A1096" s="11" t="n"/>
      <c r="B1096" s="11" t="n"/>
      <c r="C1096" s="10" t="n"/>
      <c r="D1096" s="11" t="n"/>
      <c r="E1096" s="10" t="n"/>
      <c r="F1096" s="22" t="n"/>
      <c r="G1096" s="24" t="n"/>
      <c r="H1096" s="23" t="n"/>
      <c r="I1096" s="25" t="n"/>
      <c r="J1096" s="10">
        <f>IF(D1096="","",IF(H1096="✓","完了",IF(G1096="","",IF(G1096&lt;TODAY(),"期限超過",IF(G1096=TODAY(),"今日まで","予定")))))</f>
        <v/>
      </c>
      <c r="K1096" s="22" t="n"/>
      <c r="L1096" s="26" t="n"/>
    </row>
    <row r="1097">
      <c r="A1097" s="11" t="n"/>
      <c r="B1097" s="11" t="n"/>
      <c r="C1097" s="10" t="n"/>
      <c r="D1097" s="11" t="n"/>
      <c r="E1097" s="10" t="n"/>
      <c r="F1097" s="22" t="n"/>
      <c r="G1097" s="24" t="n"/>
      <c r="H1097" s="23" t="n"/>
      <c r="I1097" s="25" t="n"/>
      <c r="J1097" s="10">
        <f>IF(D1097="","",IF(H1097="✓","完了",IF(G1097="","",IF(G1097&lt;TODAY(),"期限超過",IF(G1097=TODAY(),"今日まで","予定")))))</f>
        <v/>
      </c>
      <c r="K1097" s="22" t="n"/>
      <c r="L1097" s="26" t="n"/>
    </row>
    <row r="1098">
      <c r="A1098" s="11" t="n"/>
      <c r="B1098" s="11" t="n"/>
      <c r="C1098" s="10" t="n"/>
      <c r="D1098" s="11" t="n"/>
      <c r="E1098" s="10" t="n"/>
      <c r="F1098" s="22" t="n"/>
      <c r="G1098" s="24" t="n"/>
      <c r="H1098" s="23" t="n"/>
      <c r="I1098" s="25" t="n"/>
      <c r="J1098" s="10">
        <f>IF(D1098="","",IF(H1098="✓","完了",IF(G1098="","",IF(G1098&lt;TODAY(),"期限超過",IF(G1098=TODAY(),"今日まで","予定")))))</f>
        <v/>
      </c>
      <c r="K1098" s="22" t="n"/>
      <c r="L1098" s="26" t="n"/>
    </row>
    <row r="1099">
      <c r="A1099" s="11" t="n"/>
      <c r="B1099" s="11" t="n"/>
      <c r="C1099" s="10" t="n"/>
      <c r="D1099" s="11" t="n"/>
      <c r="E1099" s="10" t="n"/>
      <c r="F1099" s="22" t="n"/>
      <c r="G1099" s="24" t="n"/>
      <c r="H1099" s="23" t="n"/>
      <c r="I1099" s="25" t="n"/>
      <c r="J1099" s="10">
        <f>IF(D1099="","",IF(H1099="✓","完了",IF(G1099="","",IF(G1099&lt;TODAY(),"期限超過",IF(G1099=TODAY(),"今日まで","予定")))))</f>
        <v/>
      </c>
      <c r="K1099" s="22" t="n"/>
      <c r="L1099" s="26" t="n"/>
    </row>
    <row r="1100">
      <c r="A1100" s="11" t="n"/>
      <c r="B1100" s="11" t="n"/>
      <c r="C1100" s="10" t="n"/>
      <c r="D1100" s="11" t="n"/>
      <c r="E1100" s="10" t="n"/>
      <c r="F1100" s="22" t="n"/>
      <c r="G1100" s="24" t="n"/>
      <c r="H1100" s="23" t="n"/>
      <c r="I1100" s="25" t="n"/>
      <c r="J1100" s="10">
        <f>IF(D1100="","",IF(H1100="✓","完了",IF(G1100="","",IF(G1100&lt;TODAY(),"期限超過",IF(G1100=TODAY(),"今日まで","予定")))))</f>
        <v/>
      </c>
      <c r="K1100" s="22" t="n"/>
      <c r="L1100" s="26" t="n"/>
    </row>
    <row r="1101">
      <c r="A1101" s="11" t="n"/>
      <c r="B1101" s="11" t="n"/>
      <c r="C1101" s="10" t="n"/>
      <c r="D1101" s="11" t="n"/>
      <c r="E1101" s="10" t="n"/>
      <c r="F1101" s="22" t="n"/>
      <c r="G1101" s="24" t="n"/>
      <c r="H1101" s="23" t="n"/>
      <c r="I1101" s="25" t="n"/>
      <c r="J1101" s="10">
        <f>IF(D1101="","",IF(H1101="✓","完了",IF(G1101="","",IF(G1101&lt;TODAY(),"期限超過",IF(G1101=TODAY(),"今日まで","予定")))))</f>
        <v/>
      </c>
      <c r="K1101" s="22" t="n"/>
      <c r="L1101" s="26" t="n"/>
    </row>
    <row r="1102">
      <c r="A1102" s="11" t="n"/>
      <c r="B1102" s="11" t="n"/>
      <c r="C1102" s="10" t="n"/>
      <c r="D1102" s="11" t="n"/>
      <c r="E1102" s="10" t="n"/>
      <c r="F1102" s="22" t="n"/>
      <c r="G1102" s="24" t="n"/>
      <c r="H1102" s="23" t="n"/>
      <c r="I1102" s="25" t="n"/>
      <c r="J1102" s="10">
        <f>IF(D1102="","",IF(H1102="✓","完了",IF(G1102="","",IF(G1102&lt;TODAY(),"期限超過",IF(G1102=TODAY(),"今日まで","予定")))))</f>
        <v/>
      </c>
      <c r="K1102" s="22" t="n"/>
      <c r="L1102" s="26" t="n"/>
    </row>
    <row r="1103">
      <c r="A1103" s="11" t="n"/>
      <c r="B1103" s="11" t="n"/>
      <c r="C1103" s="10" t="n"/>
      <c r="D1103" s="11" t="n"/>
      <c r="E1103" s="10" t="n"/>
      <c r="F1103" s="22" t="n"/>
      <c r="G1103" s="24" t="n"/>
      <c r="H1103" s="23" t="n"/>
      <c r="I1103" s="25" t="n"/>
      <c r="J1103" s="10">
        <f>IF(D1103="","",IF(H1103="✓","完了",IF(G1103="","",IF(G1103&lt;TODAY(),"期限超過",IF(G1103=TODAY(),"今日まで","予定")))))</f>
        <v/>
      </c>
      <c r="K1103" s="22" t="n"/>
      <c r="L1103" s="26" t="n"/>
    </row>
    <row r="1104">
      <c r="A1104" s="11" t="n"/>
      <c r="B1104" s="11" t="n"/>
      <c r="C1104" s="10" t="n"/>
      <c r="D1104" s="11" t="n"/>
      <c r="E1104" s="10" t="n"/>
      <c r="F1104" s="22" t="n"/>
      <c r="G1104" s="24" t="n"/>
      <c r="H1104" s="23" t="n"/>
      <c r="I1104" s="25" t="n"/>
      <c r="J1104" s="10">
        <f>IF(D1104="","",IF(H1104="✓","完了",IF(G1104="","",IF(G1104&lt;TODAY(),"期限超過",IF(G1104=TODAY(),"今日まで","予定")))))</f>
        <v/>
      </c>
      <c r="K1104" s="22" t="n"/>
      <c r="L1104" s="26" t="n"/>
    </row>
    <row r="1105">
      <c r="A1105" s="11" t="n"/>
      <c r="B1105" s="11" t="n"/>
      <c r="C1105" s="10" t="n"/>
      <c r="D1105" s="11" t="n"/>
      <c r="E1105" s="10" t="n"/>
      <c r="F1105" s="22" t="n"/>
      <c r="G1105" s="24" t="n"/>
      <c r="H1105" s="23" t="n"/>
      <c r="I1105" s="25" t="n"/>
      <c r="J1105" s="10">
        <f>IF(D1105="","",IF(H1105="✓","完了",IF(G1105="","",IF(G1105&lt;TODAY(),"期限超過",IF(G1105=TODAY(),"今日まで","予定")))))</f>
        <v/>
      </c>
      <c r="K1105" s="22" t="n"/>
      <c r="L1105" s="26" t="n"/>
    </row>
    <row r="1106">
      <c r="A1106" s="11" t="n"/>
      <c r="B1106" s="11" t="n"/>
      <c r="C1106" s="10" t="n"/>
      <c r="D1106" s="11" t="n"/>
      <c r="E1106" s="10" t="n"/>
      <c r="F1106" s="22" t="n"/>
      <c r="G1106" s="24" t="n"/>
      <c r="H1106" s="23" t="n"/>
      <c r="I1106" s="25" t="n"/>
      <c r="J1106" s="10">
        <f>IF(D1106="","",IF(H1106="✓","完了",IF(G1106="","",IF(G1106&lt;TODAY(),"期限超過",IF(G1106=TODAY(),"今日まで","予定")))))</f>
        <v/>
      </c>
      <c r="K1106" s="22" t="n"/>
      <c r="L1106" s="26" t="n"/>
    </row>
    <row r="1107">
      <c r="A1107" s="11" t="n"/>
      <c r="B1107" s="11" t="n"/>
      <c r="C1107" s="10" t="n"/>
      <c r="D1107" s="11" t="n"/>
      <c r="E1107" s="10" t="n"/>
      <c r="F1107" s="22" t="n"/>
      <c r="G1107" s="24" t="n"/>
      <c r="H1107" s="23" t="n"/>
      <c r="I1107" s="25" t="n"/>
      <c r="J1107" s="10">
        <f>IF(D1107="","",IF(H1107="✓","完了",IF(G1107="","",IF(G1107&lt;TODAY(),"期限超過",IF(G1107=TODAY(),"今日まで","予定")))))</f>
        <v/>
      </c>
      <c r="K1107" s="22" t="n"/>
      <c r="L1107" s="26" t="n"/>
    </row>
    <row r="1108">
      <c r="A1108" s="11" t="n"/>
      <c r="B1108" s="11" t="n"/>
      <c r="C1108" s="10" t="n"/>
      <c r="D1108" s="11" t="n"/>
      <c r="E1108" s="10" t="n"/>
      <c r="F1108" s="22" t="n"/>
      <c r="G1108" s="24" t="n"/>
      <c r="H1108" s="23" t="n"/>
      <c r="I1108" s="25" t="n"/>
      <c r="J1108" s="10">
        <f>IF(D1108="","",IF(H1108="✓","完了",IF(G1108="","",IF(G1108&lt;TODAY(),"期限超過",IF(G1108=TODAY(),"今日まで","予定")))))</f>
        <v/>
      </c>
      <c r="K1108" s="22" t="n"/>
      <c r="L1108" s="26" t="n"/>
    </row>
    <row r="1109">
      <c r="A1109" s="11" t="n"/>
      <c r="B1109" s="11" t="n"/>
      <c r="C1109" s="10" t="n"/>
      <c r="D1109" s="11" t="n"/>
      <c r="E1109" s="10" t="n"/>
      <c r="F1109" s="22" t="n"/>
      <c r="G1109" s="24" t="n"/>
      <c r="H1109" s="23" t="n"/>
      <c r="I1109" s="25" t="n"/>
      <c r="J1109" s="10">
        <f>IF(D1109="","",IF(H1109="✓","完了",IF(G1109="","",IF(G1109&lt;TODAY(),"期限超過",IF(G1109=TODAY(),"今日まで","予定")))))</f>
        <v/>
      </c>
      <c r="K1109" s="22" t="n"/>
      <c r="L1109" s="26" t="n"/>
    </row>
    <row r="1110">
      <c r="A1110" s="11" t="n"/>
      <c r="B1110" s="11" t="n"/>
      <c r="C1110" s="10" t="n"/>
      <c r="D1110" s="11" t="n"/>
      <c r="E1110" s="10" t="n"/>
      <c r="F1110" s="22" t="n"/>
      <c r="G1110" s="24" t="n"/>
      <c r="H1110" s="23" t="n"/>
      <c r="I1110" s="25" t="n"/>
      <c r="J1110" s="10">
        <f>IF(D1110="","",IF(H1110="✓","完了",IF(G1110="","",IF(G1110&lt;TODAY(),"期限超過",IF(G1110=TODAY(),"今日まで","予定")))))</f>
        <v/>
      </c>
      <c r="K1110" s="22" t="n"/>
      <c r="L1110" s="26" t="n"/>
    </row>
    <row r="1111">
      <c r="A1111" s="11" t="n"/>
      <c r="B1111" s="11" t="n"/>
      <c r="C1111" s="10" t="n"/>
      <c r="D1111" s="11" t="n"/>
      <c r="E1111" s="10" t="n"/>
      <c r="F1111" s="22" t="n"/>
      <c r="G1111" s="24" t="n"/>
      <c r="H1111" s="23" t="n"/>
      <c r="I1111" s="25" t="n"/>
      <c r="J1111" s="10">
        <f>IF(D1111="","",IF(H1111="✓","完了",IF(G1111="","",IF(G1111&lt;TODAY(),"期限超過",IF(G1111=TODAY(),"今日まで","予定")))))</f>
        <v/>
      </c>
      <c r="K1111" s="22" t="n"/>
      <c r="L1111" s="26" t="n"/>
    </row>
    <row r="1112">
      <c r="A1112" s="11" t="n"/>
      <c r="B1112" s="11" t="n"/>
      <c r="C1112" s="10" t="n"/>
      <c r="D1112" s="11" t="n"/>
      <c r="E1112" s="10" t="n"/>
      <c r="F1112" s="22" t="n"/>
      <c r="G1112" s="24" t="n"/>
      <c r="H1112" s="23" t="n"/>
      <c r="I1112" s="25" t="n"/>
      <c r="J1112" s="10">
        <f>IF(D1112="","",IF(H1112="✓","完了",IF(G1112="","",IF(G1112&lt;TODAY(),"期限超過",IF(G1112=TODAY(),"今日まで","予定")))))</f>
        <v/>
      </c>
      <c r="K1112" s="22" t="n"/>
      <c r="L1112" s="26" t="n"/>
    </row>
    <row r="1113">
      <c r="A1113" s="11" t="n"/>
      <c r="B1113" s="11" t="n"/>
      <c r="C1113" s="10" t="n"/>
      <c r="D1113" s="11" t="n"/>
      <c r="E1113" s="10" t="n"/>
      <c r="F1113" s="22" t="n"/>
      <c r="G1113" s="24" t="n"/>
      <c r="H1113" s="23" t="n"/>
      <c r="I1113" s="25" t="n"/>
      <c r="J1113" s="10">
        <f>IF(D1113="","",IF(H1113="✓","完了",IF(G1113="","",IF(G1113&lt;TODAY(),"期限超過",IF(G1113=TODAY(),"今日まで","予定")))))</f>
        <v/>
      </c>
      <c r="K1113" s="22" t="n"/>
      <c r="L1113" s="26" t="n"/>
    </row>
    <row r="1114">
      <c r="A1114" s="11" t="n"/>
      <c r="B1114" s="11" t="n"/>
      <c r="C1114" s="10" t="n"/>
      <c r="D1114" s="11" t="n"/>
      <c r="E1114" s="10" t="n"/>
      <c r="F1114" s="22" t="n"/>
      <c r="G1114" s="24" t="n"/>
      <c r="H1114" s="23" t="n"/>
      <c r="I1114" s="25" t="n"/>
      <c r="J1114" s="10">
        <f>IF(D1114="","",IF(H1114="✓","完了",IF(G1114="","",IF(G1114&lt;TODAY(),"期限超過",IF(G1114=TODAY(),"今日まで","予定")))))</f>
        <v/>
      </c>
      <c r="K1114" s="22" t="n"/>
      <c r="L1114" s="26" t="n"/>
    </row>
    <row r="1115">
      <c r="A1115" s="11" t="n"/>
      <c r="B1115" s="11" t="n"/>
      <c r="C1115" s="10" t="n"/>
      <c r="D1115" s="11" t="n"/>
      <c r="E1115" s="10" t="n"/>
      <c r="F1115" s="22" t="n"/>
      <c r="G1115" s="24" t="n"/>
      <c r="H1115" s="23" t="n"/>
      <c r="I1115" s="25" t="n"/>
      <c r="J1115" s="10">
        <f>IF(D1115="","",IF(H1115="✓","完了",IF(G1115="","",IF(G1115&lt;TODAY(),"期限超過",IF(G1115=TODAY(),"今日まで","予定")))))</f>
        <v/>
      </c>
      <c r="K1115" s="22" t="n"/>
      <c r="L1115" s="26" t="n"/>
    </row>
    <row r="1116">
      <c r="A1116" s="11" t="n"/>
      <c r="B1116" s="11" t="n"/>
      <c r="C1116" s="10" t="n"/>
      <c r="D1116" s="11" t="n"/>
      <c r="E1116" s="10" t="n"/>
      <c r="F1116" s="22" t="n"/>
      <c r="G1116" s="24" t="n"/>
      <c r="H1116" s="23" t="n"/>
      <c r="I1116" s="25" t="n"/>
      <c r="J1116" s="10">
        <f>IF(D1116="","",IF(H1116="✓","完了",IF(G1116="","",IF(G1116&lt;TODAY(),"期限超過",IF(G1116=TODAY(),"今日まで","予定")))))</f>
        <v/>
      </c>
      <c r="K1116" s="22" t="n"/>
      <c r="L1116" s="26" t="n"/>
    </row>
    <row r="1117">
      <c r="A1117" s="11" t="n"/>
      <c r="B1117" s="11" t="n"/>
      <c r="C1117" s="10" t="n"/>
      <c r="D1117" s="11" t="n"/>
      <c r="E1117" s="10" t="n"/>
      <c r="F1117" s="22" t="n"/>
      <c r="G1117" s="24" t="n"/>
      <c r="H1117" s="23" t="n"/>
      <c r="I1117" s="25" t="n"/>
      <c r="J1117" s="10">
        <f>IF(D1117="","",IF(H1117="✓","完了",IF(G1117="","",IF(G1117&lt;TODAY(),"期限超過",IF(G1117=TODAY(),"今日まで","予定")))))</f>
        <v/>
      </c>
      <c r="K1117" s="22" t="n"/>
      <c r="L1117" s="26" t="n"/>
    </row>
    <row r="1118">
      <c r="A1118" s="11" t="n"/>
      <c r="B1118" s="11" t="n"/>
      <c r="C1118" s="10" t="n"/>
      <c r="D1118" s="11" t="n"/>
      <c r="E1118" s="10" t="n"/>
      <c r="F1118" s="22" t="n"/>
      <c r="G1118" s="24" t="n"/>
      <c r="H1118" s="23" t="n"/>
      <c r="I1118" s="25" t="n"/>
      <c r="J1118" s="10">
        <f>IF(D1118="","",IF(H1118="✓","完了",IF(G1118="","",IF(G1118&lt;TODAY(),"期限超過",IF(G1118=TODAY(),"今日まで","予定")))))</f>
        <v/>
      </c>
      <c r="K1118" s="22" t="n"/>
      <c r="L1118" s="26" t="n"/>
    </row>
    <row r="1119">
      <c r="A1119" s="11" t="n"/>
      <c r="B1119" s="11" t="n"/>
      <c r="C1119" s="10" t="n"/>
      <c r="D1119" s="11" t="n"/>
      <c r="E1119" s="10" t="n"/>
      <c r="F1119" s="22" t="n"/>
      <c r="G1119" s="24" t="n"/>
      <c r="H1119" s="23" t="n"/>
      <c r="I1119" s="25" t="n"/>
      <c r="J1119" s="10">
        <f>IF(D1119="","",IF(H1119="✓","完了",IF(G1119="","",IF(G1119&lt;TODAY(),"期限超過",IF(G1119=TODAY(),"今日まで","予定")))))</f>
        <v/>
      </c>
      <c r="K1119" s="22" t="n"/>
      <c r="L1119" s="26" t="n"/>
    </row>
    <row r="1120">
      <c r="A1120" s="11" t="n"/>
      <c r="B1120" s="11" t="n"/>
      <c r="C1120" s="10" t="n"/>
      <c r="D1120" s="11" t="n"/>
      <c r="E1120" s="10" t="n"/>
      <c r="F1120" s="22" t="n"/>
      <c r="G1120" s="24" t="n"/>
      <c r="H1120" s="23" t="n"/>
      <c r="I1120" s="25" t="n"/>
      <c r="J1120" s="10">
        <f>IF(D1120="","",IF(H1120="✓","完了",IF(G1120="","",IF(G1120&lt;TODAY(),"期限超過",IF(G1120=TODAY(),"今日まで","予定")))))</f>
        <v/>
      </c>
      <c r="K1120" s="22" t="n"/>
      <c r="L1120" s="26" t="n"/>
    </row>
    <row r="1121">
      <c r="A1121" s="11" t="n"/>
      <c r="B1121" s="11" t="n"/>
      <c r="C1121" s="10" t="n"/>
      <c r="D1121" s="11" t="n"/>
      <c r="E1121" s="10" t="n"/>
      <c r="F1121" s="22" t="n"/>
      <c r="G1121" s="24" t="n"/>
      <c r="H1121" s="23" t="n"/>
      <c r="I1121" s="25" t="n"/>
      <c r="J1121" s="10">
        <f>IF(D1121="","",IF(H1121="✓","完了",IF(G1121="","",IF(G1121&lt;TODAY(),"期限超過",IF(G1121=TODAY(),"今日まで","予定")))))</f>
        <v/>
      </c>
      <c r="K1121" s="22" t="n"/>
      <c r="L1121" s="26" t="n"/>
    </row>
    <row r="1122">
      <c r="A1122" s="11" t="n"/>
      <c r="B1122" s="11" t="n"/>
      <c r="C1122" s="10" t="n"/>
      <c r="D1122" s="11" t="n"/>
      <c r="E1122" s="10" t="n"/>
      <c r="F1122" s="22" t="n"/>
      <c r="G1122" s="24" t="n"/>
      <c r="H1122" s="23" t="n"/>
      <c r="I1122" s="25" t="n"/>
      <c r="J1122" s="10">
        <f>IF(D1122="","",IF(H1122="✓","完了",IF(G1122="","",IF(G1122&lt;TODAY(),"期限超過",IF(G1122=TODAY(),"今日まで","予定")))))</f>
        <v/>
      </c>
      <c r="K1122" s="22" t="n"/>
      <c r="L1122" s="26" t="n"/>
    </row>
    <row r="1123">
      <c r="A1123" s="11" t="n"/>
      <c r="B1123" s="11" t="n"/>
      <c r="C1123" s="10" t="n"/>
      <c r="D1123" s="11" t="n"/>
      <c r="E1123" s="10" t="n"/>
      <c r="F1123" s="22" t="n"/>
      <c r="G1123" s="24" t="n"/>
      <c r="H1123" s="23" t="n"/>
      <c r="I1123" s="25" t="n"/>
      <c r="J1123" s="10">
        <f>IF(D1123="","",IF(H1123="✓","完了",IF(G1123="","",IF(G1123&lt;TODAY(),"期限超過",IF(G1123=TODAY(),"今日まで","予定")))))</f>
        <v/>
      </c>
      <c r="K1123" s="22" t="n"/>
      <c r="L1123" s="26" t="n"/>
    </row>
    <row r="1124">
      <c r="A1124" s="11" t="n"/>
      <c r="B1124" s="11" t="n"/>
      <c r="C1124" s="10" t="n"/>
      <c r="D1124" s="11" t="n"/>
      <c r="E1124" s="10" t="n"/>
      <c r="F1124" s="22" t="n"/>
      <c r="G1124" s="24" t="n"/>
      <c r="H1124" s="23" t="n"/>
      <c r="I1124" s="25" t="n"/>
      <c r="J1124" s="10">
        <f>IF(D1124="","",IF(H1124="✓","完了",IF(G1124="","",IF(G1124&lt;TODAY(),"期限超過",IF(G1124=TODAY(),"今日まで","予定")))))</f>
        <v/>
      </c>
      <c r="K1124" s="22" t="n"/>
      <c r="L1124" s="26" t="n"/>
    </row>
    <row r="1125">
      <c r="A1125" s="11" t="n"/>
      <c r="B1125" s="11" t="n"/>
      <c r="C1125" s="10" t="n"/>
      <c r="D1125" s="11" t="n"/>
      <c r="E1125" s="10" t="n"/>
      <c r="F1125" s="22" t="n"/>
      <c r="G1125" s="24" t="n"/>
      <c r="H1125" s="23" t="n"/>
      <c r="I1125" s="25" t="n"/>
      <c r="J1125" s="10">
        <f>IF(D1125="","",IF(H1125="✓","完了",IF(G1125="","",IF(G1125&lt;TODAY(),"期限超過",IF(G1125=TODAY(),"今日まで","予定")))))</f>
        <v/>
      </c>
      <c r="K1125" s="22" t="n"/>
      <c r="L1125" s="26" t="n"/>
    </row>
    <row r="1126">
      <c r="A1126" s="11" t="n"/>
      <c r="B1126" s="11" t="n"/>
      <c r="C1126" s="10" t="n"/>
      <c r="D1126" s="11" t="n"/>
      <c r="E1126" s="10" t="n"/>
      <c r="F1126" s="22" t="n"/>
      <c r="G1126" s="24" t="n"/>
      <c r="H1126" s="23" t="n"/>
      <c r="I1126" s="25" t="n"/>
      <c r="J1126" s="10">
        <f>IF(D1126="","",IF(H1126="✓","完了",IF(G1126="","",IF(G1126&lt;TODAY(),"期限超過",IF(G1126=TODAY(),"今日まで","予定")))))</f>
        <v/>
      </c>
      <c r="K1126" s="22" t="n"/>
      <c r="L1126" s="26" t="n"/>
    </row>
    <row r="1127">
      <c r="A1127" s="11" t="n"/>
      <c r="B1127" s="11" t="n"/>
      <c r="C1127" s="10" t="n"/>
      <c r="D1127" s="11" t="n"/>
      <c r="E1127" s="10" t="n"/>
      <c r="F1127" s="22" t="n"/>
      <c r="G1127" s="24" t="n"/>
      <c r="H1127" s="23" t="n"/>
      <c r="I1127" s="25" t="n"/>
      <c r="J1127" s="10">
        <f>IF(D1127="","",IF(H1127="✓","完了",IF(G1127="","",IF(G1127&lt;TODAY(),"期限超過",IF(G1127=TODAY(),"今日まで","予定")))))</f>
        <v/>
      </c>
      <c r="K1127" s="22" t="n"/>
      <c r="L1127" s="26" t="n"/>
    </row>
    <row r="1128">
      <c r="A1128" s="11" t="n"/>
      <c r="B1128" s="11" t="n"/>
      <c r="C1128" s="10" t="n"/>
      <c r="D1128" s="11" t="n"/>
      <c r="E1128" s="10" t="n"/>
      <c r="F1128" s="22" t="n"/>
      <c r="G1128" s="24" t="n"/>
      <c r="H1128" s="23" t="n"/>
      <c r="I1128" s="25" t="n"/>
      <c r="J1128" s="10">
        <f>IF(D1128="","",IF(H1128="✓","完了",IF(G1128="","",IF(G1128&lt;TODAY(),"期限超過",IF(G1128=TODAY(),"今日まで","予定")))))</f>
        <v/>
      </c>
      <c r="K1128" s="22" t="n"/>
      <c r="L1128" s="26" t="n"/>
    </row>
    <row r="1129">
      <c r="A1129" s="11" t="n"/>
      <c r="B1129" s="11" t="n"/>
      <c r="C1129" s="10" t="n"/>
      <c r="D1129" s="11" t="n"/>
      <c r="E1129" s="10" t="n"/>
      <c r="F1129" s="22" t="n"/>
      <c r="G1129" s="24" t="n"/>
      <c r="H1129" s="23" t="n"/>
      <c r="I1129" s="25" t="n"/>
      <c r="J1129" s="10">
        <f>IF(D1129="","",IF(H1129="✓","完了",IF(G1129="","",IF(G1129&lt;TODAY(),"期限超過",IF(G1129=TODAY(),"今日まで","予定")))))</f>
        <v/>
      </c>
      <c r="K1129" s="22" t="n"/>
      <c r="L1129" s="26" t="n"/>
    </row>
    <row r="1130">
      <c r="A1130" s="11" t="n"/>
      <c r="B1130" s="11" t="n"/>
      <c r="C1130" s="10" t="n"/>
      <c r="D1130" s="11" t="n"/>
      <c r="E1130" s="10" t="n"/>
      <c r="F1130" s="22" t="n"/>
      <c r="G1130" s="24" t="n"/>
      <c r="H1130" s="23" t="n"/>
      <c r="I1130" s="25" t="n"/>
      <c r="J1130" s="10">
        <f>IF(D1130="","",IF(H1130="✓","完了",IF(G1130="","",IF(G1130&lt;TODAY(),"期限超過",IF(G1130=TODAY(),"今日まで","予定")))))</f>
        <v/>
      </c>
      <c r="K1130" s="22" t="n"/>
      <c r="L1130" s="26" t="n"/>
    </row>
    <row r="1131">
      <c r="A1131" s="11" t="n"/>
      <c r="B1131" s="11" t="n"/>
      <c r="C1131" s="10" t="n"/>
      <c r="D1131" s="11" t="n"/>
      <c r="E1131" s="10" t="n"/>
      <c r="F1131" s="22" t="n"/>
      <c r="G1131" s="24" t="n"/>
      <c r="H1131" s="23" t="n"/>
      <c r="I1131" s="25" t="n"/>
      <c r="J1131" s="10">
        <f>IF(D1131="","",IF(H1131="✓","完了",IF(G1131="","",IF(G1131&lt;TODAY(),"期限超過",IF(G1131=TODAY(),"今日まで","予定")))))</f>
        <v/>
      </c>
      <c r="K1131" s="22" t="n"/>
      <c r="L1131" s="26" t="n"/>
    </row>
    <row r="1132">
      <c r="A1132" s="11" t="n"/>
      <c r="B1132" s="11" t="n"/>
      <c r="C1132" s="10" t="n"/>
      <c r="D1132" s="11" t="n"/>
      <c r="E1132" s="10" t="n"/>
      <c r="F1132" s="22" t="n"/>
      <c r="G1132" s="24" t="n"/>
      <c r="H1132" s="23" t="n"/>
      <c r="I1132" s="25" t="n"/>
      <c r="J1132" s="10">
        <f>IF(D1132="","",IF(H1132="✓","完了",IF(G1132="","",IF(G1132&lt;TODAY(),"期限超過",IF(G1132=TODAY(),"今日まで","予定")))))</f>
        <v/>
      </c>
      <c r="K1132" s="22" t="n"/>
      <c r="L1132" s="26" t="n"/>
    </row>
    <row r="1133">
      <c r="A1133" s="11" t="n"/>
      <c r="B1133" s="11" t="n"/>
      <c r="C1133" s="10" t="n"/>
      <c r="D1133" s="11" t="n"/>
      <c r="E1133" s="10" t="n"/>
      <c r="F1133" s="22" t="n"/>
      <c r="G1133" s="24" t="n"/>
      <c r="H1133" s="23" t="n"/>
      <c r="I1133" s="25" t="n"/>
      <c r="J1133" s="10">
        <f>IF(D1133="","",IF(H1133="✓","完了",IF(G1133="","",IF(G1133&lt;TODAY(),"期限超過",IF(G1133=TODAY(),"今日まで","予定")))))</f>
        <v/>
      </c>
      <c r="K1133" s="22" t="n"/>
      <c r="L1133" s="26" t="n"/>
    </row>
    <row r="1134">
      <c r="A1134" s="11" t="n"/>
      <c r="B1134" s="11" t="n"/>
      <c r="C1134" s="10" t="n"/>
      <c r="D1134" s="11" t="n"/>
      <c r="E1134" s="10" t="n"/>
      <c r="F1134" s="22" t="n"/>
      <c r="G1134" s="24" t="n"/>
      <c r="H1134" s="23" t="n"/>
      <c r="I1134" s="25" t="n"/>
      <c r="J1134" s="10">
        <f>IF(D1134="","",IF(H1134="✓","完了",IF(G1134="","",IF(G1134&lt;TODAY(),"期限超過",IF(G1134=TODAY(),"今日まで","予定")))))</f>
        <v/>
      </c>
      <c r="K1134" s="22" t="n"/>
      <c r="L1134" s="26" t="n"/>
    </row>
    <row r="1135">
      <c r="A1135" s="11" t="n"/>
      <c r="B1135" s="11" t="n"/>
      <c r="C1135" s="10" t="n"/>
      <c r="D1135" s="11" t="n"/>
      <c r="E1135" s="10" t="n"/>
      <c r="F1135" s="22" t="n"/>
      <c r="G1135" s="24" t="n"/>
      <c r="H1135" s="23" t="n"/>
      <c r="I1135" s="25" t="n"/>
      <c r="J1135" s="10">
        <f>IF(D1135="","",IF(H1135="✓","完了",IF(G1135="","",IF(G1135&lt;TODAY(),"期限超過",IF(G1135=TODAY(),"今日まで","予定")))))</f>
        <v/>
      </c>
      <c r="K1135" s="22" t="n"/>
      <c r="L1135" s="26" t="n"/>
    </row>
    <row r="1136">
      <c r="A1136" s="11" t="n"/>
      <c r="B1136" s="11" t="n"/>
      <c r="C1136" s="10" t="n"/>
      <c r="D1136" s="11" t="n"/>
      <c r="E1136" s="10" t="n"/>
      <c r="F1136" s="22" t="n"/>
      <c r="G1136" s="24" t="n"/>
      <c r="H1136" s="23" t="n"/>
      <c r="I1136" s="25" t="n"/>
      <c r="J1136" s="10">
        <f>IF(D1136="","",IF(H1136="✓","完了",IF(G1136="","",IF(G1136&lt;TODAY(),"期限超過",IF(G1136=TODAY(),"今日まで","予定")))))</f>
        <v/>
      </c>
      <c r="K1136" s="22" t="n"/>
      <c r="L1136" s="26" t="n"/>
    </row>
    <row r="1137">
      <c r="A1137" s="11" t="n"/>
      <c r="B1137" s="11" t="n"/>
      <c r="C1137" s="10" t="n"/>
      <c r="D1137" s="11" t="n"/>
      <c r="E1137" s="10" t="n"/>
      <c r="F1137" s="22" t="n"/>
      <c r="G1137" s="24" t="n"/>
      <c r="H1137" s="23" t="n"/>
      <c r="I1137" s="25" t="n"/>
      <c r="J1137" s="10">
        <f>IF(D1137="","",IF(H1137="✓","完了",IF(G1137="","",IF(G1137&lt;TODAY(),"期限超過",IF(G1137=TODAY(),"今日まで","予定")))))</f>
        <v/>
      </c>
      <c r="K1137" s="22" t="n"/>
      <c r="L1137" s="26" t="n"/>
    </row>
    <row r="1138">
      <c r="A1138" s="11" t="n"/>
      <c r="B1138" s="11" t="n"/>
      <c r="C1138" s="10" t="n"/>
      <c r="D1138" s="11" t="n"/>
      <c r="E1138" s="10" t="n"/>
      <c r="F1138" s="22" t="n"/>
      <c r="G1138" s="24" t="n"/>
      <c r="H1138" s="23" t="n"/>
      <c r="I1138" s="25" t="n"/>
      <c r="J1138" s="10">
        <f>IF(D1138="","",IF(H1138="✓","完了",IF(G1138="","",IF(G1138&lt;TODAY(),"期限超過",IF(G1138=TODAY(),"今日まで","予定")))))</f>
        <v/>
      </c>
      <c r="K1138" s="22" t="n"/>
      <c r="L1138" s="26" t="n"/>
    </row>
    <row r="1139">
      <c r="A1139" s="11" t="n"/>
      <c r="B1139" s="11" t="n"/>
      <c r="C1139" s="10" t="n"/>
      <c r="D1139" s="11" t="n"/>
      <c r="E1139" s="10" t="n"/>
      <c r="F1139" s="22" t="n"/>
      <c r="G1139" s="24" t="n"/>
      <c r="H1139" s="23" t="n"/>
      <c r="I1139" s="25" t="n"/>
      <c r="J1139" s="10">
        <f>IF(D1139="","",IF(H1139="✓","完了",IF(G1139="","",IF(G1139&lt;TODAY(),"期限超過",IF(G1139=TODAY(),"今日まで","予定")))))</f>
        <v/>
      </c>
      <c r="K1139" s="22" t="n"/>
      <c r="L1139" s="26" t="n"/>
    </row>
    <row r="1140">
      <c r="A1140" s="11" t="n"/>
      <c r="B1140" s="11" t="n"/>
      <c r="C1140" s="10" t="n"/>
      <c r="D1140" s="11" t="n"/>
      <c r="E1140" s="10" t="n"/>
      <c r="F1140" s="22" t="n"/>
      <c r="G1140" s="24" t="n"/>
      <c r="H1140" s="23" t="n"/>
      <c r="I1140" s="25" t="n"/>
      <c r="J1140" s="10">
        <f>IF(D1140="","",IF(H1140="✓","完了",IF(G1140="","",IF(G1140&lt;TODAY(),"期限超過",IF(G1140=TODAY(),"今日まで","予定")))))</f>
        <v/>
      </c>
      <c r="K1140" s="22" t="n"/>
      <c r="L1140" s="26" t="n"/>
    </row>
    <row r="1141">
      <c r="A1141" s="11" t="n"/>
      <c r="B1141" s="11" t="n"/>
      <c r="C1141" s="10" t="n"/>
      <c r="D1141" s="11" t="n"/>
      <c r="E1141" s="10" t="n"/>
      <c r="F1141" s="22" t="n"/>
      <c r="G1141" s="24" t="n"/>
      <c r="H1141" s="23" t="n"/>
      <c r="I1141" s="25" t="n"/>
      <c r="J1141" s="10">
        <f>IF(D1141="","",IF(H1141="✓","完了",IF(G1141="","",IF(G1141&lt;TODAY(),"期限超過",IF(G1141=TODAY(),"今日まで","予定")))))</f>
        <v/>
      </c>
      <c r="K1141" s="22" t="n"/>
      <c r="L1141" s="26" t="n"/>
    </row>
    <row r="1142">
      <c r="A1142" s="11" t="n"/>
      <c r="B1142" s="11" t="n"/>
      <c r="C1142" s="10" t="n"/>
      <c r="D1142" s="11" t="n"/>
      <c r="E1142" s="10" t="n"/>
      <c r="F1142" s="22" t="n"/>
      <c r="G1142" s="24" t="n"/>
      <c r="H1142" s="23" t="n"/>
      <c r="I1142" s="25" t="n"/>
      <c r="J1142" s="10">
        <f>IF(D1142="","",IF(H1142="✓","完了",IF(G1142="","",IF(G1142&lt;TODAY(),"期限超過",IF(G1142=TODAY(),"今日まで","予定")))))</f>
        <v/>
      </c>
      <c r="K1142" s="22" t="n"/>
      <c r="L1142" s="26" t="n"/>
    </row>
    <row r="1143">
      <c r="A1143" s="11" t="n"/>
      <c r="B1143" s="11" t="n"/>
      <c r="C1143" s="10" t="n"/>
      <c r="D1143" s="11" t="n"/>
      <c r="E1143" s="10" t="n"/>
      <c r="F1143" s="22" t="n"/>
      <c r="G1143" s="24" t="n"/>
      <c r="H1143" s="23" t="n"/>
      <c r="I1143" s="25" t="n"/>
      <c r="J1143" s="10">
        <f>IF(D1143="","",IF(H1143="✓","完了",IF(G1143="","",IF(G1143&lt;TODAY(),"期限超過",IF(G1143=TODAY(),"今日まで","予定")))))</f>
        <v/>
      </c>
      <c r="K1143" s="22" t="n"/>
      <c r="L1143" s="26" t="n"/>
    </row>
    <row r="1144">
      <c r="A1144" s="11" t="n"/>
      <c r="B1144" s="11" t="n"/>
      <c r="C1144" s="10" t="n"/>
      <c r="D1144" s="11" t="n"/>
      <c r="E1144" s="10" t="n"/>
      <c r="F1144" s="22" t="n"/>
      <c r="G1144" s="24" t="n"/>
      <c r="H1144" s="23" t="n"/>
      <c r="I1144" s="25" t="n"/>
      <c r="J1144" s="10">
        <f>IF(D1144="","",IF(H1144="✓","完了",IF(G1144="","",IF(G1144&lt;TODAY(),"期限超過",IF(G1144=TODAY(),"今日まで","予定")))))</f>
        <v/>
      </c>
      <c r="K1144" s="22" t="n"/>
      <c r="L1144" s="26" t="n"/>
    </row>
    <row r="1145">
      <c r="A1145" s="11" t="n"/>
      <c r="B1145" s="11" t="n"/>
      <c r="C1145" s="10" t="n"/>
      <c r="D1145" s="11" t="n"/>
      <c r="E1145" s="10" t="n"/>
      <c r="F1145" s="22" t="n"/>
      <c r="G1145" s="24" t="n"/>
      <c r="H1145" s="23" t="n"/>
      <c r="I1145" s="25" t="n"/>
      <c r="J1145" s="10">
        <f>IF(D1145="","",IF(H1145="✓","完了",IF(G1145="","",IF(G1145&lt;TODAY(),"期限超過",IF(G1145=TODAY(),"今日まで","予定")))))</f>
        <v/>
      </c>
      <c r="K1145" s="22" t="n"/>
      <c r="L1145" s="26" t="n"/>
    </row>
    <row r="1146">
      <c r="A1146" s="11" t="n"/>
      <c r="B1146" s="11" t="n"/>
      <c r="C1146" s="10" t="n"/>
      <c r="D1146" s="11" t="n"/>
      <c r="E1146" s="10" t="n"/>
      <c r="F1146" s="22" t="n"/>
      <c r="G1146" s="24" t="n"/>
      <c r="H1146" s="23" t="n"/>
      <c r="I1146" s="25" t="n"/>
      <c r="J1146" s="10">
        <f>IF(D1146="","",IF(H1146="✓","完了",IF(G1146="","",IF(G1146&lt;TODAY(),"期限超過",IF(G1146=TODAY(),"今日まで","予定")))))</f>
        <v/>
      </c>
      <c r="K1146" s="22" t="n"/>
      <c r="L1146" s="26" t="n"/>
    </row>
    <row r="1147">
      <c r="A1147" s="11" t="n"/>
      <c r="B1147" s="11" t="n"/>
      <c r="C1147" s="10" t="n"/>
      <c r="D1147" s="11" t="n"/>
      <c r="E1147" s="10" t="n"/>
      <c r="F1147" s="22" t="n"/>
      <c r="G1147" s="24" t="n"/>
      <c r="H1147" s="23" t="n"/>
      <c r="I1147" s="25" t="n"/>
      <c r="J1147" s="10">
        <f>IF(D1147="","",IF(H1147="✓","完了",IF(G1147="","",IF(G1147&lt;TODAY(),"期限超過",IF(G1147=TODAY(),"今日まで","予定")))))</f>
        <v/>
      </c>
      <c r="K1147" s="22" t="n"/>
      <c r="L1147" s="26" t="n"/>
    </row>
    <row r="1148">
      <c r="A1148" s="11" t="n"/>
      <c r="B1148" s="11" t="n"/>
      <c r="C1148" s="10" t="n"/>
      <c r="D1148" s="11" t="n"/>
      <c r="E1148" s="10" t="n"/>
      <c r="F1148" s="22" t="n"/>
      <c r="G1148" s="24" t="n"/>
      <c r="H1148" s="23" t="n"/>
      <c r="I1148" s="25" t="n"/>
      <c r="J1148" s="10">
        <f>IF(D1148="","",IF(H1148="✓","完了",IF(G1148="","",IF(G1148&lt;TODAY(),"期限超過",IF(G1148=TODAY(),"今日まで","予定")))))</f>
        <v/>
      </c>
      <c r="K1148" s="22" t="n"/>
      <c r="L1148" s="26" t="n"/>
    </row>
    <row r="1149">
      <c r="A1149" s="11" t="n"/>
      <c r="B1149" s="11" t="n"/>
      <c r="C1149" s="10" t="n"/>
      <c r="D1149" s="11" t="n"/>
      <c r="E1149" s="10" t="n"/>
      <c r="F1149" s="22" t="n"/>
      <c r="G1149" s="24" t="n"/>
      <c r="H1149" s="23" t="n"/>
      <c r="I1149" s="25" t="n"/>
      <c r="J1149" s="10">
        <f>IF(D1149="","",IF(H1149="✓","完了",IF(G1149="","",IF(G1149&lt;TODAY(),"期限超過",IF(G1149=TODAY(),"今日まで","予定")))))</f>
        <v/>
      </c>
      <c r="K1149" s="22" t="n"/>
      <c r="L1149" s="26" t="n"/>
    </row>
    <row r="1150">
      <c r="A1150" s="11" t="n"/>
      <c r="B1150" s="11" t="n"/>
      <c r="C1150" s="10" t="n"/>
      <c r="D1150" s="11" t="n"/>
      <c r="E1150" s="10" t="n"/>
      <c r="F1150" s="22" t="n"/>
      <c r="G1150" s="24" t="n"/>
      <c r="H1150" s="23" t="n"/>
      <c r="I1150" s="25" t="n"/>
      <c r="J1150" s="10">
        <f>IF(D1150="","",IF(H1150="✓","完了",IF(G1150="","",IF(G1150&lt;TODAY(),"期限超過",IF(G1150=TODAY(),"今日まで","予定")))))</f>
        <v/>
      </c>
      <c r="K1150" s="22" t="n"/>
      <c r="L1150" s="26" t="n"/>
    </row>
    <row r="1151">
      <c r="A1151" s="11" t="n"/>
      <c r="B1151" s="11" t="n"/>
      <c r="C1151" s="10" t="n"/>
      <c r="D1151" s="11" t="n"/>
      <c r="E1151" s="10" t="n"/>
      <c r="F1151" s="22" t="n"/>
      <c r="G1151" s="24" t="n"/>
      <c r="H1151" s="23" t="n"/>
      <c r="I1151" s="25" t="n"/>
      <c r="J1151" s="10">
        <f>IF(D1151="","",IF(H1151="✓","完了",IF(G1151="","",IF(G1151&lt;TODAY(),"期限超過",IF(G1151=TODAY(),"今日まで","予定")))))</f>
        <v/>
      </c>
      <c r="K1151" s="22" t="n"/>
      <c r="L1151" s="26" t="n"/>
    </row>
    <row r="1152">
      <c r="A1152" s="11" t="n"/>
      <c r="B1152" s="11" t="n"/>
      <c r="C1152" s="10" t="n"/>
      <c r="D1152" s="11" t="n"/>
      <c r="E1152" s="10" t="n"/>
      <c r="F1152" s="22" t="n"/>
      <c r="G1152" s="24" t="n"/>
      <c r="H1152" s="23" t="n"/>
      <c r="I1152" s="25" t="n"/>
      <c r="J1152" s="10">
        <f>IF(D1152="","",IF(H1152="✓","完了",IF(G1152="","",IF(G1152&lt;TODAY(),"期限超過",IF(G1152=TODAY(),"今日まで","予定")))))</f>
        <v/>
      </c>
      <c r="K1152" s="22" t="n"/>
      <c r="L1152" s="26" t="n"/>
    </row>
    <row r="1153">
      <c r="A1153" s="11" t="n"/>
      <c r="B1153" s="11" t="n"/>
      <c r="C1153" s="10" t="n"/>
      <c r="D1153" s="11" t="n"/>
      <c r="E1153" s="10" t="n"/>
      <c r="F1153" s="22" t="n"/>
      <c r="G1153" s="24" t="n"/>
      <c r="H1153" s="23" t="n"/>
      <c r="I1153" s="25" t="n"/>
      <c r="J1153" s="10">
        <f>IF(D1153="","",IF(H1153="✓","完了",IF(G1153="","",IF(G1153&lt;TODAY(),"期限超過",IF(G1153=TODAY(),"今日まで","予定")))))</f>
        <v/>
      </c>
      <c r="K1153" s="22" t="n"/>
      <c r="L1153" s="26" t="n"/>
    </row>
    <row r="1154">
      <c r="A1154" s="11" t="n"/>
      <c r="B1154" s="11" t="n"/>
      <c r="C1154" s="10" t="n"/>
      <c r="D1154" s="11" t="n"/>
      <c r="E1154" s="10" t="n"/>
      <c r="F1154" s="22" t="n"/>
      <c r="G1154" s="24" t="n"/>
      <c r="H1154" s="23" t="n"/>
      <c r="I1154" s="25" t="n"/>
      <c r="J1154" s="10">
        <f>IF(D1154="","",IF(H1154="✓","完了",IF(G1154="","",IF(G1154&lt;TODAY(),"期限超過",IF(G1154=TODAY(),"今日まで","予定")))))</f>
        <v/>
      </c>
      <c r="K1154" s="22" t="n"/>
      <c r="L1154" s="26" t="n"/>
    </row>
    <row r="1155">
      <c r="A1155" s="11" t="n"/>
      <c r="B1155" s="11" t="n"/>
      <c r="C1155" s="10" t="n"/>
      <c r="D1155" s="11" t="n"/>
      <c r="E1155" s="10" t="n"/>
      <c r="F1155" s="22" t="n"/>
      <c r="G1155" s="24" t="n"/>
      <c r="H1155" s="23" t="n"/>
      <c r="I1155" s="25" t="n"/>
      <c r="J1155" s="10">
        <f>IF(D1155="","",IF(H1155="✓","完了",IF(G1155="","",IF(G1155&lt;TODAY(),"期限超過",IF(G1155=TODAY(),"今日まで","予定")))))</f>
        <v/>
      </c>
      <c r="K1155" s="22" t="n"/>
      <c r="L1155" s="26" t="n"/>
    </row>
    <row r="1156">
      <c r="A1156" s="11" t="n"/>
      <c r="B1156" s="11" t="n"/>
      <c r="C1156" s="10" t="n"/>
      <c r="D1156" s="11" t="n"/>
      <c r="E1156" s="10" t="n"/>
      <c r="F1156" s="22" t="n"/>
      <c r="G1156" s="24" t="n"/>
      <c r="H1156" s="23" t="n"/>
      <c r="I1156" s="25" t="n"/>
      <c r="J1156" s="10">
        <f>IF(D1156="","",IF(H1156="✓","完了",IF(G1156="","",IF(G1156&lt;TODAY(),"期限超過",IF(G1156=TODAY(),"今日まで","予定")))))</f>
        <v/>
      </c>
      <c r="K1156" s="22" t="n"/>
      <c r="L1156" s="26" t="n"/>
    </row>
    <row r="1157">
      <c r="A1157" s="11" t="n"/>
      <c r="B1157" s="11" t="n"/>
      <c r="C1157" s="10" t="n"/>
      <c r="D1157" s="11" t="n"/>
      <c r="E1157" s="10" t="n"/>
      <c r="F1157" s="22" t="n"/>
      <c r="G1157" s="24" t="n"/>
      <c r="H1157" s="23" t="n"/>
      <c r="I1157" s="25" t="n"/>
      <c r="J1157" s="10">
        <f>IF(D1157="","",IF(H1157="✓","完了",IF(G1157="","",IF(G1157&lt;TODAY(),"期限超過",IF(G1157=TODAY(),"今日まで","予定")))))</f>
        <v/>
      </c>
      <c r="K1157" s="22" t="n"/>
      <c r="L1157" s="26" t="n"/>
    </row>
    <row r="1158">
      <c r="A1158" s="11" t="n"/>
      <c r="B1158" s="11" t="n"/>
      <c r="C1158" s="10" t="n"/>
      <c r="D1158" s="11" t="n"/>
      <c r="E1158" s="10" t="n"/>
      <c r="F1158" s="22" t="n"/>
      <c r="G1158" s="24" t="n"/>
      <c r="H1158" s="23" t="n"/>
      <c r="I1158" s="25" t="n"/>
      <c r="J1158" s="10">
        <f>IF(D1158="","",IF(H1158="✓","完了",IF(G1158="","",IF(G1158&lt;TODAY(),"期限超過",IF(G1158=TODAY(),"今日まで","予定")))))</f>
        <v/>
      </c>
      <c r="K1158" s="22" t="n"/>
      <c r="L1158" s="26" t="n"/>
    </row>
    <row r="1159">
      <c r="A1159" s="11" t="n"/>
      <c r="B1159" s="11" t="n"/>
      <c r="C1159" s="10" t="n"/>
      <c r="D1159" s="11" t="n"/>
      <c r="E1159" s="10" t="n"/>
      <c r="F1159" s="22" t="n"/>
      <c r="G1159" s="24" t="n"/>
      <c r="H1159" s="23" t="n"/>
      <c r="I1159" s="25" t="n"/>
      <c r="J1159" s="10">
        <f>IF(D1159="","",IF(H1159="✓","完了",IF(G1159="","",IF(G1159&lt;TODAY(),"期限超過",IF(G1159=TODAY(),"今日まで","予定")))))</f>
        <v/>
      </c>
      <c r="K1159" s="22" t="n"/>
      <c r="L1159" s="26" t="n"/>
    </row>
    <row r="1160">
      <c r="A1160" s="11" t="n"/>
      <c r="B1160" s="11" t="n"/>
      <c r="C1160" s="10" t="n"/>
      <c r="D1160" s="11" t="n"/>
      <c r="E1160" s="10" t="n"/>
      <c r="F1160" s="22" t="n"/>
      <c r="G1160" s="24" t="n"/>
      <c r="H1160" s="23" t="n"/>
      <c r="I1160" s="25" t="n"/>
      <c r="J1160" s="10">
        <f>IF(D1160="","",IF(H1160="✓","完了",IF(G1160="","",IF(G1160&lt;TODAY(),"期限超過",IF(G1160=TODAY(),"今日まで","予定")))))</f>
        <v/>
      </c>
      <c r="K1160" s="22" t="n"/>
      <c r="L1160" s="26" t="n"/>
    </row>
    <row r="1161">
      <c r="A1161" s="11" t="n"/>
      <c r="B1161" s="11" t="n"/>
      <c r="C1161" s="10" t="n"/>
      <c r="D1161" s="11" t="n"/>
      <c r="E1161" s="10" t="n"/>
      <c r="F1161" s="22" t="n"/>
      <c r="G1161" s="24" t="n"/>
      <c r="H1161" s="23" t="n"/>
      <c r="I1161" s="25" t="n"/>
      <c r="J1161" s="10">
        <f>IF(D1161="","",IF(H1161="✓","完了",IF(G1161="","",IF(G1161&lt;TODAY(),"期限超過",IF(G1161=TODAY(),"今日まで","予定")))))</f>
        <v/>
      </c>
      <c r="K1161" s="22" t="n"/>
      <c r="L1161" s="26" t="n"/>
    </row>
    <row r="1162">
      <c r="A1162" s="11" t="n"/>
      <c r="B1162" s="11" t="n"/>
      <c r="C1162" s="10" t="n"/>
      <c r="D1162" s="11" t="n"/>
      <c r="E1162" s="10" t="n"/>
      <c r="F1162" s="22" t="n"/>
      <c r="G1162" s="24" t="n"/>
      <c r="H1162" s="23" t="n"/>
      <c r="I1162" s="25" t="n"/>
      <c r="J1162" s="10">
        <f>IF(D1162="","",IF(H1162="✓","完了",IF(G1162="","",IF(G1162&lt;TODAY(),"期限超過",IF(G1162=TODAY(),"今日まで","予定")))))</f>
        <v/>
      </c>
      <c r="K1162" s="22" t="n"/>
      <c r="L1162" s="26" t="n"/>
    </row>
    <row r="1163">
      <c r="A1163" s="11" t="n"/>
      <c r="B1163" s="11" t="n"/>
      <c r="C1163" s="10" t="n"/>
      <c r="D1163" s="11" t="n"/>
      <c r="E1163" s="10" t="n"/>
      <c r="F1163" s="22" t="n"/>
      <c r="G1163" s="24" t="n"/>
      <c r="H1163" s="23" t="n"/>
      <c r="I1163" s="25" t="n"/>
      <c r="J1163" s="10">
        <f>IF(D1163="","",IF(H1163="✓","完了",IF(G1163="","",IF(G1163&lt;TODAY(),"期限超過",IF(G1163=TODAY(),"今日まで","予定")))))</f>
        <v/>
      </c>
      <c r="K1163" s="22" t="n"/>
      <c r="L1163" s="26" t="n"/>
    </row>
    <row r="1164">
      <c r="A1164" s="11" t="n"/>
      <c r="B1164" s="11" t="n"/>
      <c r="C1164" s="10" t="n"/>
      <c r="D1164" s="11" t="n"/>
      <c r="E1164" s="10" t="n"/>
      <c r="F1164" s="22" t="n"/>
      <c r="G1164" s="24" t="n"/>
      <c r="H1164" s="23" t="n"/>
      <c r="I1164" s="25" t="n"/>
      <c r="J1164" s="10">
        <f>IF(D1164="","",IF(H1164="✓","完了",IF(G1164="","",IF(G1164&lt;TODAY(),"期限超過",IF(G1164=TODAY(),"今日まで","予定")))))</f>
        <v/>
      </c>
      <c r="K1164" s="22" t="n"/>
      <c r="L1164" s="26" t="n"/>
    </row>
    <row r="1165">
      <c r="A1165" s="11" t="n"/>
      <c r="B1165" s="11" t="n"/>
      <c r="C1165" s="10" t="n"/>
      <c r="D1165" s="11" t="n"/>
      <c r="E1165" s="10" t="n"/>
      <c r="F1165" s="22" t="n"/>
      <c r="G1165" s="24" t="n"/>
      <c r="H1165" s="23" t="n"/>
      <c r="I1165" s="25" t="n"/>
      <c r="J1165" s="10">
        <f>IF(D1165="","",IF(H1165="✓","完了",IF(G1165="","",IF(G1165&lt;TODAY(),"期限超過",IF(G1165=TODAY(),"今日まで","予定")))))</f>
        <v/>
      </c>
      <c r="K1165" s="22" t="n"/>
      <c r="L1165" s="26" t="n"/>
    </row>
    <row r="1166">
      <c r="A1166" s="11" t="n"/>
      <c r="B1166" s="11" t="n"/>
      <c r="C1166" s="10" t="n"/>
      <c r="D1166" s="11" t="n"/>
      <c r="E1166" s="10" t="n"/>
      <c r="F1166" s="22" t="n"/>
      <c r="G1166" s="24" t="n"/>
      <c r="H1166" s="23" t="n"/>
      <c r="I1166" s="25" t="n"/>
      <c r="J1166" s="10">
        <f>IF(D1166="","",IF(H1166="✓","完了",IF(G1166="","",IF(G1166&lt;TODAY(),"期限超過",IF(G1166=TODAY(),"今日まで","予定")))))</f>
        <v/>
      </c>
      <c r="K1166" s="22" t="n"/>
      <c r="L1166" s="26" t="n"/>
    </row>
    <row r="1167">
      <c r="A1167" s="11" t="n"/>
      <c r="B1167" s="11" t="n"/>
      <c r="C1167" s="10" t="n"/>
      <c r="D1167" s="11" t="n"/>
      <c r="E1167" s="10" t="n"/>
      <c r="F1167" s="22" t="n"/>
      <c r="G1167" s="24" t="n"/>
      <c r="H1167" s="23" t="n"/>
      <c r="I1167" s="25" t="n"/>
      <c r="J1167" s="10">
        <f>IF(D1167="","",IF(H1167="✓","完了",IF(G1167="","",IF(G1167&lt;TODAY(),"期限超過",IF(G1167=TODAY(),"今日まで","予定")))))</f>
        <v/>
      </c>
      <c r="K1167" s="22" t="n"/>
      <c r="L1167" s="26" t="n"/>
    </row>
    <row r="1168">
      <c r="A1168" s="11" t="n"/>
      <c r="B1168" s="11" t="n"/>
      <c r="C1168" s="10" t="n"/>
      <c r="D1168" s="11" t="n"/>
      <c r="E1168" s="10" t="n"/>
      <c r="F1168" s="22" t="n"/>
      <c r="G1168" s="24" t="n"/>
      <c r="H1168" s="23" t="n"/>
      <c r="I1168" s="25" t="n"/>
      <c r="J1168" s="10">
        <f>IF(D1168="","",IF(H1168="✓","完了",IF(G1168="","",IF(G1168&lt;TODAY(),"期限超過",IF(G1168=TODAY(),"今日まで","予定")))))</f>
        <v/>
      </c>
      <c r="K1168" s="22" t="n"/>
      <c r="L1168" s="26" t="n"/>
    </row>
    <row r="1169">
      <c r="A1169" s="11" t="n"/>
      <c r="B1169" s="11" t="n"/>
      <c r="C1169" s="10" t="n"/>
      <c r="D1169" s="11" t="n"/>
      <c r="E1169" s="10" t="n"/>
      <c r="F1169" s="22" t="n"/>
      <c r="G1169" s="24" t="n"/>
      <c r="H1169" s="23" t="n"/>
      <c r="I1169" s="25" t="n"/>
      <c r="J1169" s="10">
        <f>IF(D1169="","",IF(H1169="✓","完了",IF(G1169="","",IF(G1169&lt;TODAY(),"期限超過",IF(G1169=TODAY(),"今日まで","予定")))))</f>
        <v/>
      </c>
      <c r="K1169" s="22" t="n"/>
      <c r="L1169" s="26" t="n"/>
    </row>
    <row r="1170">
      <c r="A1170" s="11" t="n"/>
      <c r="B1170" s="11" t="n"/>
      <c r="C1170" s="10" t="n"/>
      <c r="D1170" s="11" t="n"/>
      <c r="E1170" s="10" t="n"/>
      <c r="F1170" s="22" t="n"/>
      <c r="G1170" s="24" t="n"/>
      <c r="H1170" s="23" t="n"/>
      <c r="I1170" s="25" t="n"/>
      <c r="J1170" s="10">
        <f>IF(D1170="","",IF(H1170="✓","完了",IF(G1170="","",IF(G1170&lt;TODAY(),"期限超過",IF(G1170=TODAY(),"今日まで","予定")))))</f>
        <v/>
      </c>
      <c r="K1170" s="22" t="n"/>
      <c r="L1170" s="26" t="n"/>
    </row>
    <row r="1171">
      <c r="A1171" s="11" t="n"/>
      <c r="B1171" s="11" t="n"/>
      <c r="C1171" s="10" t="n"/>
      <c r="D1171" s="11" t="n"/>
      <c r="E1171" s="10" t="n"/>
      <c r="F1171" s="22" t="n"/>
      <c r="G1171" s="24" t="n"/>
      <c r="H1171" s="23" t="n"/>
      <c r="I1171" s="25" t="n"/>
      <c r="J1171" s="10">
        <f>IF(D1171="","",IF(H1171="✓","完了",IF(G1171="","",IF(G1171&lt;TODAY(),"期限超過",IF(G1171=TODAY(),"今日まで","予定")))))</f>
        <v/>
      </c>
      <c r="K1171" s="22" t="n"/>
      <c r="L1171" s="26" t="n"/>
    </row>
    <row r="1172">
      <c r="A1172" s="11" t="n"/>
      <c r="B1172" s="11" t="n"/>
      <c r="C1172" s="10" t="n"/>
      <c r="D1172" s="11" t="n"/>
      <c r="E1172" s="10" t="n"/>
      <c r="F1172" s="22" t="n"/>
      <c r="G1172" s="24" t="n"/>
      <c r="H1172" s="23" t="n"/>
      <c r="I1172" s="25" t="n"/>
      <c r="J1172" s="10">
        <f>IF(D1172="","",IF(H1172="✓","完了",IF(G1172="","",IF(G1172&lt;TODAY(),"期限超過",IF(G1172=TODAY(),"今日まで","予定")))))</f>
        <v/>
      </c>
      <c r="K1172" s="22" t="n"/>
      <c r="L1172" s="26" t="n"/>
    </row>
    <row r="1173">
      <c r="A1173" s="11" t="n"/>
      <c r="B1173" s="11" t="n"/>
      <c r="C1173" s="10" t="n"/>
      <c r="D1173" s="11" t="n"/>
      <c r="E1173" s="10" t="n"/>
      <c r="F1173" s="22" t="n"/>
      <c r="G1173" s="24" t="n"/>
      <c r="H1173" s="23" t="n"/>
      <c r="I1173" s="25" t="n"/>
      <c r="J1173" s="10">
        <f>IF(D1173="","",IF(H1173="✓","完了",IF(G1173="","",IF(G1173&lt;TODAY(),"期限超過",IF(G1173=TODAY(),"今日まで","予定")))))</f>
        <v/>
      </c>
      <c r="K1173" s="22" t="n"/>
      <c r="L1173" s="26" t="n"/>
    </row>
    <row r="1174">
      <c r="A1174" s="11" t="n"/>
      <c r="B1174" s="11" t="n"/>
      <c r="C1174" s="10" t="n"/>
      <c r="D1174" s="11" t="n"/>
      <c r="E1174" s="10" t="n"/>
      <c r="F1174" s="22" t="n"/>
      <c r="G1174" s="24" t="n"/>
      <c r="H1174" s="23" t="n"/>
      <c r="I1174" s="25" t="n"/>
      <c r="J1174" s="10">
        <f>IF(D1174="","",IF(H1174="✓","完了",IF(G1174="","",IF(G1174&lt;TODAY(),"期限超過",IF(G1174=TODAY(),"今日まで","予定")))))</f>
        <v/>
      </c>
      <c r="K1174" s="22" t="n"/>
      <c r="L1174" s="26" t="n"/>
    </row>
    <row r="1175">
      <c r="A1175" s="11" t="n"/>
      <c r="B1175" s="11" t="n"/>
      <c r="C1175" s="10" t="n"/>
      <c r="D1175" s="11" t="n"/>
      <c r="E1175" s="10" t="n"/>
      <c r="F1175" s="22" t="n"/>
      <c r="G1175" s="24" t="n"/>
      <c r="H1175" s="23" t="n"/>
      <c r="I1175" s="25" t="n"/>
      <c r="J1175" s="10">
        <f>IF(D1175="","",IF(H1175="✓","完了",IF(G1175="","",IF(G1175&lt;TODAY(),"期限超過",IF(G1175=TODAY(),"今日まで","予定")))))</f>
        <v/>
      </c>
      <c r="K1175" s="22" t="n"/>
      <c r="L1175" s="26" t="n"/>
    </row>
    <row r="1176">
      <c r="A1176" s="11" t="n"/>
      <c r="B1176" s="11" t="n"/>
      <c r="C1176" s="10" t="n"/>
      <c r="D1176" s="11" t="n"/>
      <c r="E1176" s="10" t="n"/>
      <c r="F1176" s="22" t="n"/>
      <c r="G1176" s="24" t="n"/>
      <c r="H1176" s="23" t="n"/>
      <c r="I1176" s="25" t="n"/>
      <c r="J1176" s="10">
        <f>IF(D1176="","",IF(H1176="✓","完了",IF(G1176="","",IF(G1176&lt;TODAY(),"期限超過",IF(G1176=TODAY(),"今日まで","予定")))))</f>
        <v/>
      </c>
      <c r="K1176" s="22" t="n"/>
      <c r="L1176" s="26" t="n"/>
    </row>
    <row r="1177">
      <c r="A1177" s="11" t="n"/>
      <c r="B1177" s="11" t="n"/>
      <c r="C1177" s="10" t="n"/>
      <c r="D1177" s="11" t="n"/>
      <c r="E1177" s="10" t="n"/>
      <c r="F1177" s="22" t="n"/>
      <c r="G1177" s="24" t="n"/>
      <c r="H1177" s="23" t="n"/>
      <c r="I1177" s="25" t="n"/>
      <c r="J1177" s="10">
        <f>IF(D1177="","",IF(H1177="✓","完了",IF(G1177="","",IF(G1177&lt;TODAY(),"期限超過",IF(G1177=TODAY(),"今日まで","予定")))))</f>
        <v/>
      </c>
      <c r="K1177" s="22" t="n"/>
      <c r="L1177" s="26" t="n"/>
    </row>
    <row r="1178">
      <c r="A1178" s="11" t="n"/>
      <c r="B1178" s="11" t="n"/>
      <c r="C1178" s="10" t="n"/>
      <c r="D1178" s="11" t="n"/>
      <c r="E1178" s="10" t="n"/>
      <c r="F1178" s="22" t="n"/>
      <c r="G1178" s="24" t="n"/>
      <c r="H1178" s="23" t="n"/>
      <c r="I1178" s="25" t="n"/>
      <c r="J1178" s="10">
        <f>IF(D1178="","",IF(H1178="✓","完了",IF(G1178="","",IF(G1178&lt;TODAY(),"期限超過",IF(G1178=TODAY(),"今日まで","予定")))))</f>
        <v/>
      </c>
      <c r="K1178" s="22" t="n"/>
      <c r="L1178" s="26" t="n"/>
    </row>
    <row r="1179">
      <c r="A1179" s="11" t="n"/>
      <c r="B1179" s="11" t="n"/>
      <c r="C1179" s="10" t="n"/>
      <c r="D1179" s="11" t="n"/>
      <c r="E1179" s="10" t="n"/>
      <c r="F1179" s="22" t="n"/>
      <c r="G1179" s="24" t="n"/>
      <c r="H1179" s="23" t="n"/>
      <c r="I1179" s="25" t="n"/>
      <c r="J1179" s="10">
        <f>IF(D1179="","",IF(H1179="✓","完了",IF(G1179="","",IF(G1179&lt;TODAY(),"期限超過",IF(G1179=TODAY(),"今日まで","予定")))))</f>
        <v/>
      </c>
      <c r="K1179" s="22" t="n"/>
      <c r="L1179" s="26" t="n"/>
    </row>
    <row r="1180">
      <c r="A1180" s="11" t="n"/>
      <c r="B1180" s="11" t="n"/>
      <c r="C1180" s="10" t="n"/>
      <c r="D1180" s="11" t="n"/>
      <c r="E1180" s="10" t="n"/>
      <c r="F1180" s="22" t="n"/>
      <c r="G1180" s="24" t="n"/>
      <c r="H1180" s="23" t="n"/>
      <c r="I1180" s="25" t="n"/>
      <c r="J1180" s="10">
        <f>IF(D1180="","",IF(H1180="✓","完了",IF(G1180="","",IF(G1180&lt;TODAY(),"期限超過",IF(G1180=TODAY(),"今日まで","予定")))))</f>
        <v/>
      </c>
      <c r="K1180" s="22" t="n"/>
      <c r="L1180" s="26" t="n"/>
    </row>
    <row r="1181">
      <c r="A1181" s="11" t="n"/>
      <c r="B1181" s="11" t="n"/>
      <c r="C1181" s="10" t="n"/>
      <c r="D1181" s="11" t="n"/>
      <c r="E1181" s="10" t="n"/>
      <c r="F1181" s="22" t="n"/>
      <c r="G1181" s="24" t="n"/>
      <c r="H1181" s="23" t="n"/>
      <c r="I1181" s="25" t="n"/>
      <c r="J1181" s="10">
        <f>IF(D1181="","",IF(H1181="✓","完了",IF(G1181="","",IF(G1181&lt;TODAY(),"期限超過",IF(G1181=TODAY(),"今日まで","予定")))))</f>
        <v/>
      </c>
      <c r="K1181" s="22" t="n"/>
      <c r="L1181" s="26" t="n"/>
    </row>
    <row r="1182">
      <c r="A1182" s="11" t="n"/>
      <c r="B1182" s="11" t="n"/>
      <c r="C1182" s="10" t="n"/>
      <c r="D1182" s="11" t="n"/>
      <c r="E1182" s="10" t="n"/>
      <c r="F1182" s="22" t="n"/>
      <c r="G1182" s="24" t="n"/>
      <c r="H1182" s="23" t="n"/>
      <c r="I1182" s="25" t="n"/>
      <c r="J1182" s="10">
        <f>IF(D1182="","",IF(H1182="✓","完了",IF(G1182="","",IF(G1182&lt;TODAY(),"期限超過",IF(G1182=TODAY(),"今日まで","予定")))))</f>
        <v/>
      </c>
      <c r="K1182" s="22" t="n"/>
      <c r="L1182" s="26" t="n"/>
    </row>
    <row r="1183">
      <c r="A1183" s="11" t="n"/>
      <c r="B1183" s="11" t="n"/>
      <c r="C1183" s="10" t="n"/>
      <c r="D1183" s="11" t="n"/>
      <c r="E1183" s="10" t="n"/>
      <c r="F1183" s="22" t="n"/>
      <c r="G1183" s="24" t="n"/>
      <c r="H1183" s="23" t="n"/>
      <c r="I1183" s="25" t="n"/>
      <c r="J1183" s="10">
        <f>IF(D1183="","",IF(H1183="✓","完了",IF(G1183="","",IF(G1183&lt;TODAY(),"期限超過",IF(G1183=TODAY(),"今日まで","予定")))))</f>
        <v/>
      </c>
      <c r="K1183" s="22" t="n"/>
      <c r="L1183" s="26" t="n"/>
    </row>
    <row r="1184">
      <c r="A1184" s="11" t="n"/>
      <c r="B1184" s="11" t="n"/>
      <c r="C1184" s="10" t="n"/>
      <c r="D1184" s="11" t="n"/>
      <c r="E1184" s="10" t="n"/>
      <c r="F1184" s="22" t="n"/>
      <c r="G1184" s="24" t="n"/>
      <c r="H1184" s="23" t="n"/>
      <c r="I1184" s="25" t="n"/>
      <c r="J1184" s="10">
        <f>IF(D1184="","",IF(H1184="✓","完了",IF(G1184="","",IF(G1184&lt;TODAY(),"期限超過",IF(G1184=TODAY(),"今日まで","予定")))))</f>
        <v/>
      </c>
      <c r="K1184" s="22" t="n"/>
      <c r="L1184" s="26" t="n"/>
    </row>
    <row r="1185">
      <c r="A1185" s="11" t="n"/>
      <c r="B1185" s="11" t="n"/>
      <c r="C1185" s="10" t="n"/>
      <c r="D1185" s="11" t="n"/>
      <c r="E1185" s="10" t="n"/>
      <c r="F1185" s="22" t="n"/>
      <c r="G1185" s="24" t="n"/>
      <c r="H1185" s="23" t="n"/>
      <c r="I1185" s="25" t="n"/>
      <c r="J1185" s="10">
        <f>IF(D1185="","",IF(H1185="✓","完了",IF(G1185="","",IF(G1185&lt;TODAY(),"期限超過",IF(G1185=TODAY(),"今日まで","予定")))))</f>
        <v/>
      </c>
      <c r="K1185" s="22" t="n"/>
      <c r="L1185" s="26" t="n"/>
    </row>
    <row r="1186">
      <c r="A1186" s="11" t="n"/>
      <c r="B1186" s="11" t="n"/>
      <c r="C1186" s="10" t="n"/>
      <c r="D1186" s="11" t="n"/>
      <c r="E1186" s="10" t="n"/>
      <c r="F1186" s="22" t="n"/>
      <c r="G1186" s="24" t="n"/>
      <c r="H1186" s="23" t="n"/>
      <c r="I1186" s="25" t="n"/>
      <c r="J1186" s="10">
        <f>IF(D1186="","",IF(H1186="✓","完了",IF(G1186="","",IF(G1186&lt;TODAY(),"期限超過",IF(G1186=TODAY(),"今日まで","予定")))))</f>
        <v/>
      </c>
      <c r="K1186" s="22" t="n"/>
      <c r="L1186" s="26" t="n"/>
    </row>
    <row r="1187">
      <c r="A1187" s="11" t="n"/>
      <c r="B1187" s="11" t="n"/>
      <c r="C1187" s="10" t="n"/>
      <c r="D1187" s="11" t="n"/>
      <c r="E1187" s="10" t="n"/>
      <c r="F1187" s="22" t="n"/>
      <c r="G1187" s="24" t="n"/>
      <c r="H1187" s="23" t="n"/>
      <c r="I1187" s="25" t="n"/>
      <c r="J1187" s="10">
        <f>IF(D1187="","",IF(H1187="✓","完了",IF(G1187="","",IF(G1187&lt;TODAY(),"期限超過",IF(G1187=TODAY(),"今日まで","予定")))))</f>
        <v/>
      </c>
      <c r="K1187" s="22" t="n"/>
      <c r="L1187" s="26" t="n"/>
    </row>
    <row r="1188">
      <c r="A1188" s="11" t="n"/>
      <c r="B1188" s="11" t="n"/>
      <c r="C1188" s="10" t="n"/>
      <c r="D1188" s="11" t="n"/>
      <c r="E1188" s="10" t="n"/>
      <c r="F1188" s="22" t="n"/>
      <c r="G1188" s="24" t="n"/>
      <c r="H1188" s="23" t="n"/>
      <c r="I1188" s="25" t="n"/>
      <c r="J1188" s="10">
        <f>IF(D1188="","",IF(H1188="✓","完了",IF(G1188="","",IF(G1188&lt;TODAY(),"期限超過",IF(G1188=TODAY(),"今日まで","予定")))))</f>
        <v/>
      </c>
      <c r="K1188" s="22" t="n"/>
      <c r="L1188" s="26" t="n"/>
    </row>
    <row r="1189">
      <c r="A1189" s="11" t="n"/>
      <c r="B1189" s="11" t="n"/>
      <c r="C1189" s="10" t="n"/>
      <c r="D1189" s="11" t="n"/>
      <c r="E1189" s="10" t="n"/>
      <c r="F1189" s="22" t="n"/>
      <c r="G1189" s="24" t="n"/>
      <c r="H1189" s="23" t="n"/>
      <c r="I1189" s="25" t="n"/>
      <c r="J1189" s="10">
        <f>IF(D1189="","",IF(H1189="✓","完了",IF(G1189="","",IF(G1189&lt;TODAY(),"期限超過",IF(G1189=TODAY(),"今日まで","予定")))))</f>
        <v/>
      </c>
      <c r="K1189" s="22" t="n"/>
      <c r="L1189" s="26" t="n"/>
    </row>
    <row r="1190">
      <c r="A1190" s="11" t="n"/>
      <c r="B1190" s="11" t="n"/>
      <c r="C1190" s="10" t="n"/>
      <c r="D1190" s="11" t="n"/>
      <c r="E1190" s="10" t="n"/>
      <c r="F1190" s="22" t="n"/>
      <c r="G1190" s="24" t="n"/>
      <c r="H1190" s="23" t="n"/>
      <c r="I1190" s="25" t="n"/>
      <c r="J1190" s="10">
        <f>IF(D1190="","",IF(H1190="✓","完了",IF(G1190="","",IF(G1190&lt;TODAY(),"期限超過",IF(G1190=TODAY(),"今日まで","予定")))))</f>
        <v/>
      </c>
      <c r="K1190" s="22" t="n"/>
      <c r="L1190" s="26" t="n"/>
    </row>
    <row r="1191">
      <c r="A1191" s="11" t="n"/>
      <c r="B1191" s="11" t="n"/>
      <c r="C1191" s="10" t="n"/>
      <c r="D1191" s="11" t="n"/>
      <c r="E1191" s="10" t="n"/>
      <c r="F1191" s="22" t="n"/>
      <c r="G1191" s="24" t="n"/>
      <c r="H1191" s="23" t="n"/>
      <c r="I1191" s="25" t="n"/>
      <c r="J1191" s="10">
        <f>IF(D1191="","",IF(H1191="✓","完了",IF(G1191="","",IF(G1191&lt;TODAY(),"期限超過",IF(G1191=TODAY(),"今日まで","予定")))))</f>
        <v/>
      </c>
      <c r="K1191" s="22" t="n"/>
      <c r="L1191" s="26" t="n"/>
    </row>
    <row r="1192">
      <c r="A1192" s="11" t="n"/>
      <c r="B1192" s="11" t="n"/>
      <c r="C1192" s="10" t="n"/>
      <c r="D1192" s="11" t="n"/>
      <c r="E1192" s="10" t="n"/>
      <c r="F1192" s="22" t="n"/>
      <c r="G1192" s="24" t="n"/>
      <c r="H1192" s="23" t="n"/>
      <c r="I1192" s="25" t="n"/>
      <c r="J1192" s="10">
        <f>IF(D1192="","",IF(H1192="✓","完了",IF(G1192="","",IF(G1192&lt;TODAY(),"期限超過",IF(G1192=TODAY(),"今日まで","予定")))))</f>
        <v/>
      </c>
      <c r="K1192" s="22" t="n"/>
      <c r="L1192" s="26" t="n"/>
    </row>
    <row r="1193">
      <c r="A1193" s="11" t="n"/>
      <c r="B1193" s="11" t="n"/>
      <c r="C1193" s="10" t="n"/>
      <c r="D1193" s="11" t="n"/>
      <c r="E1193" s="10" t="n"/>
      <c r="F1193" s="22" t="n"/>
      <c r="G1193" s="24" t="n"/>
      <c r="H1193" s="23" t="n"/>
      <c r="I1193" s="25" t="n"/>
      <c r="J1193" s="10">
        <f>IF(D1193="","",IF(H1193="✓","完了",IF(G1193="","",IF(G1193&lt;TODAY(),"期限超過",IF(G1193=TODAY(),"今日まで","予定")))))</f>
        <v/>
      </c>
      <c r="K1193" s="22" t="n"/>
      <c r="L1193" s="26" t="n"/>
    </row>
    <row r="1194">
      <c r="A1194" s="11" t="n"/>
      <c r="B1194" s="11" t="n"/>
      <c r="C1194" s="10" t="n"/>
      <c r="D1194" s="11" t="n"/>
      <c r="E1194" s="10" t="n"/>
      <c r="F1194" s="22" t="n"/>
      <c r="G1194" s="24" t="n"/>
      <c r="H1194" s="23" t="n"/>
      <c r="I1194" s="25" t="n"/>
      <c r="J1194" s="10">
        <f>IF(D1194="","",IF(H1194="✓","完了",IF(G1194="","",IF(G1194&lt;TODAY(),"期限超過",IF(G1194=TODAY(),"今日まで","予定")))))</f>
        <v/>
      </c>
      <c r="K1194" s="22" t="n"/>
      <c r="L1194" s="26" t="n"/>
    </row>
    <row r="1195">
      <c r="A1195" s="11" t="n"/>
      <c r="B1195" s="11" t="n"/>
      <c r="C1195" s="10" t="n"/>
      <c r="D1195" s="11" t="n"/>
      <c r="E1195" s="10" t="n"/>
      <c r="F1195" s="22" t="n"/>
      <c r="G1195" s="24" t="n"/>
      <c r="H1195" s="23" t="n"/>
      <c r="I1195" s="25" t="n"/>
      <c r="J1195" s="10">
        <f>IF(D1195="","",IF(H1195="✓","完了",IF(G1195="","",IF(G1195&lt;TODAY(),"期限超過",IF(G1195=TODAY(),"今日まで","予定")))))</f>
        <v/>
      </c>
      <c r="K1195" s="22" t="n"/>
      <c r="L1195" s="26" t="n"/>
    </row>
    <row r="1196">
      <c r="A1196" s="11" t="n"/>
      <c r="B1196" s="11" t="n"/>
      <c r="C1196" s="10" t="n"/>
      <c r="D1196" s="11" t="n"/>
      <c r="E1196" s="10" t="n"/>
      <c r="F1196" s="22" t="n"/>
      <c r="G1196" s="24" t="n"/>
      <c r="H1196" s="23" t="n"/>
      <c r="I1196" s="25" t="n"/>
      <c r="J1196" s="10">
        <f>IF(D1196="","",IF(H1196="✓","完了",IF(G1196="","",IF(G1196&lt;TODAY(),"期限超過",IF(G1196=TODAY(),"今日まで","予定")))))</f>
        <v/>
      </c>
      <c r="K1196" s="22" t="n"/>
      <c r="L1196" s="26" t="n"/>
    </row>
    <row r="1197">
      <c r="A1197" s="11" t="n"/>
      <c r="B1197" s="11" t="n"/>
      <c r="C1197" s="10" t="n"/>
      <c r="D1197" s="11" t="n"/>
      <c r="E1197" s="10" t="n"/>
      <c r="F1197" s="22" t="n"/>
      <c r="G1197" s="24" t="n"/>
      <c r="H1197" s="23" t="n"/>
      <c r="I1197" s="25" t="n"/>
      <c r="J1197" s="10">
        <f>IF(D1197="","",IF(H1197="✓","完了",IF(G1197="","",IF(G1197&lt;TODAY(),"期限超過",IF(G1197=TODAY(),"今日まで","予定")))))</f>
        <v/>
      </c>
      <c r="K1197" s="22" t="n"/>
      <c r="L1197" s="26" t="n"/>
    </row>
    <row r="1198">
      <c r="A1198" s="11" t="n"/>
      <c r="B1198" s="11" t="n"/>
      <c r="C1198" s="10" t="n"/>
      <c r="D1198" s="11" t="n"/>
      <c r="E1198" s="10" t="n"/>
      <c r="F1198" s="22" t="n"/>
      <c r="G1198" s="24" t="n"/>
      <c r="H1198" s="23" t="n"/>
      <c r="I1198" s="25" t="n"/>
      <c r="J1198" s="10">
        <f>IF(D1198="","",IF(H1198="✓","完了",IF(G1198="","",IF(G1198&lt;TODAY(),"期限超過",IF(G1198=TODAY(),"今日まで","予定")))))</f>
        <v/>
      </c>
      <c r="K1198" s="22" t="n"/>
      <c r="L1198" s="26" t="n"/>
    </row>
    <row r="1199">
      <c r="A1199" s="11" t="n"/>
      <c r="B1199" s="11" t="n"/>
      <c r="C1199" s="10" t="n"/>
      <c r="D1199" s="11" t="n"/>
      <c r="E1199" s="10" t="n"/>
      <c r="F1199" s="22" t="n"/>
      <c r="G1199" s="24" t="n"/>
      <c r="H1199" s="23" t="n"/>
      <c r="I1199" s="25" t="n"/>
      <c r="J1199" s="10">
        <f>IF(D1199="","",IF(H1199="✓","完了",IF(G1199="","",IF(G1199&lt;TODAY(),"期限超過",IF(G1199=TODAY(),"今日まで","予定")))))</f>
        <v/>
      </c>
      <c r="K1199" s="22" t="n"/>
      <c r="L1199" s="26" t="n"/>
    </row>
    <row r="1200">
      <c r="A1200" s="11" t="n"/>
      <c r="B1200" s="11" t="n"/>
      <c r="C1200" s="10" t="n"/>
      <c r="D1200" s="11" t="n"/>
      <c r="E1200" s="10" t="n"/>
      <c r="F1200" s="22" t="n"/>
      <c r="G1200" s="24" t="n"/>
      <c r="H1200" s="23" t="n"/>
      <c r="I1200" s="25" t="n"/>
      <c r="J1200" s="10">
        <f>IF(D1200="","",IF(H1200="✓","完了",IF(G1200="","",IF(G1200&lt;TODAY(),"期限超過",IF(G1200=TODAY(),"今日まで","予定")))))</f>
        <v/>
      </c>
      <c r="K1200" s="22" t="n"/>
      <c r="L1200" s="26" t="n"/>
    </row>
    <row r="1201">
      <c r="A1201" s="11" t="n"/>
      <c r="B1201" s="11" t="n"/>
      <c r="C1201" s="10" t="n"/>
      <c r="D1201" s="11" t="n"/>
      <c r="E1201" s="10" t="n"/>
      <c r="F1201" s="22" t="n"/>
      <c r="G1201" s="24" t="n"/>
      <c r="H1201" s="23" t="n"/>
      <c r="I1201" s="25" t="n"/>
      <c r="J1201" s="10">
        <f>IF(D1201="","",IF(H1201="✓","完了",IF(G1201="","",IF(G1201&lt;TODAY(),"期限超過",IF(G1201=TODAY(),"今日まで","予定")))))</f>
        <v/>
      </c>
      <c r="K1201" s="22" t="n"/>
      <c r="L1201" s="26" t="n"/>
    </row>
    <row r="1202">
      <c r="A1202" s="11" t="n"/>
      <c r="B1202" s="11" t="n"/>
      <c r="C1202" s="10" t="n"/>
      <c r="D1202" s="11" t="n"/>
      <c r="E1202" s="10" t="n"/>
      <c r="F1202" s="22" t="n"/>
      <c r="G1202" s="24" t="n"/>
      <c r="H1202" s="23" t="n"/>
      <c r="I1202" s="25" t="n"/>
      <c r="J1202" s="10">
        <f>IF(D1202="","",IF(H1202="✓","完了",IF(G1202="","",IF(G1202&lt;TODAY(),"期限超過",IF(G1202=TODAY(),"今日まで","予定")))))</f>
        <v/>
      </c>
      <c r="K1202" s="22" t="n"/>
      <c r="L1202" s="26" t="n"/>
    </row>
    <row r="1203">
      <c r="A1203" s="11" t="n"/>
      <c r="B1203" s="11" t="n"/>
      <c r="C1203" s="10" t="n"/>
      <c r="D1203" s="11" t="n"/>
      <c r="E1203" s="10" t="n"/>
      <c r="F1203" s="22" t="n"/>
      <c r="G1203" s="24" t="n"/>
      <c r="H1203" s="23" t="n"/>
      <c r="I1203" s="25" t="n"/>
      <c r="J1203" s="10">
        <f>IF(D1203="","",IF(H1203="✓","完了",IF(G1203="","",IF(G1203&lt;TODAY(),"期限超過",IF(G1203=TODAY(),"今日まで","予定")))))</f>
        <v/>
      </c>
      <c r="K1203" s="22" t="n"/>
      <c r="L1203" s="26" t="n"/>
    </row>
    <row r="1204">
      <c r="A1204" s="11" t="n"/>
      <c r="B1204" s="11" t="n"/>
      <c r="C1204" s="10" t="n"/>
      <c r="D1204" s="11" t="n"/>
      <c r="E1204" s="10" t="n"/>
      <c r="F1204" s="22" t="n"/>
      <c r="G1204" s="24" t="n"/>
      <c r="H1204" s="23" t="n"/>
      <c r="I1204" s="25" t="n"/>
      <c r="J1204" s="10">
        <f>IF(D1204="","",IF(H1204="✓","完了",IF(G1204="","",IF(G1204&lt;TODAY(),"期限超過",IF(G1204=TODAY(),"今日まで","予定")))))</f>
        <v/>
      </c>
      <c r="K1204" s="22" t="n"/>
      <c r="L1204" s="26" t="n"/>
    </row>
    <row r="1205">
      <c r="A1205" s="11" t="n"/>
      <c r="B1205" s="11" t="n"/>
      <c r="C1205" s="10" t="n"/>
      <c r="D1205" s="11" t="n"/>
      <c r="E1205" s="10" t="n"/>
      <c r="F1205" s="22" t="n"/>
      <c r="G1205" s="24" t="n"/>
      <c r="H1205" s="23" t="n"/>
      <c r="I1205" s="25" t="n"/>
      <c r="J1205" s="10">
        <f>IF(D1205="","",IF(H1205="✓","完了",IF(G1205="","",IF(G1205&lt;TODAY(),"期限超過",IF(G1205=TODAY(),"今日まで","予定")))))</f>
        <v/>
      </c>
      <c r="K1205" s="22" t="n"/>
      <c r="L1205" s="26" t="n"/>
    </row>
    <row r="1206">
      <c r="A1206" s="11" t="n"/>
      <c r="B1206" s="11" t="n"/>
      <c r="C1206" s="10" t="n"/>
      <c r="D1206" s="11" t="n"/>
      <c r="E1206" s="10" t="n"/>
      <c r="F1206" s="22" t="n"/>
      <c r="G1206" s="24" t="n"/>
      <c r="H1206" s="23" t="n"/>
      <c r="I1206" s="25" t="n"/>
      <c r="J1206" s="10">
        <f>IF(D1206="","",IF(H1206="✓","完了",IF(G1206="","",IF(G1206&lt;TODAY(),"期限超過",IF(G1206=TODAY(),"今日まで","予定")))))</f>
        <v/>
      </c>
      <c r="K1206" s="22" t="n"/>
      <c r="L1206" s="26" t="n"/>
    </row>
    <row r="1207">
      <c r="A1207" s="11" t="n"/>
      <c r="B1207" s="11" t="n"/>
      <c r="C1207" s="10" t="n"/>
      <c r="D1207" s="11" t="n"/>
      <c r="E1207" s="10" t="n"/>
      <c r="F1207" s="22" t="n"/>
      <c r="G1207" s="24" t="n"/>
      <c r="H1207" s="23" t="n"/>
      <c r="I1207" s="25" t="n"/>
      <c r="J1207" s="10">
        <f>IF(D1207="","",IF(H1207="✓","完了",IF(G1207="","",IF(G1207&lt;TODAY(),"期限超過",IF(G1207=TODAY(),"今日まで","予定")))))</f>
        <v/>
      </c>
      <c r="K1207" s="22" t="n"/>
      <c r="L1207" s="26" t="n"/>
    </row>
    <row r="1208">
      <c r="A1208" s="11" t="n"/>
      <c r="B1208" s="11" t="n"/>
      <c r="C1208" s="10" t="n"/>
      <c r="D1208" s="11" t="n"/>
      <c r="E1208" s="10" t="n"/>
      <c r="F1208" s="22" t="n"/>
      <c r="G1208" s="24" t="n"/>
      <c r="H1208" s="23" t="n"/>
      <c r="I1208" s="25" t="n"/>
      <c r="J1208" s="10">
        <f>IF(D1208="","",IF(H1208="✓","完了",IF(G1208="","",IF(G1208&lt;TODAY(),"期限超過",IF(G1208=TODAY(),"今日まで","予定")))))</f>
        <v/>
      </c>
      <c r="K1208" s="22" t="n"/>
      <c r="L1208" s="26" t="n"/>
    </row>
    <row r="1209">
      <c r="A1209" s="11" t="n"/>
      <c r="B1209" s="11" t="n"/>
      <c r="C1209" s="10" t="n"/>
      <c r="D1209" s="11" t="n"/>
      <c r="E1209" s="10" t="n"/>
      <c r="F1209" s="22" t="n"/>
      <c r="G1209" s="24" t="n"/>
      <c r="H1209" s="23" t="n"/>
      <c r="I1209" s="25" t="n"/>
      <c r="J1209" s="10">
        <f>IF(D1209="","",IF(H1209="✓","完了",IF(G1209="","",IF(G1209&lt;TODAY(),"期限超過",IF(G1209=TODAY(),"今日まで","予定")))))</f>
        <v/>
      </c>
      <c r="K1209" s="22" t="n"/>
      <c r="L1209" s="26" t="n"/>
    </row>
    <row r="1210">
      <c r="A1210" s="11" t="n"/>
      <c r="B1210" s="11" t="n"/>
      <c r="C1210" s="10" t="n"/>
      <c r="D1210" s="11" t="n"/>
      <c r="E1210" s="10" t="n"/>
      <c r="F1210" s="22" t="n"/>
      <c r="G1210" s="24" t="n"/>
      <c r="H1210" s="23" t="n"/>
      <c r="I1210" s="25" t="n"/>
      <c r="J1210" s="10">
        <f>IF(D1210="","",IF(H1210="✓","完了",IF(G1210="","",IF(G1210&lt;TODAY(),"期限超過",IF(G1210=TODAY(),"今日まで","予定")))))</f>
        <v/>
      </c>
      <c r="K1210" s="22" t="n"/>
      <c r="L1210" s="26" t="n"/>
    </row>
    <row r="1211">
      <c r="A1211" s="11" t="n"/>
      <c r="B1211" s="11" t="n"/>
      <c r="C1211" s="10" t="n"/>
      <c r="D1211" s="11" t="n"/>
      <c r="E1211" s="10" t="n"/>
      <c r="F1211" s="22" t="n"/>
      <c r="G1211" s="24" t="n"/>
      <c r="H1211" s="23" t="n"/>
      <c r="I1211" s="25" t="n"/>
      <c r="J1211" s="10">
        <f>IF(D1211="","",IF(H1211="✓","完了",IF(G1211="","",IF(G1211&lt;TODAY(),"期限超過",IF(G1211=TODAY(),"今日まで","予定")))))</f>
        <v/>
      </c>
      <c r="K1211" s="22" t="n"/>
      <c r="L1211" s="26" t="n"/>
    </row>
    <row r="1212">
      <c r="A1212" s="11" t="n"/>
      <c r="B1212" s="11" t="n"/>
      <c r="C1212" s="10" t="n"/>
      <c r="D1212" s="11" t="n"/>
      <c r="E1212" s="10" t="n"/>
      <c r="F1212" s="22" t="n"/>
      <c r="G1212" s="24" t="n"/>
      <c r="H1212" s="23" t="n"/>
      <c r="I1212" s="25" t="n"/>
      <c r="J1212" s="10">
        <f>IF(D1212="","",IF(H1212="✓","完了",IF(G1212="","",IF(G1212&lt;TODAY(),"期限超過",IF(G1212=TODAY(),"今日まで","予定")))))</f>
        <v/>
      </c>
      <c r="K1212" s="22" t="n"/>
      <c r="L1212" s="26" t="n"/>
    </row>
    <row r="1213">
      <c r="A1213" s="11" t="n"/>
      <c r="B1213" s="11" t="n"/>
      <c r="C1213" s="10" t="n"/>
      <c r="D1213" s="11" t="n"/>
      <c r="E1213" s="10" t="n"/>
      <c r="F1213" s="22" t="n"/>
      <c r="G1213" s="24" t="n"/>
      <c r="H1213" s="23" t="n"/>
      <c r="I1213" s="25" t="n"/>
      <c r="J1213" s="10">
        <f>IF(D1213="","",IF(H1213="✓","完了",IF(G1213="","",IF(G1213&lt;TODAY(),"期限超過",IF(G1213=TODAY(),"今日まで","予定")))))</f>
        <v/>
      </c>
      <c r="K1213" s="22" t="n"/>
      <c r="L1213" s="26" t="n"/>
    </row>
    <row r="1214">
      <c r="A1214" s="11" t="n"/>
      <c r="B1214" s="11" t="n"/>
      <c r="C1214" s="10" t="n"/>
      <c r="D1214" s="11" t="n"/>
      <c r="E1214" s="10" t="n"/>
      <c r="F1214" s="22" t="n"/>
      <c r="G1214" s="24" t="n"/>
      <c r="H1214" s="23" t="n"/>
      <c r="I1214" s="25" t="n"/>
      <c r="J1214" s="10">
        <f>IF(D1214="","",IF(H1214="✓","完了",IF(G1214="","",IF(G1214&lt;TODAY(),"期限超過",IF(G1214=TODAY(),"今日まで","予定")))))</f>
        <v/>
      </c>
      <c r="K1214" s="22" t="n"/>
      <c r="L1214" s="26" t="n"/>
    </row>
    <row r="1215">
      <c r="A1215" s="11" t="n"/>
      <c r="B1215" s="11" t="n"/>
      <c r="C1215" s="10" t="n"/>
      <c r="D1215" s="11" t="n"/>
      <c r="E1215" s="10" t="n"/>
      <c r="F1215" s="22" t="n"/>
      <c r="G1215" s="24" t="n"/>
      <c r="H1215" s="23" t="n"/>
      <c r="I1215" s="25" t="n"/>
      <c r="J1215" s="10">
        <f>IF(D1215="","",IF(H1215="✓","完了",IF(G1215="","",IF(G1215&lt;TODAY(),"期限超過",IF(G1215=TODAY(),"今日まで","予定")))))</f>
        <v/>
      </c>
      <c r="K1215" s="22" t="n"/>
      <c r="L1215" s="26" t="n"/>
    </row>
    <row r="1216">
      <c r="A1216" s="11" t="n"/>
      <c r="B1216" s="11" t="n"/>
      <c r="C1216" s="10" t="n"/>
      <c r="D1216" s="11" t="n"/>
      <c r="E1216" s="10" t="n"/>
      <c r="F1216" s="22" t="n"/>
      <c r="G1216" s="24" t="n"/>
      <c r="H1216" s="23" t="n"/>
      <c r="I1216" s="25" t="n"/>
      <c r="J1216" s="10">
        <f>IF(D1216="","",IF(H1216="✓","完了",IF(G1216="","",IF(G1216&lt;TODAY(),"期限超過",IF(G1216=TODAY(),"今日まで","予定")))))</f>
        <v/>
      </c>
      <c r="K1216" s="22" t="n"/>
      <c r="L1216" s="26" t="n"/>
    </row>
    <row r="1217">
      <c r="A1217" s="11" t="n"/>
      <c r="B1217" s="11" t="n"/>
      <c r="C1217" s="10" t="n"/>
      <c r="D1217" s="11" t="n"/>
      <c r="E1217" s="10" t="n"/>
      <c r="F1217" s="22" t="n"/>
      <c r="G1217" s="24" t="n"/>
      <c r="H1217" s="23" t="n"/>
      <c r="I1217" s="25" t="n"/>
      <c r="J1217" s="10">
        <f>IF(D1217="","",IF(H1217="✓","完了",IF(G1217="","",IF(G1217&lt;TODAY(),"期限超過",IF(G1217=TODAY(),"今日まで","予定")))))</f>
        <v/>
      </c>
      <c r="K1217" s="22" t="n"/>
      <c r="L1217" s="26" t="n"/>
    </row>
    <row r="1218">
      <c r="A1218" s="11" t="n"/>
      <c r="B1218" s="11" t="n"/>
      <c r="C1218" s="10" t="n"/>
      <c r="D1218" s="11" t="n"/>
      <c r="E1218" s="10" t="n"/>
      <c r="F1218" s="22" t="n"/>
      <c r="G1218" s="24" t="n"/>
      <c r="H1218" s="23" t="n"/>
      <c r="I1218" s="25" t="n"/>
      <c r="J1218" s="10">
        <f>IF(D1218="","",IF(H1218="✓","完了",IF(G1218="","",IF(G1218&lt;TODAY(),"期限超過",IF(G1218=TODAY(),"今日まで","予定")))))</f>
        <v/>
      </c>
      <c r="K1218" s="22" t="n"/>
      <c r="L1218" s="26" t="n"/>
    </row>
    <row r="1219">
      <c r="A1219" s="11" t="n"/>
      <c r="B1219" s="11" t="n"/>
      <c r="C1219" s="10" t="n"/>
      <c r="D1219" s="11" t="n"/>
      <c r="E1219" s="10" t="n"/>
      <c r="F1219" s="22" t="n"/>
      <c r="G1219" s="24" t="n"/>
      <c r="H1219" s="23" t="n"/>
      <c r="I1219" s="25" t="n"/>
      <c r="J1219" s="10">
        <f>IF(D1219="","",IF(H1219="✓","完了",IF(G1219="","",IF(G1219&lt;TODAY(),"期限超過",IF(G1219=TODAY(),"今日まで","予定")))))</f>
        <v/>
      </c>
      <c r="K1219" s="22" t="n"/>
      <c r="L1219" s="26" t="n"/>
    </row>
    <row r="1220">
      <c r="A1220" s="11" t="n"/>
      <c r="B1220" s="11" t="n"/>
      <c r="C1220" s="10" t="n"/>
      <c r="D1220" s="11" t="n"/>
      <c r="E1220" s="10" t="n"/>
      <c r="F1220" s="22" t="n"/>
      <c r="G1220" s="24" t="n"/>
      <c r="H1220" s="23" t="n"/>
      <c r="I1220" s="25" t="n"/>
      <c r="J1220" s="10">
        <f>IF(D1220="","",IF(H1220="✓","完了",IF(G1220="","",IF(G1220&lt;TODAY(),"期限超過",IF(G1220=TODAY(),"今日まで","予定")))))</f>
        <v/>
      </c>
      <c r="K1220" s="22" t="n"/>
      <c r="L1220" s="26" t="n"/>
    </row>
    <row r="1221">
      <c r="A1221" s="11" t="n"/>
      <c r="B1221" s="11" t="n"/>
      <c r="C1221" s="10" t="n"/>
      <c r="D1221" s="11" t="n"/>
      <c r="E1221" s="10" t="n"/>
      <c r="F1221" s="22" t="n"/>
      <c r="G1221" s="24" t="n"/>
      <c r="H1221" s="23" t="n"/>
      <c r="I1221" s="25" t="n"/>
      <c r="J1221" s="10">
        <f>IF(D1221="","",IF(H1221="✓","完了",IF(G1221="","",IF(G1221&lt;TODAY(),"期限超過",IF(G1221=TODAY(),"今日まで","予定")))))</f>
        <v/>
      </c>
      <c r="K1221" s="22" t="n"/>
      <c r="L1221" s="26" t="n"/>
    </row>
    <row r="1222">
      <c r="A1222" s="11" t="n"/>
      <c r="B1222" s="11" t="n"/>
      <c r="C1222" s="10" t="n"/>
      <c r="D1222" s="11" t="n"/>
      <c r="E1222" s="10" t="n"/>
      <c r="F1222" s="22" t="n"/>
      <c r="G1222" s="24" t="n"/>
      <c r="H1222" s="23" t="n"/>
      <c r="I1222" s="25" t="n"/>
      <c r="J1222" s="10">
        <f>IF(D1222="","",IF(H1222="✓","完了",IF(G1222="","",IF(G1222&lt;TODAY(),"期限超過",IF(G1222=TODAY(),"今日まで","予定")))))</f>
        <v/>
      </c>
      <c r="K1222" s="22" t="n"/>
      <c r="L1222" s="26" t="n"/>
    </row>
    <row r="1223">
      <c r="A1223" s="11" t="n"/>
      <c r="B1223" s="11" t="n"/>
      <c r="C1223" s="10" t="n"/>
      <c r="D1223" s="11" t="n"/>
      <c r="E1223" s="10" t="n"/>
      <c r="F1223" s="22" t="n"/>
      <c r="G1223" s="24" t="n"/>
      <c r="H1223" s="23" t="n"/>
      <c r="I1223" s="25" t="n"/>
      <c r="J1223" s="10">
        <f>IF(D1223="","",IF(H1223="✓","完了",IF(G1223="","",IF(G1223&lt;TODAY(),"期限超過",IF(G1223=TODAY(),"今日まで","予定")))))</f>
        <v/>
      </c>
      <c r="K1223" s="22" t="n"/>
      <c r="L1223" s="26" t="n"/>
    </row>
    <row r="1224">
      <c r="A1224" s="11" t="n"/>
      <c r="B1224" s="11" t="n"/>
      <c r="C1224" s="10" t="n"/>
      <c r="D1224" s="11" t="n"/>
      <c r="E1224" s="10" t="n"/>
      <c r="F1224" s="22" t="n"/>
      <c r="G1224" s="24" t="n"/>
      <c r="H1224" s="23" t="n"/>
      <c r="I1224" s="25" t="n"/>
      <c r="J1224" s="10">
        <f>IF(D1224="","",IF(H1224="✓","完了",IF(G1224="","",IF(G1224&lt;TODAY(),"期限超過",IF(G1224=TODAY(),"今日まで","予定")))))</f>
        <v/>
      </c>
      <c r="K1224" s="22" t="n"/>
      <c r="L1224" s="26" t="n"/>
    </row>
    <row r="1225">
      <c r="A1225" s="11" t="n"/>
      <c r="B1225" s="11" t="n"/>
      <c r="C1225" s="10" t="n"/>
      <c r="D1225" s="11" t="n"/>
      <c r="E1225" s="10" t="n"/>
      <c r="F1225" s="22" t="n"/>
      <c r="G1225" s="24" t="n"/>
      <c r="H1225" s="23" t="n"/>
      <c r="I1225" s="25" t="n"/>
      <c r="J1225" s="10">
        <f>IF(D1225="","",IF(H1225="✓","完了",IF(G1225="","",IF(G1225&lt;TODAY(),"期限超過",IF(G1225=TODAY(),"今日まで","予定")))))</f>
        <v/>
      </c>
      <c r="K1225" s="22" t="n"/>
      <c r="L1225" s="26" t="n"/>
    </row>
    <row r="1226">
      <c r="A1226" s="11" t="n"/>
      <c r="B1226" s="11" t="n"/>
      <c r="C1226" s="10" t="n"/>
      <c r="D1226" s="11" t="n"/>
      <c r="E1226" s="10" t="n"/>
      <c r="F1226" s="22" t="n"/>
      <c r="G1226" s="24" t="n"/>
      <c r="H1226" s="23" t="n"/>
      <c r="I1226" s="25" t="n"/>
      <c r="J1226" s="10">
        <f>IF(D1226="","",IF(H1226="✓","完了",IF(G1226="","",IF(G1226&lt;TODAY(),"期限超過",IF(G1226=TODAY(),"今日まで","予定")))))</f>
        <v/>
      </c>
      <c r="K1226" s="22" t="n"/>
      <c r="L1226" s="26" t="n"/>
    </row>
    <row r="1227">
      <c r="A1227" s="11" t="n"/>
      <c r="B1227" s="11" t="n"/>
      <c r="C1227" s="10" t="n"/>
      <c r="D1227" s="11" t="n"/>
      <c r="E1227" s="10" t="n"/>
      <c r="F1227" s="22" t="n"/>
      <c r="G1227" s="24" t="n"/>
      <c r="H1227" s="23" t="n"/>
      <c r="I1227" s="25" t="n"/>
      <c r="J1227" s="10">
        <f>IF(D1227="","",IF(H1227="✓","完了",IF(G1227="","",IF(G1227&lt;TODAY(),"期限超過",IF(G1227=TODAY(),"今日まで","予定")))))</f>
        <v/>
      </c>
      <c r="K1227" s="22" t="n"/>
      <c r="L1227" s="26" t="n"/>
    </row>
    <row r="1228">
      <c r="A1228" s="11" t="n"/>
      <c r="B1228" s="11" t="n"/>
      <c r="C1228" s="10" t="n"/>
      <c r="D1228" s="11" t="n"/>
      <c r="E1228" s="10" t="n"/>
      <c r="F1228" s="22" t="n"/>
      <c r="G1228" s="24" t="n"/>
      <c r="H1228" s="23" t="n"/>
      <c r="I1228" s="25" t="n"/>
      <c r="J1228" s="10">
        <f>IF(D1228="","",IF(H1228="✓","完了",IF(G1228="","",IF(G1228&lt;TODAY(),"期限超過",IF(G1228=TODAY(),"今日まで","予定")))))</f>
        <v/>
      </c>
      <c r="K1228" s="22" t="n"/>
      <c r="L1228" s="26" t="n"/>
    </row>
    <row r="1229">
      <c r="A1229" s="11" t="n"/>
      <c r="B1229" s="11" t="n"/>
      <c r="C1229" s="10" t="n"/>
      <c r="D1229" s="11" t="n"/>
      <c r="E1229" s="10" t="n"/>
      <c r="F1229" s="22" t="n"/>
      <c r="G1229" s="24" t="n"/>
      <c r="H1229" s="23" t="n"/>
      <c r="I1229" s="25" t="n"/>
      <c r="J1229" s="10">
        <f>IF(D1229="","",IF(H1229="✓","完了",IF(G1229="","",IF(G1229&lt;TODAY(),"期限超過",IF(G1229=TODAY(),"今日まで","予定")))))</f>
        <v/>
      </c>
      <c r="K1229" s="22" t="n"/>
      <c r="L1229" s="26" t="n"/>
    </row>
    <row r="1230">
      <c r="A1230" s="11" t="n"/>
      <c r="B1230" s="11" t="n"/>
      <c r="C1230" s="10" t="n"/>
      <c r="D1230" s="11" t="n"/>
      <c r="E1230" s="10" t="n"/>
      <c r="F1230" s="22" t="n"/>
      <c r="G1230" s="24" t="n"/>
      <c r="H1230" s="23" t="n"/>
      <c r="I1230" s="25" t="n"/>
      <c r="J1230" s="10">
        <f>IF(D1230="","",IF(H1230="✓","完了",IF(G1230="","",IF(G1230&lt;TODAY(),"期限超過",IF(G1230=TODAY(),"今日まで","予定")))))</f>
        <v/>
      </c>
      <c r="K1230" s="22" t="n"/>
      <c r="L1230" s="26" t="n"/>
    </row>
    <row r="1231">
      <c r="A1231" s="11" t="n"/>
      <c r="B1231" s="11" t="n"/>
      <c r="C1231" s="10" t="n"/>
      <c r="D1231" s="11" t="n"/>
      <c r="E1231" s="10" t="n"/>
      <c r="F1231" s="22" t="n"/>
      <c r="G1231" s="24" t="n"/>
      <c r="H1231" s="23" t="n"/>
      <c r="I1231" s="25" t="n"/>
      <c r="J1231" s="10">
        <f>IF(D1231="","",IF(H1231="✓","完了",IF(G1231="","",IF(G1231&lt;TODAY(),"期限超過",IF(G1231=TODAY(),"今日まで","予定")))))</f>
        <v/>
      </c>
      <c r="K1231" s="22" t="n"/>
      <c r="L1231" s="26" t="n"/>
    </row>
    <row r="1232">
      <c r="A1232" s="11" t="n"/>
      <c r="B1232" s="11" t="n"/>
      <c r="C1232" s="10" t="n"/>
      <c r="D1232" s="11" t="n"/>
      <c r="E1232" s="10" t="n"/>
      <c r="F1232" s="22" t="n"/>
      <c r="G1232" s="24" t="n"/>
      <c r="H1232" s="23" t="n"/>
      <c r="I1232" s="25" t="n"/>
      <c r="J1232" s="10">
        <f>IF(D1232="","",IF(H1232="✓","完了",IF(G1232="","",IF(G1232&lt;TODAY(),"期限超過",IF(G1232=TODAY(),"今日まで","予定")))))</f>
        <v/>
      </c>
      <c r="K1232" s="22" t="n"/>
      <c r="L1232" s="26" t="n"/>
    </row>
    <row r="1233">
      <c r="A1233" s="11" t="n"/>
      <c r="B1233" s="11" t="n"/>
      <c r="C1233" s="10" t="n"/>
      <c r="D1233" s="11" t="n"/>
      <c r="E1233" s="10" t="n"/>
      <c r="F1233" s="22" t="n"/>
      <c r="G1233" s="24" t="n"/>
      <c r="H1233" s="23" t="n"/>
      <c r="I1233" s="25" t="n"/>
      <c r="J1233" s="10">
        <f>IF(D1233="","",IF(H1233="✓","完了",IF(G1233="","",IF(G1233&lt;TODAY(),"期限超過",IF(G1233=TODAY(),"今日まで","予定")))))</f>
        <v/>
      </c>
      <c r="K1233" s="22" t="n"/>
      <c r="L1233" s="26" t="n"/>
    </row>
    <row r="1234">
      <c r="A1234" s="11" t="n"/>
      <c r="B1234" s="11" t="n"/>
      <c r="C1234" s="10" t="n"/>
      <c r="D1234" s="11" t="n"/>
      <c r="E1234" s="10" t="n"/>
      <c r="F1234" s="22" t="n"/>
      <c r="G1234" s="24" t="n"/>
      <c r="H1234" s="23" t="n"/>
      <c r="I1234" s="25" t="n"/>
      <c r="J1234" s="10">
        <f>IF(D1234="","",IF(H1234="✓","完了",IF(G1234="","",IF(G1234&lt;TODAY(),"期限超過",IF(G1234=TODAY(),"今日まで","予定")))))</f>
        <v/>
      </c>
      <c r="K1234" s="22" t="n"/>
      <c r="L1234" s="26" t="n"/>
    </row>
    <row r="1235">
      <c r="A1235" s="11" t="n"/>
      <c r="B1235" s="11" t="n"/>
      <c r="C1235" s="10" t="n"/>
      <c r="D1235" s="11" t="n"/>
      <c r="E1235" s="10" t="n"/>
      <c r="F1235" s="22" t="n"/>
      <c r="G1235" s="24" t="n"/>
      <c r="H1235" s="23" t="n"/>
      <c r="I1235" s="25" t="n"/>
      <c r="J1235" s="10">
        <f>IF(D1235="","",IF(H1235="✓","完了",IF(G1235="","",IF(G1235&lt;TODAY(),"期限超過",IF(G1235=TODAY(),"今日まで","予定")))))</f>
        <v/>
      </c>
      <c r="K1235" s="22" t="n"/>
      <c r="L1235" s="26" t="n"/>
    </row>
    <row r="1236">
      <c r="A1236" s="11" t="n"/>
      <c r="B1236" s="11" t="n"/>
      <c r="C1236" s="10" t="n"/>
      <c r="D1236" s="11" t="n"/>
      <c r="E1236" s="10" t="n"/>
      <c r="F1236" s="22" t="n"/>
      <c r="G1236" s="24" t="n"/>
      <c r="H1236" s="23" t="n"/>
      <c r="I1236" s="25" t="n"/>
      <c r="J1236" s="10">
        <f>IF(D1236="","",IF(H1236="✓","完了",IF(G1236="","",IF(G1236&lt;TODAY(),"期限超過",IF(G1236=TODAY(),"今日まで","予定")))))</f>
        <v/>
      </c>
      <c r="K1236" s="22" t="n"/>
      <c r="L1236" s="26" t="n"/>
    </row>
    <row r="1237">
      <c r="A1237" s="11" t="n"/>
      <c r="B1237" s="11" t="n"/>
      <c r="C1237" s="10" t="n"/>
      <c r="D1237" s="11" t="n"/>
      <c r="E1237" s="10" t="n"/>
      <c r="F1237" s="22" t="n"/>
      <c r="G1237" s="24" t="n"/>
      <c r="H1237" s="23" t="n"/>
      <c r="I1237" s="25" t="n"/>
      <c r="J1237" s="10">
        <f>IF(D1237="","",IF(H1237="✓","完了",IF(G1237="","",IF(G1237&lt;TODAY(),"期限超過",IF(G1237=TODAY(),"今日まで","予定")))))</f>
        <v/>
      </c>
      <c r="K1237" s="22" t="n"/>
      <c r="L1237" s="26" t="n"/>
    </row>
    <row r="1238">
      <c r="A1238" s="11" t="n"/>
      <c r="B1238" s="11" t="n"/>
      <c r="C1238" s="10" t="n"/>
      <c r="D1238" s="11" t="n"/>
      <c r="E1238" s="10" t="n"/>
      <c r="F1238" s="22" t="n"/>
      <c r="G1238" s="24" t="n"/>
      <c r="H1238" s="23" t="n"/>
      <c r="I1238" s="25" t="n"/>
      <c r="J1238" s="10">
        <f>IF(D1238="","",IF(H1238="✓","完了",IF(G1238="","",IF(G1238&lt;TODAY(),"期限超過",IF(G1238=TODAY(),"今日まで","予定")))))</f>
        <v/>
      </c>
      <c r="K1238" s="22" t="n"/>
      <c r="L1238" s="26" t="n"/>
    </row>
    <row r="1239">
      <c r="A1239" s="11" t="n"/>
      <c r="B1239" s="11" t="n"/>
      <c r="C1239" s="10" t="n"/>
      <c r="D1239" s="11" t="n"/>
      <c r="E1239" s="10" t="n"/>
      <c r="F1239" s="22" t="n"/>
      <c r="G1239" s="24" t="n"/>
      <c r="H1239" s="23" t="n"/>
      <c r="I1239" s="25" t="n"/>
      <c r="J1239" s="10">
        <f>IF(D1239="","",IF(H1239="✓","完了",IF(G1239="","",IF(G1239&lt;TODAY(),"期限超過",IF(G1239=TODAY(),"今日まで","予定")))))</f>
        <v/>
      </c>
      <c r="K1239" s="22" t="n"/>
      <c r="L1239" s="26" t="n"/>
    </row>
    <row r="1240">
      <c r="A1240" s="11" t="n"/>
      <c r="B1240" s="11" t="n"/>
      <c r="C1240" s="10" t="n"/>
      <c r="D1240" s="11" t="n"/>
      <c r="E1240" s="10" t="n"/>
      <c r="F1240" s="22" t="n"/>
      <c r="G1240" s="24" t="n"/>
      <c r="H1240" s="23" t="n"/>
      <c r="I1240" s="25" t="n"/>
      <c r="J1240" s="10">
        <f>IF(D1240="","",IF(H1240="✓","完了",IF(G1240="","",IF(G1240&lt;TODAY(),"期限超過",IF(G1240=TODAY(),"今日まで","予定")))))</f>
        <v/>
      </c>
      <c r="K1240" s="22" t="n"/>
      <c r="L1240" s="26" t="n"/>
    </row>
    <row r="1241">
      <c r="A1241" s="11" t="n"/>
      <c r="B1241" s="11" t="n"/>
      <c r="C1241" s="10" t="n"/>
      <c r="D1241" s="11" t="n"/>
      <c r="E1241" s="10" t="n"/>
      <c r="F1241" s="22" t="n"/>
      <c r="G1241" s="24" t="n"/>
      <c r="H1241" s="23" t="n"/>
      <c r="I1241" s="25" t="n"/>
      <c r="J1241" s="10">
        <f>IF(D1241="","",IF(H1241="✓","完了",IF(G1241="","",IF(G1241&lt;TODAY(),"期限超過",IF(G1241=TODAY(),"今日まで","予定")))))</f>
        <v/>
      </c>
      <c r="K1241" s="22" t="n"/>
      <c r="L1241" s="26" t="n"/>
    </row>
    <row r="1242">
      <c r="A1242" s="11" t="n"/>
      <c r="B1242" s="11" t="n"/>
      <c r="C1242" s="10" t="n"/>
      <c r="D1242" s="11" t="n"/>
      <c r="E1242" s="10" t="n"/>
      <c r="F1242" s="22" t="n"/>
      <c r="G1242" s="24" t="n"/>
      <c r="H1242" s="23" t="n"/>
      <c r="I1242" s="25" t="n"/>
      <c r="J1242" s="10">
        <f>IF(D1242="","",IF(H1242="✓","完了",IF(G1242="","",IF(G1242&lt;TODAY(),"期限超過",IF(G1242=TODAY(),"今日まで","予定")))))</f>
        <v/>
      </c>
      <c r="K1242" s="22" t="n"/>
      <c r="L1242" s="26" t="n"/>
    </row>
    <row r="1243">
      <c r="A1243" s="11" t="n"/>
      <c r="B1243" s="11" t="n"/>
      <c r="C1243" s="10" t="n"/>
      <c r="D1243" s="11" t="n"/>
      <c r="E1243" s="10" t="n"/>
      <c r="F1243" s="22" t="n"/>
      <c r="G1243" s="24" t="n"/>
      <c r="H1243" s="23" t="n"/>
      <c r="I1243" s="25" t="n"/>
      <c r="J1243" s="10">
        <f>IF(D1243="","",IF(H1243="✓","完了",IF(G1243="","",IF(G1243&lt;TODAY(),"期限超過",IF(G1243=TODAY(),"今日まで","予定")))))</f>
        <v/>
      </c>
      <c r="K1243" s="22" t="n"/>
      <c r="L1243" s="26" t="n"/>
    </row>
    <row r="1244">
      <c r="A1244" s="11" t="n"/>
      <c r="B1244" s="11" t="n"/>
      <c r="C1244" s="10" t="n"/>
      <c r="D1244" s="11" t="n"/>
      <c r="E1244" s="10" t="n"/>
      <c r="F1244" s="22" t="n"/>
      <c r="G1244" s="24" t="n"/>
      <c r="H1244" s="23" t="n"/>
      <c r="I1244" s="25" t="n"/>
      <c r="J1244" s="10">
        <f>IF(D1244="","",IF(H1244="✓","完了",IF(G1244="","",IF(G1244&lt;TODAY(),"期限超過",IF(G1244=TODAY(),"今日まで","予定")))))</f>
        <v/>
      </c>
      <c r="K1244" s="22" t="n"/>
      <c r="L1244" s="26" t="n"/>
    </row>
    <row r="1245">
      <c r="A1245" s="11" t="n"/>
      <c r="B1245" s="11" t="n"/>
      <c r="C1245" s="10" t="n"/>
      <c r="D1245" s="11" t="n"/>
      <c r="E1245" s="10" t="n"/>
      <c r="F1245" s="22" t="n"/>
      <c r="G1245" s="24" t="n"/>
      <c r="H1245" s="23" t="n"/>
      <c r="I1245" s="25" t="n"/>
      <c r="J1245" s="10">
        <f>IF(D1245="","",IF(H1245="✓","完了",IF(G1245="","",IF(G1245&lt;TODAY(),"期限超過",IF(G1245=TODAY(),"今日まで","予定")))))</f>
        <v/>
      </c>
      <c r="K1245" s="22" t="n"/>
      <c r="L1245" s="26" t="n"/>
    </row>
    <row r="1246">
      <c r="A1246" s="11" t="n"/>
      <c r="B1246" s="11" t="n"/>
      <c r="C1246" s="10" t="n"/>
      <c r="D1246" s="11" t="n"/>
      <c r="E1246" s="10" t="n"/>
      <c r="F1246" s="22" t="n"/>
      <c r="G1246" s="24" t="n"/>
      <c r="H1246" s="23" t="n"/>
      <c r="I1246" s="25" t="n"/>
      <c r="J1246" s="10">
        <f>IF(D1246="","",IF(H1246="✓","完了",IF(G1246="","",IF(G1246&lt;TODAY(),"期限超過",IF(G1246=TODAY(),"今日まで","予定")))))</f>
        <v/>
      </c>
      <c r="K1246" s="22" t="n"/>
      <c r="L1246" s="26" t="n"/>
    </row>
    <row r="1247">
      <c r="A1247" s="11" t="n"/>
      <c r="B1247" s="11" t="n"/>
      <c r="C1247" s="10" t="n"/>
      <c r="D1247" s="11" t="n"/>
      <c r="E1247" s="10" t="n"/>
      <c r="F1247" s="22" t="n"/>
      <c r="G1247" s="24" t="n"/>
      <c r="H1247" s="23" t="n"/>
      <c r="I1247" s="25" t="n"/>
      <c r="J1247" s="10">
        <f>IF(D1247="","",IF(H1247="✓","完了",IF(G1247="","",IF(G1247&lt;TODAY(),"期限超過",IF(G1247=TODAY(),"今日まで","予定")))))</f>
        <v/>
      </c>
      <c r="K1247" s="22" t="n"/>
      <c r="L1247" s="26" t="n"/>
    </row>
    <row r="1248">
      <c r="A1248" s="11" t="n"/>
      <c r="B1248" s="11" t="n"/>
      <c r="C1248" s="10" t="n"/>
      <c r="D1248" s="11" t="n"/>
      <c r="E1248" s="10" t="n"/>
      <c r="F1248" s="22" t="n"/>
      <c r="G1248" s="24" t="n"/>
      <c r="H1248" s="23" t="n"/>
      <c r="I1248" s="25" t="n"/>
      <c r="J1248" s="10">
        <f>IF(D1248="","",IF(H1248="✓","完了",IF(G1248="","",IF(G1248&lt;TODAY(),"期限超過",IF(G1248=TODAY(),"今日まで","予定")))))</f>
        <v/>
      </c>
      <c r="K1248" s="22" t="n"/>
      <c r="L1248" s="26" t="n"/>
    </row>
    <row r="1249">
      <c r="A1249" s="11" t="n"/>
      <c r="B1249" s="11" t="n"/>
      <c r="C1249" s="10" t="n"/>
      <c r="D1249" s="11" t="n"/>
      <c r="E1249" s="10" t="n"/>
      <c r="F1249" s="22" t="n"/>
      <c r="G1249" s="24" t="n"/>
      <c r="H1249" s="23" t="n"/>
      <c r="I1249" s="25" t="n"/>
      <c r="J1249" s="10">
        <f>IF(D1249="","",IF(H1249="✓","完了",IF(G1249="","",IF(G1249&lt;TODAY(),"期限超過",IF(G1249=TODAY(),"今日まで","予定")))))</f>
        <v/>
      </c>
      <c r="K1249" s="22" t="n"/>
      <c r="L1249" s="26" t="n"/>
    </row>
    <row r="1250">
      <c r="A1250" s="11" t="n"/>
      <c r="B1250" s="11" t="n"/>
      <c r="C1250" s="10" t="n"/>
      <c r="D1250" s="11" t="n"/>
      <c r="E1250" s="10" t="n"/>
      <c r="F1250" s="22" t="n"/>
      <c r="G1250" s="24" t="n"/>
      <c r="H1250" s="23" t="n"/>
      <c r="I1250" s="25" t="n"/>
      <c r="J1250" s="10">
        <f>IF(D1250="","",IF(H1250="✓","完了",IF(G1250="","",IF(G1250&lt;TODAY(),"期限超過",IF(G1250=TODAY(),"今日まで","予定")))))</f>
        <v/>
      </c>
      <c r="K1250" s="22" t="n"/>
      <c r="L1250" s="26" t="n"/>
    </row>
    <row r="1251">
      <c r="A1251" s="11" t="n"/>
      <c r="B1251" s="11" t="n"/>
      <c r="C1251" s="10" t="n"/>
      <c r="D1251" s="11" t="n"/>
      <c r="E1251" s="10" t="n"/>
      <c r="F1251" s="22" t="n"/>
      <c r="G1251" s="24" t="n"/>
      <c r="H1251" s="23" t="n"/>
      <c r="I1251" s="25" t="n"/>
      <c r="J1251" s="10">
        <f>IF(D1251="","",IF(H1251="✓","完了",IF(G1251="","",IF(G1251&lt;TODAY(),"期限超過",IF(G1251=TODAY(),"今日まで","予定")))))</f>
        <v/>
      </c>
      <c r="K1251" s="22" t="n"/>
      <c r="L1251" s="26" t="n"/>
    </row>
    <row r="1252">
      <c r="A1252" s="11" t="n"/>
      <c r="B1252" s="11" t="n"/>
      <c r="C1252" s="10" t="n"/>
      <c r="D1252" s="11" t="n"/>
      <c r="E1252" s="10" t="n"/>
      <c r="F1252" s="22" t="n"/>
      <c r="G1252" s="24" t="n"/>
      <c r="H1252" s="23" t="n"/>
      <c r="I1252" s="25" t="n"/>
      <c r="J1252" s="10">
        <f>IF(D1252="","",IF(H1252="✓","完了",IF(G1252="","",IF(G1252&lt;TODAY(),"期限超過",IF(G1252=TODAY(),"今日まで","予定")))))</f>
        <v/>
      </c>
      <c r="K1252" s="22" t="n"/>
      <c r="L1252" s="26" t="n"/>
    </row>
    <row r="1253">
      <c r="A1253" s="11" t="n"/>
      <c r="B1253" s="11" t="n"/>
      <c r="C1253" s="10" t="n"/>
      <c r="D1253" s="11" t="n"/>
      <c r="E1253" s="10" t="n"/>
      <c r="F1253" s="22" t="n"/>
      <c r="G1253" s="24" t="n"/>
      <c r="H1253" s="23" t="n"/>
      <c r="I1253" s="25" t="n"/>
      <c r="J1253" s="10">
        <f>IF(D1253="","",IF(H1253="✓","完了",IF(G1253="","",IF(G1253&lt;TODAY(),"期限超過",IF(G1253=TODAY(),"今日まで","予定")))))</f>
        <v/>
      </c>
      <c r="K1253" s="22" t="n"/>
      <c r="L1253" s="26" t="n"/>
    </row>
    <row r="1254">
      <c r="A1254" s="11" t="n"/>
      <c r="B1254" s="11" t="n"/>
      <c r="C1254" s="10" t="n"/>
      <c r="D1254" s="11" t="n"/>
      <c r="E1254" s="10" t="n"/>
      <c r="F1254" s="22" t="n"/>
      <c r="G1254" s="24" t="n"/>
      <c r="H1254" s="23" t="n"/>
      <c r="I1254" s="25" t="n"/>
      <c r="J1254" s="10">
        <f>IF(D1254="","",IF(H1254="✓","完了",IF(G1254="","",IF(G1254&lt;TODAY(),"期限超過",IF(G1254=TODAY(),"今日まで","予定")))))</f>
        <v/>
      </c>
      <c r="K1254" s="22" t="n"/>
      <c r="L1254" s="26" t="n"/>
    </row>
    <row r="1255">
      <c r="A1255" s="11" t="n"/>
      <c r="B1255" s="11" t="n"/>
      <c r="C1255" s="10" t="n"/>
      <c r="D1255" s="11" t="n"/>
      <c r="E1255" s="10" t="n"/>
      <c r="F1255" s="22" t="n"/>
      <c r="G1255" s="24" t="n"/>
      <c r="H1255" s="23" t="n"/>
      <c r="I1255" s="25" t="n"/>
      <c r="J1255" s="10">
        <f>IF(D1255="","",IF(H1255="✓","完了",IF(G1255="","",IF(G1255&lt;TODAY(),"期限超過",IF(G1255=TODAY(),"今日まで","予定")))))</f>
        <v/>
      </c>
      <c r="K1255" s="22" t="n"/>
      <c r="L1255" s="26" t="n"/>
    </row>
    <row r="1256">
      <c r="A1256" s="11" t="n"/>
      <c r="B1256" s="11" t="n"/>
      <c r="C1256" s="10" t="n"/>
      <c r="D1256" s="11" t="n"/>
      <c r="E1256" s="10" t="n"/>
      <c r="F1256" s="22" t="n"/>
      <c r="G1256" s="24" t="n"/>
      <c r="H1256" s="23" t="n"/>
      <c r="I1256" s="25" t="n"/>
      <c r="J1256" s="10">
        <f>IF(D1256="","",IF(H1256="✓","完了",IF(G1256="","",IF(G1256&lt;TODAY(),"期限超過",IF(G1256=TODAY(),"今日まで","予定")))))</f>
        <v/>
      </c>
      <c r="K1256" s="22" t="n"/>
      <c r="L1256" s="26" t="n"/>
    </row>
    <row r="1257">
      <c r="A1257" s="11" t="n"/>
      <c r="B1257" s="11" t="n"/>
      <c r="C1257" s="10" t="n"/>
      <c r="D1257" s="11" t="n"/>
      <c r="E1257" s="10" t="n"/>
      <c r="F1257" s="22" t="n"/>
      <c r="G1257" s="24" t="n"/>
      <c r="H1257" s="23" t="n"/>
      <c r="I1257" s="25" t="n"/>
      <c r="J1257" s="10">
        <f>IF(D1257="","",IF(H1257="✓","完了",IF(G1257="","",IF(G1257&lt;TODAY(),"期限超過",IF(G1257=TODAY(),"今日まで","予定")))))</f>
        <v/>
      </c>
      <c r="K1257" s="22" t="n"/>
      <c r="L1257" s="26" t="n"/>
    </row>
    <row r="1258">
      <c r="A1258" s="11" t="n"/>
      <c r="B1258" s="11" t="n"/>
      <c r="C1258" s="10" t="n"/>
      <c r="D1258" s="11" t="n"/>
      <c r="E1258" s="10" t="n"/>
      <c r="F1258" s="22" t="n"/>
      <c r="G1258" s="24" t="n"/>
      <c r="H1258" s="23" t="n"/>
      <c r="I1258" s="25" t="n"/>
      <c r="J1258" s="10">
        <f>IF(D1258="","",IF(H1258="✓","完了",IF(G1258="","",IF(G1258&lt;TODAY(),"期限超過",IF(G1258=TODAY(),"今日まで","予定")))))</f>
        <v/>
      </c>
      <c r="K1258" s="22" t="n"/>
      <c r="L1258" s="26" t="n"/>
    </row>
    <row r="1259">
      <c r="A1259" s="11" t="n"/>
      <c r="B1259" s="11" t="n"/>
      <c r="C1259" s="10" t="n"/>
      <c r="D1259" s="11" t="n"/>
      <c r="E1259" s="10" t="n"/>
      <c r="F1259" s="22" t="n"/>
      <c r="G1259" s="24" t="n"/>
      <c r="H1259" s="23" t="n"/>
      <c r="I1259" s="25" t="n"/>
      <c r="J1259" s="10">
        <f>IF(D1259="","",IF(H1259="✓","完了",IF(G1259="","",IF(G1259&lt;TODAY(),"期限超過",IF(G1259=TODAY(),"今日まで","予定")))))</f>
        <v/>
      </c>
      <c r="K1259" s="22" t="n"/>
      <c r="L1259" s="26" t="n"/>
    </row>
    <row r="1260">
      <c r="A1260" s="11" t="n"/>
      <c r="B1260" s="11" t="n"/>
      <c r="C1260" s="10" t="n"/>
      <c r="D1260" s="11" t="n"/>
      <c r="E1260" s="10" t="n"/>
      <c r="F1260" s="22" t="n"/>
      <c r="G1260" s="24" t="n"/>
      <c r="H1260" s="23" t="n"/>
      <c r="I1260" s="25" t="n"/>
      <c r="J1260" s="10">
        <f>IF(D1260="","",IF(H1260="✓","完了",IF(G1260="","",IF(G1260&lt;TODAY(),"期限超過",IF(G1260=TODAY(),"今日まで","予定")))))</f>
        <v/>
      </c>
      <c r="K1260" s="22" t="n"/>
      <c r="L1260" s="26" t="n"/>
    </row>
    <row r="1261">
      <c r="A1261" s="11" t="n"/>
      <c r="B1261" s="11" t="n"/>
      <c r="C1261" s="10" t="n"/>
      <c r="D1261" s="11" t="n"/>
      <c r="E1261" s="10" t="n"/>
      <c r="F1261" s="22" t="n"/>
      <c r="G1261" s="24" t="n"/>
      <c r="H1261" s="23" t="n"/>
      <c r="I1261" s="25" t="n"/>
      <c r="J1261" s="10">
        <f>IF(D1261="","",IF(H1261="✓","完了",IF(G1261="","",IF(G1261&lt;TODAY(),"期限超過",IF(G1261=TODAY(),"今日まで","予定")))))</f>
        <v/>
      </c>
      <c r="K1261" s="22" t="n"/>
      <c r="L1261" s="26" t="n"/>
    </row>
    <row r="1262">
      <c r="A1262" s="11" t="n"/>
      <c r="B1262" s="11" t="n"/>
      <c r="C1262" s="10" t="n"/>
      <c r="D1262" s="11" t="n"/>
      <c r="E1262" s="10" t="n"/>
      <c r="F1262" s="22" t="n"/>
      <c r="G1262" s="24" t="n"/>
      <c r="H1262" s="23" t="n"/>
      <c r="I1262" s="25" t="n"/>
      <c r="J1262" s="10">
        <f>IF(D1262="","",IF(H1262="✓","完了",IF(G1262="","",IF(G1262&lt;TODAY(),"期限超過",IF(G1262=TODAY(),"今日まで","予定")))))</f>
        <v/>
      </c>
      <c r="K1262" s="22" t="n"/>
      <c r="L1262" s="26" t="n"/>
    </row>
    <row r="1263">
      <c r="A1263" s="11" t="n"/>
      <c r="B1263" s="11" t="n"/>
      <c r="C1263" s="10" t="n"/>
      <c r="D1263" s="11" t="n"/>
      <c r="E1263" s="10" t="n"/>
      <c r="F1263" s="22" t="n"/>
      <c r="G1263" s="24" t="n"/>
      <c r="H1263" s="23" t="n"/>
      <c r="I1263" s="25" t="n"/>
      <c r="J1263" s="10">
        <f>IF(D1263="","",IF(H1263="✓","完了",IF(G1263="","",IF(G1263&lt;TODAY(),"期限超過",IF(G1263=TODAY(),"今日まで","予定")))))</f>
        <v/>
      </c>
      <c r="K1263" s="22" t="n"/>
      <c r="L1263" s="26" t="n"/>
    </row>
    <row r="1264">
      <c r="A1264" s="11" t="n"/>
      <c r="B1264" s="11" t="n"/>
      <c r="C1264" s="10" t="n"/>
      <c r="D1264" s="11" t="n"/>
      <c r="E1264" s="10" t="n"/>
      <c r="F1264" s="22" t="n"/>
      <c r="G1264" s="24" t="n"/>
      <c r="H1264" s="23" t="n"/>
      <c r="I1264" s="25" t="n"/>
      <c r="J1264" s="10">
        <f>IF(D1264="","",IF(H1264="✓","完了",IF(G1264="","",IF(G1264&lt;TODAY(),"期限超過",IF(G1264=TODAY(),"今日まで","予定")))))</f>
        <v/>
      </c>
      <c r="K1264" s="22" t="n"/>
      <c r="L1264" s="26" t="n"/>
    </row>
    <row r="1265">
      <c r="A1265" s="11" t="n"/>
      <c r="B1265" s="11" t="n"/>
      <c r="C1265" s="10" t="n"/>
      <c r="D1265" s="11" t="n"/>
      <c r="E1265" s="10" t="n"/>
      <c r="F1265" s="22" t="n"/>
      <c r="G1265" s="24" t="n"/>
      <c r="H1265" s="23" t="n"/>
      <c r="I1265" s="25" t="n"/>
      <c r="J1265" s="10">
        <f>IF(D1265="","",IF(H1265="✓","完了",IF(G1265="","",IF(G1265&lt;TODAY(),"期限超過",IF(G1265=TODAY(),"今日まで","予定")))))</f>
        <v/>
      </c>
      <c r="K1265" s="22" t="n"/>
      <c r="L1265" s="26" t="n"/>
    </row>
    <row r="1266">
      <c r="A1266" s="11" t="n"/>
      <c r="B1266" s="11" t="n"/>
      <c r="C1266" s="10" t="n"/>
      <c r="D1266" s="11" t="n"/>
      <c r="E1266" s="10" t="n"/>
      <c r="F1266" s="22" t="n"/>
      <c r="G1266" s="24" t="n"/>
      <c r="H1266" s="23" t="n"/>
      <c r="I1266" s="25" t="n"/>
      <c r="J1266" s="10">
        <f>IF(D1266="","",IF(H1266="✓","完了",IF(G1266="","",IF(G1266&lt;TODAY(),"期限超過",IF(G1266=TODAY(),"今日まで","予定")))))</f>
        <v/>
      </c>
      <c r="K1266" s="22" t="n"/>
      <c r="L1266" s="26" t="n"/>
    </row>
    <row r="1267">
      <c r="A1267" s="11" t="n"/>
      <c r="B1267" s="11" t="n"/>
      <c r="C1267" s="10" t="n"/>
      <c r="D1267" s="11" t="n"/>
      <c r="E1267" s="10" t="n"/>
      <c r="F1267" s="22" t="n"/>
      <c r="G1267" s="24" t="n"/>
      <c r="H1267" s="23" t="n"/>
      <c r="I1267" s="25" t="n"/>
      <c r="J1267" s="10">
        <f>IF(D1267="","",IF(H1267="✓","完了",IF(G1267="","",IF(G1267&lt;TODAY(),"期限超過",IF(G1267=TODAY(),"今日まで","予定")))))</f>
        <v/>
      </c>
      <c r="K1267" s="22" t="n"/>
      <c r="L1267" s="26" t="n"/>
    </row>
    <row r="1268">
      <c r="A1268" s="11" t="n"/>
      <c r="B1268" s="11" t="n"/>
      <c r="C1268" s="10" t="n"/>
      <c r="D1268" s="11" t="n"/>
      <c r="E1268" s="10" t="n"/>
      <c r="F1268" s="22" t="n"/>
      <c r="G1268" s="24" t="n"/>
      <c r="H1268" s="23" t="n"/>
      <c r="I1268" s="25" t="n"/>
      <c r="J1268" s="10">
        <f>IF(D1268="","",IF(H1268="✓","完了",IF(G1268="","",IF(G1268&lt;TODAY(),"期限超過",IF(G1268=TODAY(),"今日まで","予定")))))</f>
        <v/>
      </c>
      <c r="K1268" s="22" t="n"/>
      <c r="L1268" s="26" t="n"/>
    </row>
    <row r="1269">
      <c r="A1269" s="11" t="n"/>
      <c r="B1269" s="11" t="n"/>
      <c r="C1269" s="10" t="n"/>
      <c r="D1269" s="11" t="n"/>
      <c r="E1269" s="10" t="n"/>
      <c r="F1269" s="22" t="n"/>
      <c r="G1269" s="24" t="n"/>
      <c r="H1269" s="23" t="n"/>
      <c r="I1269" s="25" t="n"/>
      <c r="J1269" s="10">
        <f>IF(D1269="","",IF(H1269="✓","完了",IF(G1269="","",IF(G1269&lt;TODAY(),"期限超過",IF(G1269=TODAY(),"今日まで","予定")))))</f>
        <v/>
      </c>
      <c r="K1269" s="22" t="n"/>
      <c r="L1269" s="26" t="n"/>
    </row>
    <row r="1270">
      <c r="A1270" s="11" t="n"/>
      <c r="B1270" s="11" t="n"/>
      <c r="C1270" s="10" t="n"/>
      <c r="D1270" s="11" t="n"/>
      <c r="E1270" s="10" t="n"/>
      <c r="F1270" s="22" t="n"/>
      <c r="G1270" s="24" t="n"/>
      <c r="H1270" s="23" t="n"/>
      <c r="I1270" s="25" t="n"/>
      <c r="J1270" s="10">
        <f>IF(D1270="","",IF(H1270="✓","完了",IF(G1270="","",IF(G1270&lt;TODAY(),"期限超過",IF(G1270=TODAY(),"今日まで","予定")))))</f>
        <v/>
      </c>
      <c r="K1270" s="22" t="n"/>
      <c r="L1270" s="26" t="n"/>
    </row>
    <row r="1271">
      <c r="A1271" s="11" t="n"/>
      <c r="B1271" s="11" t="n"/>
      <c r="C1271" s="10" t="n"/>
      <c r="D1271" s="11" t="n"/>
      <c r="E1271" s="10" t="n"/>
      <c r="F1271" s="22" t="n"/>
      <c r="G1271" s="24" t="n"/>
      <c r="H1271" s="23" t="n"/>
      <c r="I1271" s="25" t="n"/>
      <c r="J1271" s="10">
        <f>IF(D1271="","",IF(H1271="✓","完了",IF(G1271="","",IF(G1271&lt;TODAY(),"期限超過",IF(G1271=TODAY(),"今日まで","予定")))))</f>
        <v/>
      </c>
      <c r="K1271" s="22" t="n"/>
      <c r="L1271" s="26" t="n"/>
    </row>
    <row r="1272">
      <c r="A1272" s="11" t="n"/>
      <c r="B1272" s="11" t="n"/>
      <c r="C1272" s="10" t="n"/>
      <c r="D1272" s="11" t="n"/>
      <c r="E1272" s="10" t="n"/>
      <c r="F1272" s="22" t="n"/>
      <c r="G1272" s="24" t="n"/>
      <c r="H1272" s="23" t="n"/>
      <c r="I1272" s="25" t="n"/>
      <c r="J1272" s="10">
        <f>IF(D1272="","",IF(H1272="✓","完了",IF(G1272="","",IF(G1272&lt;TODAY(),"期限超過",IF(G1272=TODAY(),"今日まで","予定")))))</f>
        <v/>
      </c>
      <c r="K1272" s="22" t="n"/>
      <c r="L1272" s="26" t="n"/>
    </row>
    <row r="1273">
      <c r="A1273" s="11" t="n"/>
      <c r="B1273" s="11" t="n"/>
      <c r="C1273" s="10" t="n"/>
      <c r="D1273" s="11" t="n"/>
      <c r="E1273" s="10" t="n"/>
      <c r="F1273" s="22" t="n"/>
      <c r="G1273" s="24" t="n"/>
      <c r="H1273" s="23" t="n"/>
      <c r="I1273" s="25" t="n"/>
      <c r="J1273" s="10">
        <f>IF(D1273="","",IF(H1273="✓","完了",IF(G1273="","",IF(G1273&lt;TODAY(),"期限超過",IF(G1273=TODAY(),"今日まで","予定")))))</f>
        <v/>
      </c>
      <c r="K1273" s="22" t="n"/>
      <c r="L1273" s="26" t="n"/>
    </row>
    <row r="1274">
      <c r="A1274" s="11" t="n"/>
      <c r="B1274" s="11" t="n"/>
      <c r="C1274" s="10" t="n"/>
      <c r="D1274" s="11" t="n"/>
      <c r="E1274" s="10" t="n"/>
      <c r="F1274" s="22" t="n"/>
      <c r="G1274" s="24" t="n"/>
      <c r="H1274" s="23" t="n"/>
      <c r="I1274" s="25" t="n"/>
      <c r="J1274" s="10">
        <f>IF(D1274="","",IF(H1274="✓","完了",IF(G1274="","",IF(G1274&lt;TODAY(),"期限超過",IF(G1274=TODAY(),"今日まで","予定")))))</f>
        <v/>
      </c>
      <c r="K1274" s="22" t="n"/>
      <c r="L1274" s="26" t="n"/>
    </row>
    <row r="1275">
      <c r="A1275" s="11" t="n"/>
      <c r="B1275" s="11" t="n"/>
      <c r="C1275" s="10" t="n"/>
      <c r="D1275" s="11" t="n"/>
      <c r="E1275" s="10" t="n"/>
      <c r="F1275" s="22" t="n"/>
      <c r="G1275" s="24" t="n"/>
      <c r="H1275" s="23" t="n"/>
      <c r="I1275" s="25" t="n"/>
      <c r="J1275" s="10">
        <f>IF(D1275="","",IF(H1275="✓","完了",IF(G1275="","",IF(G1275&lt;TODAY(),"期限超過",IF(G1275=TODAY(),"今日まで","予定")))))</f>
        <v/>
      </c>
      <c r="K1275" s="22" t="n"/>
      <c r="L1275" s="26" t="n"/>
    </row>
    <row r="1276">
      <c r="A1276" s="11" t="n"/>
      <c r="B1276" s="11" t="n"/>
      <c r="C1276" s="10" t="n"/>
      <c r="D1276" s="11" t="n"/>
      <c r="E1276" s="10" t="n"/>
      <c r="F1276" s="22" t="n"/>
      <c r="G1276" s="24" t="n"/>
      <c r="H1276" s="23" t="n"/>
      <c r="I1276" s="25" t="n"/>
      <c r="J1276" s="10">
        <f>IF(D1276="","",IF(H1276="✓","完了",IF(G1276="","",IF(G1276&lt;TODAY(),"期限超過",IF(G1276=TODAY(),"今日まで","予定")))))</f>
        <v/>
      </c>
      <c r="K1276" s="22" t="n"/>
      <c r="L1276" s="26" t="n"/>
    </row>
    <row r="1277">
      <c r="A1277" s="11" t="n"/>
      <c r="B1277" s="11" t="n"/>
      <c r="C1277" s="10" t="n"/>
      <c r="D1277" s="11" t="n"/>
      <c r="E1277" s="10" t="n"/>
      <c r="F1277" s="22" t="n"/>
      <c r="G1277" s="24" t="n"/>
      <c r="H1277" s="23" t="n"/>
      <c r="I1277" s="25" t="n"/>
      <c r="J1277" s="10">
        <f>IF(D1277="","",IF(H1277="✓","完了",IF(G1277="","",IF(G1277&lt;TODAY(),"期限超過",IF(G1277=TODAY(),"今日まで","予定")))))</f>
        <v/>
      </c>
      <c r="K1277" s="22" t="n"/>
      <c r="L1277" s="26" t="n"/>
    </row>
    <row r="1278">
      <c r="A1278" s="11" t="n"/>
      <c r="B1278" s="11" t="n"/>
      <c r="C1278" s="10" t="n"/>
      <c r="D1278" s="11" t="n"/>
      <c r="E1278" s="10" t="n"/>
      <c r="F1278" s="22" t="n"/>
      <c r="G1278" s="24" t="n"/>
      <c r="H1278" s="23" t="n"/>
      <c r="I1278" s="25" t="n"/>
      <c r="J1278" s="10">
        <f>IF(D1278="","",IF(H1278="✓","完了",IF(G1278="","",IF(G1278&lt;TODAY(),"期限超過",IF(G1278=TODAY(),"今日まで","予定")))))</f>
        <v/>
      </c>
      <c r="K1278" s="22" t="n"/>
      <c r="L1278" s="26" t="n"/>
    </row>
    <row r="1279">
      <c r="A1279" s="11" t="n"/>
      <c r="B1279" s="11" t="n"/>
      <c r="C1279" s="10" t="n"/>
      <c r="D1279" s="11" t="n"/>
      <c r="E1279" s="10" t="n"/>
      <c r="F1279" s="22" t="n"/>
      <c r="G1279" s="24" t="n"/>
      <c r="H1279" s="23" t="n"/>
      <c r="I1279" s="25" t="n"/>
      <c r="J1279" s="10">
        <f>IF(D1279="","",IF(H1279="✓","完了",IF(G1279="","",IF(G1279&lt;TODAY(),"期限超過",IF(G1279=TODAY(),"今日まで","予定")))))</f>
        <v/>
      </c>
      <c r="K1279" s="22" t="n"/>
      <c r="L1279" s="26" t="n"/>
    </row>
    <row r="1280">
      <c r="A1280" s="11" t="n"/>
      <c r="B1280" s="11" t="n"/>
      <c r="C1280" s="10" t="n"/>
      <c r="D1280" s="11" t="n"/>
      <c r="E1280" s="10" t="n"/>
      <c r="F1280" s="22" t="n"/>
      <c r="G1280" s="24" t="n"/>
      <c r="H1280" s="23" t="n"/>
      <c r="I1280" s="25" t="n"/>
      <c r="J1280" s="10">
        <f>IF(D1280="","",IF(H1280="✓","完了",IF(G1280="","",IF(G1280&lt;TODAY(),"期限超過",IF(G1280=TODAY(),"今日まで","予定")))))</f>
        <v/>
      </c>
      <c r="K1280" s="22" t="n"/>
      <c r="L1280" s="26" t="n"/>
    </row>
    <row r="1281">
      <c r="A1281" s="11" t="n"/>
      <c r="B1281" s="11" t="n"/>
      <c r="C1281" s="10" t="n"/>
      <c r="D1281" s="11" t="n"/>
      <c r="E1281" s="10" t="n"/>
      <c r="F1281" s="22" t="n"/>
      <c r="G1281" s="24" t="n"/>
      <c r="H1281" s="23" t="n"/>
      <c r="I1281" s="25" t="n"/>
      <c r="J1281" s="10">
        <f>IF(D1281="","",IF(H1281="✓","完了",IF(G1281="","",IF(G1281&lt;TODAY(),"期限超過",IF(G1281=TODAY(),"今日まで","予定")))))</f>
        <v/>
      </c>
      <c r="K1281" s="22" t="n"/>
      <c r="L1281" s="26" t="n"/>
    </row>
    <row r="1282">
      <c r="A1282" s="11" t="n"/>
      <c r="B1282" s="11" t="n"/>
      <c r="C1282" s="10" t="n"/>
      <c r="D1282" s="11" t="n"/>
      <c r="E1282" s="10" t="n"/>
      <c r="F1282" s="22" t="n"/>
      <c r="G1282" s="24" t="n"/>
      <c r="H1282" s="23" t="n"/>
      <c r="I1282" s="25" t="n"/>
      <c r="J1282" s="10">
        <f>IF(D1282="","",IF(H1282="✓","完了",IF(G1282="","",IF(G1282&lt;TODAY(),"期限超過",IF(G1282=TODAY(),"今日まで","予定")))))</f>
        <v/>
      </c>
      <c r="K1282" s="22" t="n"/>
      <c r="L1282" s="26" t="n"/>
    </row>
    <row r="1283">
      <c r="A1283" s="11" t="n"/>
      <c r="B1283" s="11" t="n"/>
      <c r="C1283" s="10" t="n"/>
      <c r="D1283" s="11" t="n"/>
      <c r="E1283" s="10" t="n"/>
      <c r="F1283" s="22" t="n"/>
      <c r="G1283" s="24" t="n"/>
      <c r="H1283" s="23" t="n"/>
      <c r="I1283" s="25" t="n"/>
      <c r="J1283" s="10">
        <f>IF(D1283="","",IF(H1283="✓","完了",IF(G1283="","",IF(G1283&lt;TODAY(),"期限超過",IF(G1283=TODAY(),"今日まで","予定")))))</f>
        <v/>
      </c>
      <c r="K1283" s="22" t="n"/>
      <c r="L1283" s="26" t="n"/>
    </row>
    <row r="1284">
      <c r="A1284" s="11" t="n"/>
      <c r="B1284" s="11" t="n"/>
      <c r="C1284" s="10" t="n"/>
      <c r="D1284" s="11" t="n"/>
      <c r="E1284" s="10" t="n"/>
      <c r="F1284" s="22" t="n"/>
      <c r="G1284" s="24" t="n"/>
      <c r="H1284" s="23" t="n"/>
      <c r="I1284" s="25" t="n"/>
      <c r="J1284" s="10">
        <f>IF(D1284="","",IF(H1284="✓","完了",IF(G1284="","",IF(G1284&lt;TODAY(),"期限超過",IF(G1284=TODAY(),"今日まで","予定")))))</f>
        <v/>
      </c>
      <c r="K1284" s="22" t="n"/>
      <c r="L1284" s="26" t="n"/>
    </row>
    <row r="1285">
      <c r="A1285" s="11" t="n"/>
      <c r="B1285" s="11" t="n"/>
      <c r="C1285" s="10" t="n"/>
      <c r="D1285" s="11" t="n"/>
      <c r="E1285" s="10" t="n"/>
      <c r="F1285" s="22" t="n"/>
      <c r="G1285" s="24" t="n"/>
      <c r="H1285" s="23" t="n"/>
      <c r="I1285" s="25" t="n"/>
      <c r="J1285" s="10">
        <f>IF(D1285="","",IF(H1285="✓","完了",IF(G1285="","",IF(G1285&lt;TODAY(),"期限超過",IF(G1285=TODAY(),"今日まで","予定")))))</f>
        <v/>
      </c>
      <c r="K1285" s="22" t="n"/>
      <c r="L1285" s="26" t="n"/>
    </row>
    <row r="1286">
      <c r="A1286" s="11" t="n"/>
      <c r="B1286" s="11" t="n"/>
      <c r="C1286" s="10" t="n"/>
      <c r="D1286" s="11" t="n"/>
      <c r="E1286" s="10" t="n"/>
      <c r="F1286" s="22" t="n"/>
      <c r="G1286" s="24" t="n"/>
      <c r="H1286" s="23" t="n"/>
      <c r="I1286" s="25" t="n"/>
      <c r="J1286" s="10">
        <f>IF(D1286="","",IF(H1286="✓","完了",IF(G1286="","",IF(G1286&lt;TODAY(),"期限超過",IF(G1286=TODAY(),"今日まで","予定")))))</f>
        <v/>
      </c>
      <c r="K1286" s="22" t="n"/>
      <c r="L1286" s="26" t="n"/>
    </row>
    <row r="1287">
      <c r="A1287" s="11" t="n"/>
      <c r="B1287" s="11" t="n"/>
      <c r="C1287" s="10" t="n"/>
      <c r="D1287" s="11" t="n"/>
      <c r="E1287" s="10" t="n"/>
      <c r="F1287" s="22" t="n"/>
      <c r="G1287" s="24" t="n"/>
      <c r="H1287" s="23" t="n"/>
      <c r="I1287" s="25" t="n"/>
      <c r="J1287" s="10">
        <f>IF(D1287="","",IF(H1287="✓","完了",IF(G1287="","",IF(G1287&lt;TODAY(),"期限超過",IF(G1287=TODAY(),"今日まで","予定")))))</f>
        <v/>
      </c>
      <c r="K1287" s="22" t="n"/>
      <c r="L1287" s="26" t="n"/>
    </row>
    <row r="1288">
      <c r="A1288" s="11" t="n"/>
      <c r="B1288" s="11" t="n"/>
      <c r="C1288" s="10" t="n"/>
      <c r="D1288" s="11" t="n"/>
      <c r="E1288" s="10" t="n"/>
      <c r="F1288" s="22" t="n"/>
      <c r="G1288" s="24" t="n"/>
      <c r="H1288" s="23" t="n"/>
      <c r="I1288" s="25" t="n"/>
      <c r="J1288" s="10">
        <f>IF(D1288="","",IF(H1288="✓","完了",IF(G1288="","",IF(G1288&lt;TODAY(),"期限超過",IF(G1288=TODAY(),"今日まで","予定")))))</f>
        <v/>
      </c>
      <c r="K1288" s="22" t="n"/>
      <c r="L1288" s="26" t="n"/>
    </row>
    <row r="1289">
      <c r="A1289" s="11" t="n"/>
      <c r="B1289" s="11" t="n"/>
      <c r="C1289" s="10" t="n"/>
      <c r="D1289" s="11" t="n"/>
      <c r="E1289" s="10" t="n"/>
      <c r="F1289" s="22" t="n"/>
      <c r="G1289" s="24" t="n"/>
      <c r="H1289" s="23" t="n"/>
      <c r="I1289" s="25" t="n"/>
      <c r="J1289" s="10">
        <f>IF(D1289="","",IF(H1289="✓","完了",IF(G1289="","",IF(G1289&lt;TODAY(),"期限超過",IF(G1289=TODAY(),"今日まで","予定")))))</f>
        <v/>
      </c>
      <c r="K1289" s="22" t="n"/>
      <c r="L1289" s="26" t="n"/>
    </row>
    <row r="1290">
      <c r="A1290" s="11" t="n"/>
      <c r="B1290" s="11" t="n"/>
      <c r="C1290" s="10" t="n"/>
      <c r="D1290" s="11" t="n"/>
      <c r="E1290" s="10" t="n"/>
      <c r="F1290" s="22" t="n"/>
      <c r="G1290" s="24" t="n"/>
      <c r="H1290" s="23" t="n"/>
      <c r="I1290" s="25" t="n"/>
      <c r="J1290" s="10">
        <f>IF(D1290="","",IF(H1290="✓","完了",IF(G1290="","",IF(G1290&lt;TODAY(),"期限超過",IF(G1290=TODAY(),"今日まで","予定")))))</f>
        <v/>
      </c>
      <c r="K1290" s="22" t="n"/>
      <c r="L1290" s="26" t="n"/>
    </row>
    <row r="1291">
      <c r="A1291" s="11" t="n"/>
      <c r="B1291" s="11" t="n"/>
      <c r="C1291" s="10" t="n"/>
      <c r="D1291" s="11" t="n"/>
      <c r="E1291" s="10" t="n"/>
      <c r="F1291" s="22" t="n"/>
      <c r="G1291" s="24" t="n"/>
      <c r="H1291" s="23" t="n"/>
      <c r="I1291" s="25" t="n"/>
      <c r="J1291" s="10">
        <f>IF(D1291="","",IF(H1291="✓","完了",IF(G1291="","",IF(G1291&lt;TODAY(),"期限超過",IF(G1291=TODAY(),"今日まで","予定")))))</f>
        <v/>
      </c>
      <c r="K1291" s="22" t="n"/>
      <c r="L1291" s="26" t="n"/>
    </row>
    <row r="1292">
      <c r="A1292" s="11" t="n"/>
      <c r="B1292" s="11" t="n"/>
      <c r="C1292" s="10" t="n"/>
      <c r="D1292" s="11" t="n"/>
      <c r="E1292" s="10" t="n"/>
      <c r="F1292" s="22" t="n"/>
      <c r="G1292" s="24" t="n"/>
      <c r="H1292" s="23" t="n"/>
      <c r="I1292" s="25" t="n"/>
      <c r="J1292" s="10">
        <f>IF(D1292="","",IF(H1292="✓","完了",IF(G1292="","",IF(G1292&lt;TODAY(),"期限超過",IF(G1292=TODAY(),"今日まで","予定")))))</f>
        <v/>
      </c>
      <c r="K1292" s="22" t="n"/>
      <c r="L1292" s="26" t="n"/>
    </row>
    <row r="1293">
      <c r="A1293" s="11" t="n"/>
      <c r="B1293" s="11" t="n"/>
      <c r="C1293" s="10" t="n"/>
      <c r="D1293" s="11" t="n"/>
      <c r="E1293" s="10" t="n"/>
      <c r="F1293" s="22" t="n"/>
      <c r="G1293" s="24" t="n"/>
      <c r="H1293" s="23" t="n"/>
      <c r="I1293" s="25" t="n"/>
      <c r="J1293" s="10">
        <f>IF(D1293="","",IF(H1293="✓","完了",IF(G1293="","",IF(G1293&lt;TODAY(),"期限超過",IF(G1293=TODAY(),"今日まで","予定")))))</f>
        <v/>
      </c>
      <c r="K1293" s="22" t="n"/>
      <c r="L1293" s="26" t="n"/>
    </row>
    <row r="1294">
      <c r="A1294" s="11" t="n"/>
      <c r="B1294" s="11" t="n"/>
      <c r="C1294" s="10" t="n"/>
      <c r="D1294" s="11" t="n"/>
      <c r="E1294" s="10" t="n"/>
      <c r="F1294" s="22" t="n"/>
      <c r="G1294" s="24" t="n"/>
      <c r="H1294" s="23" t="n"/>
      <c r="I1294" s="25" t="n"/>
      <c r="J1294" s="10">
        <f>IF(D1294="","",IF(H1294="✓","完了",IF(G1294="","",IF(G1294&lt;TODAY(),"期限超過",IF(G1294=TODAY(),"今日まで","予定")))))</f>
        <v/>
      </c>
      <c r="K1294" s="22" t="n"/>
      <c r="L1294" s="26" t="n"/>
    </row>
    <row r="1295">
      <c r="A1295" s="11" t="n"/>
      <c r="B1295" s="11" t="n"/>
      <c r="C1295" s="10" t="n"/>
      <c r="D1295" s="11" t="n"/>
      <c r="E1295" s="10" t="n"/>
      <c r="F1295" s="22" t="n"/>
      <c r="G1295" s="24" t="n"/>
      <c r="H1295" s="23" t="n"/>
      <c r="I1295" s="25" t="n"/>
      <c r="J1295" s="10">
        <f>IF(D1295="","",IF(H1295="✓","完了",IF(G1295="","",IF(G1295&lt;TODAY(),"期限超過",IF(G1295=TODAY(),"今日まで","予定")))))</f>
        <v/>
      </c>
      <c r="K1295" s="22" t="n"/>
      <c r="L1295" s="26" t="n"/>
    </row>
    <row r="1296">
      <c r="A1296" s="11" t="n"/>
      <c r="B1296" s="11" t="n"/>
      <c r="C1296" s="10" t="n"/>
      <c r="D1296" s="11" t="n"/>
      <c r="E1296" s="10" t="n"/>
      <c r="F1296" s="22" t="n"/>
      <c r="G1296" s="24" t="n"/>
      <c r="H1296" s="23" t="n"/>
      <c r="I1296" s="25" t="n"/>
      <c r="J1296" s="10">
        <f>IF(D1296="","",IF(H1296="✓","完了",IF(G1296="","",IF(G1296&lt;TODAY(),"期限超過",IF(G1296=TODAY(),"今日まで","予定")))))</f>
        <v/>
      </c>
      <c r="K1296" s="22" t="n"/>
      <c r="L1296" s="26" t="n"/>
    </row>
    <row r="1297">
      <c r="A1297" s="11" t="n"/>
      <c r="B1297" s="11" t="n"/>
      <c r="C1297" s="10" t="n"/>
      <c r="D1297" s="11" t="n"/>
      <c r="E1297" s="10" t="n"/>
      <c r="F1297" s="22" t="n"/>
      <c r="G1297" s="24" t="n"/>
      <c r="H1297" s="23" t="n"/>
      <c r="I1297" s="25" t="n"/>
      <c r="J1297" s="10">
        <f>IF(D1297="","",IF(H1297="✓","完了",IF(G1297="","",IF(G1297&lt;TODAY(),"期限超過",IF(G1297=TODAY(),"今日まで","予定")))))</f>
        <v/>
      </c>
      <c r="K1297" s="22" t="n"/>
      <c r="L1297" s="26" t="n"/>
    </row>
    <row r="1298">
      <c r="A1298" s="11" t="n"/>
      <c r="B1298" s="11" t="n"/>
      <c r="C1298" s="10" t="n"/>
      <c r="D1298" s="11" t="n"/>
      <c r="E1298" s="10" t="n"/>
      <c r="F1298" s="22" t="n"/>
      <c r="G1298" s="24" t="n"/>
      <c r="H1298" s="23" t="n"/>
      <c r="I1298" s="25" t="n"/>
      <c r="J1298" s="10">
        <f>IF(D1298="","",IF(H1298="✓","完了",IF(G1298="","",IF(G1298&lt;TODAY(),"期限超過",IF(G1298=TODAY(),"今日まで","予定")))))</f>
        <v/>
      </c>
      <c r="K1298" s="22" t="n"/>
      <c r="L1298" s="26" t="n"/>
    </row>
    <row r="1299">
      <c r="A1299" s="11" t="n"/>
      <c r="B1299" s="11" t="n"/>
      <c r="C1299" s="10" t="n"/>
      <c r="D1299" s="11" t="n"/>
      <c r="E1299" s="10" t="n"/>
      <c r="F1299" s="22" t="n"/>
      <c r="G1299" s="24" t="n"/>
      <c r="H1299" s="23" t="n"/>
      <c r="I1299" s="25" t="n"/>
      <c r="J1299" s="10">
        <f>IF(D1299="","",IF(H1299="✓","完了",IF(G1299="","",IF(G1299&lt;TODAY(),"期限超過",IF(G1299=TODAY(),"今日まで","予定")))))</f>
        <v/>
      </c>
      <c r="K1299" s="22" t="n"/>
      <c r="L1299" s="26" t="n"/>
    </row>
    <row r="1300">
      <c r="A1300" s="11" t="n"/>
      <c r="B1300" s="11" t="n"/>
      <c r="C1300" s="10" t="n"/>
      <c r="D1300" s="11" t="n"/>
      <c r="E1300" s="10" t="n"/>
      <c r="F1300" s="22" t="n"/>
      <c r="G1300" s="24" t="n"/>
      <c r="H1300" s="23" t="n"/>
      <c r="I1300" s="25" t="n"/>
      <c r="J1300" s="10">
        <f>IF(D1300="","",IF(H1300="✓","完了",IF(G1300="","",IF(G1300&lt;TODAY(),"期限超過",IF(G1300=TODAY(),"今日まで","予定")))))</f>
        <v/>
      </c>
      <c r="K1300" s="22" t="n"/>
      <c r="L1300" s="26" t="n"/>
    </row>
    <row r="1301">
      <c r="A1301" s="11" t="n"/>
      <c r="B1301" s="11" t="n"/>
      <c r="C1301" s="10" t="n"/>
      <c r="D1301" s="11" t="n"/>
      <c r="E1301" s="10" t="n"/>
      <c r="F1301" s="22" t="n"/>
      <c r="G1301" s="24" t="n"/>
      <c r="H1301" s="23" t="n"/>
      <c r="I1301" s="25" t="n"/>
      <c r="J1301" s="10">
        <f>IF(D1301="","",IF(H1301="✓","完了",IF(G1301="","",IF(G1301&lt;TODAY(),"期限超過",IF(G1301=TODAY(),"今日まで","予定")))))</f>
        <v/>
      </c>
      <c r="K1301" s="22" t="n"/>
      <c r="L1301" s="26" t="n"/>
    </row>
    <row r="1302">
      <c r="A1302" s="11" t="n"/>
      <c r="B1302" s="11" t="n"/>
      <c r="C1302" s="10" t="n"/>
      <c r="D1302" s="11" t="n"/>
      <c r="E1302" s="10" t="n"/>
      <c r="F1302" s="22" t="n"/>
      <c r="G1302" s="24" t="n"/>
      <c r="H1302" s="23" t="n"/>
      <c r="I1302" s="25" t="n"/>
      <c r="J1302" s="10">
        <f>IF(D1302="","",IF(H1302="✓","完了",IF(G1302="","",IF(G1302&lt;TODAY(),"期限超過",IF(G1302=TODAY(),"今日まで","予定")))))</f>
        <v/>
      </c>
      <c r="K1302" s="22" t="n"/>
      <c r="L1302" s="26" t="n"/>
    </row>
    <row r="1303">
      <c r="A1303" s="11" t="n"/>
      <c r="B1303" s="11" t="n"/>
      <c r="C1303" s="10" t="n"/>
      <c r="D1303" s="11" t="n"/>
      <c r="E1303" s="10" t="n"/>
      <c r="F1303" s="22" t="n"/>
      <c r="G1303" s="24" t="n"/>
      <c r="H1303" s="23" t="n"/>
      <c r="I1303" s="25" t="n"/>
      <c r="J1303" s="10">
        <f>IF(D1303="","",IF(H1303="✓","完了",IF(G1303="","",IF(G1303&lt;TODAY(),"期限超過",IF(G1303=TODAY(),"今日まで","予定")))))</f>
        <v/>
      </c>
      <c r="K1303" s="22" t="n"/>
      <c r="L1303" s="26" t="n"/>
    </row>
    <row r="1304">
      <c r="A1304" s="11" t="n"/>
      <c r="B1304" s="11" t="n"/>
      <c r="C1304" s="10" t="n"/>
      <c r="D1304" s="11" t="n"/>
      <c r="E1304" s="10" t="n"/>
      <c r="F1304" s="22" t="n"/>
      <c r="G1304" s="24" t="n"/>
      <c r="H1304" s="23" t="n"/>
      <c r="I1304" s="25" t="n"/>
      <c r="J1304" s="10">
        <f>IF(D1304="","",IF(H1304="✓","完了",IF(G1304="","",IF(G1304&lt;TODAY(),"期限超過",IF(G1304=TODAY(),"今日まで","予定")))))</f>
        <v/>
      </c>
      <c r="K1304" s="22" t="n"/>
      <c r="L1304" s="26" t="n"/>
    </row>
    <row r="1305">
      <c r="A1305" s="11" t="n"/>
      <c r="B1305" s="11" t="n"/>
      <c r="C1305" s="10" t="n"/>
      <c r="D1305" s="11" t="n"/>
      <c r="E1305" s="10" t="n"/>
      <c r="F1305" s="22" t="n"/>
      <c r="G1305" s="24" t="n"/>
      <c r="H1305" s="23" t="n"/>
      <c r="I1305" s="25" t="n"/>
      <c r="J1305" s="10">
        <f>IF(D1305="","",IF(H1305="✓","完了",IF(G1305="","",IF(G1305&lt;TODAY(),"期限超過",IF(G1305=TODAY(),"今日まで","予定")))))</f>
        <v/>
      </c>
      <c r="K1305" s="22" t="n"/>
      <c r="L1305" s="26" t="n"/>
    </row>
    <row r="1306">
      <c r="A1306" s="11" t="n"/>
      <c r="B1306" s="11" t="n"/>
      <c r="C1306" s="10" t="n"/>
      <c r="D1306" s="11" t="n"/>
      <c r="E1306" s="10" t="n"/>
      <c r="F1306" s="22" t="n"/>
      <c r="G1306" s="24" t="n"/>
      <c r="H1306" s="23" t="n"/>
      <c r="I1306" s="25" t="n"/>
      <c r="J1306" s="10">
        <f>IF(D1306="","",IF(H1306="✓","完了",IF(G1306="","",IF(G1306&lt;TODAY(),"期限超過",IF(G1306=TODAY(),"今日まで","予定")))))</f>
        <v/>
      </c>
      <c r="K1306" s="22" t="n"/>
      <c r="L1306" s="26" t="n"/>
    </row>
    <row r="1307">
      <c r="A1307" s="11" t="n"/>
      <c r="B1307" s="11" t="n"/>
      <c r="C1307" s="10" t="n"/>
      <c r="D1307" s="11" t="n"/>
      <c r="E1307" s="10" t="n"/>
      <c r="F1307" s="22" t="n"/>
      <c r="G1307" s="24" t="n"/>
      <c r="H1307" s="23" t="n"/>
      <c r="I1307" s="25" t="n"/>
      <c r="J1307" s="10">
        <f>IF(D1307="","",IF(H1307="✓","完了",IF(G1307="","",IF(G1307&lt;TODAY(),"期限超過",IF(G1307=TODAY(),"今日まで","予定")))))</f>
        <v/>
      </c>
      <c r="K1307" s="22" t="n"/>
      <c r="L1307" s="26" t="n"/>
    </row>
    <row r="1308">
      <c r="A1308" s="11" t="n"/>
      <c r="B1308" s="11" t="n"/>
      <c r="C1308" s="10" t="n"/>
      <c r="D1308" s="11" t="n"/>
      <c r="E1308" s="10" t="n"/>
      <c r="F1308" s="22" t="n"/>
      <c r="G1308" s="24" t="n"/>
      <c r="H1308" s="23" t="n"/>
      <c r="I1308" s="25" t="n"/>
      <c r="J1308" s="10">
        <f>IF(D1308="","",IF(H1308="✓","完了",IF(G1308="","",IF(G1308&lt;TODAY(),"期限超過",IF(G1308=TODAY(),"今日まで","予定")))))</f>
        <v/>
      </c>
      <c r="K1308" s="22" t="n"/>
      <c r="L1308" s="26" t="n"/>
    </row>
    <row r="1309">
      <c r="A1309" s="11" t="n"/>
      <c r="B1309" s="11" t="n"/>
      <c r="C1309" s="10" t="n"/>
      <c r="D1309" s="11" t="n"/>
      <c r="E1309" s="10" t="n"/>
      <c r="F1309" s="22" t="n"/>
      <c r="G1309" s="24" t="n"/>
      <c r="H1309" s="23" t="n"/>
      <c r="I1309" s="25" t="n"/>
      <c r="J1309" s="10">
        <f>IF(D1309="","",IF(H1309="✓","完了",IF(G1309="","",IF(G1309&lt;TODAY(),"期限超過",IF(G1309=TODAY(),"今日まで","予定")))))</f>
        <v/>
      </c>
      <c r="K1309" s="22" t="n"/>
      <c r="L1309" s="26" t="n"/>
    </row>
    <row r="1310">
      <c r="A1310" s="11" t="n"/>
      <c r="B1310" s="11" t="n"/>
      <c r="C1310" s="10" t="n"/>
      <c r="D1310" s="11" t="n"/>
      <c r="E1310" s="10" t="n"/>
      <c r="F1310" s="22" t="n"/>
      <c r="G1310" s="24" t="n"/>
      <c r="H1310" s="23" t="n"/>
      <c r="I1310" s="25" t="n"/>
      <c r="J1310" s="10">
        <f>IF(D1310="","",IF(H1310="✓","完了",IF(G1310="","",IF(G1310&lt;TODAY(),"期限超過",IF(G1310=TODAY(),"今日まで","予定")))))</f>
        <v/>
      </c>
      <c r="K1310" s="22" t="n"/>
      <c r="L1310" s="26" t="n"/>
    </row>
    <row r="1311">
      <c r="A1311" s="11" t="n"/>
      <c r="B1311" s="11" t="n"/>
      <c r="C1311" s="10" t="n"/>
      <c r="D1311" s="11" t="n"/>
      <c r="E1311" s="10" t="n"/>
      <c r="F1311" s="22" t="n"/>
      <c r="G1311" s="24" t="n"/>
      <c r="H1311" s="23" t="n"/>
      <c r="I1311" s="25" t="n"/>
      <c r="J1311" s="10">
        <f>IF(D1311="","",IF(H1311="✓","完了",IF(G1311="","",IF(G1311&lt;TODAY(),"期限超過",IF(G1311=TODAY(),"今日まで","予定")))))</f>
        <v/>
      </c>
      <c r="K1311" s="22" t="n"/>
      <c r="L1311" s="26" t="n"/>
    </row>
    <row r="1312">
      <c r="A1312" s="11" t="n"/>
      <c r="B1312" s="11" t="n"/>
      <c r="C1312" s="10" t="n"/>
      <c r="D1312" s="11" t="n"/>
      <c r="E1312" s="10" t="n"/>
      <c r="F1312" s="22" t="n"/>
      <c r="G1312" s="24" t="n"/>
      <c r="H1312" s="23" t="n"/>
      <c r="I1312" s="25" t="n"/>
      <c r="J1312" s="10">
        <f>IF(D1312="","",IF(H1312="✓","完了",IF(G1312="","",IF(G1312&lt;TODAY(),"期限超過",IF(G1312=TODAY(),"今日まで","予定")))))</f>
        <v/>
      </c>
      <c r="K1312" s="22" t="n"/>
      <c r="L1312" s="26" t="n"/>
    </row>
    <row r="1313">
      <c r="A1313" s="11" t="n"/>
      <c r="B1313" s="11" t="n"/>
      <c r="C1313" s="10" t="n"/>
      <c r="D1313" s="11" t="n"/>
      <c r="E1313" s="10" t="n"/>
      <c r="F1313" s="22" t="n"/>
      <c r="G1313" s="24" t="n"/>
      <c r="H1313" s="23" t="n"/>
      <c r="I1313" s="25" t="n"/>
      <c r="J1313" s="10">
        <f>IF(D1313="","",IF(H1313="✓","完了",IF(G1313="","",IF(G1313&lt;TODAY(),"期限超過",IF(G1313=TODAY(),"今日まで","予定")))))</f>
        <v/>
      </c>
      <c r="K1313" s="22" t="n"/>
      <c r="L1313" s="26" t="n"/>
    </row>
    <row r="1314">
      <c r="A1314" s="11" t="n"/>
      <c r="B1314" s="11" t="n"/>
      <c r="C1314" s="10" t="n"/>
      <c r="D1314" s="11" t="n"/>
      <c r="E1314" s="10" t="n"/>
      <c r="F1314" s="22" t="n"/>
      <c r="G1314" s="24" t="n"/>
      <c r="H1314" s="23" t="n"/>
      <c r="I1314" s="25" t="n"/>
      <c r="J1314" s="10">
        <f>IF(D1314="","",IF(H1314="✓","完了",IF(G1314="","",IF(G1314&lt;TODAY(),"期限超過",IF(G1314=TODAY(),"今日まで","予定")))))</f>
        <v/>
      </c>
      <c r="K1314" s="22" t="n"/>
      <c r="L1314" s="26" t="n"/>
    </row>
    <row r="1315">
      <c r="A1315" s="11" t="n"/>
      <c r="B1315" s="11" t="n"/>
      <c r="C1315" s="10" t="n"/>
      <c r="D1315" s="11" t="n"/>
      <c r="E1315" s="10" t="n"/>
      <c r="F1315" s="22" t="n"/>
      <c r="G1315" s="24" t="n"/>
      <c r="H1315" s="23" t="n"/>
      <c r="I1315" s="25" t="n"/>
      <c r="J1315" s="10">
        <f>IF(D1315="","",IF(H1315="✓","完了",IF(G1315="","",IF(G1315&lt;TODAY(),"期限超過",IF(G1315=TODAY(),"今日まで","予定")))))</f>
        <v/>
      </c>
      <c r="K1315" s="22" t="n"/>
      <c r="L1315" s="26" t="n"/>
    </row>
    <row r="1316">
      <c r="A1316" s="11" t="n"/>
      <c r="B1316" s="11" t="n"/>
      <c r="C1316" s="10" t="n"/>
      <c r="D1316" s="11" t="n"/>
      <c r="E1316" s="10" t="n"/>
      <c r="F1316" s="22" t="n"/>
      <c r="G1316" s="24" t="n"/>
      <c r="H1316" s="23" t="n"/>
      <c r="I1316" s="25" t="n"/>
      <c r="J1316" s="10">
        <f>IF(D1316="","",IF(H1316="✓","完了",IF(G1316="","",IF(G1316&lt;TODAY(),"期限超過",IF(G1316=TODAY(),"今日まで","予定")))))</f>
        <v/>
      </c>
      <c r="K1316" s="22" t="n"/>
      <c r="L1316" s="26" t="n"/>
    </row>
    <row r="1317">
      <c r="A1317" s="11" t="n"/>
      <c r="B1317" s="11" t="n"/>
      <c r="C1317" s="10" t="n"/>
      <c r="D1317" s="11" t="n"/>
      <c r="E1317" s="10" t="n"/>
      <c r="F1317" s="22" t="n"/>
      <c r="G1317" s="24" t="n"/>
      <c r="H1317" s="23" t="n"/>
      <c r="I1317" s="25" t="n"/>
      <c r="J1317" s="10">
        <f>IF(D1317="","",IF(H1317="✓","完了",IF(G1317="","",IF(G1317&lt;TODAY(),"期限超過",IF(G1317=TODAY(),"今日まで","予定")))))</f>
        <v/>
      </c>
      <c r="K1317" s="22" t="n"/>
      <c r="L1317" s="26" t="n"/>
    </row>
    <row r="1318">
      <c r="A1318" s="11" t="n"/>
      <c r="B1318" s="11" t="n"/>
      <c r="C1318" s="10" t="n"/>
      <c r="D1318" s="11" t="n"/>
      <c r="E1318" s="10" t="n"/>
      <c r="F1318" s="22" t="n"/>
      <c r="G1318" s="24" t="n"/>
      <c r="H1318" s="23" t="n"/>
      <c r="I1318" s="25" t="n"/>
      <c r="J1318" s="10">
        <f>IF(D1318="","",IF(H1318="✓","完了",IF(G1318="","",IF(G1318&lt;TODAY(),"期限超過",IF(G1318=TODAY(),"今日まで","予定")))))</f>
        <v/>
      </c>
      <c r="K1318" s="22" t="n"/>
      <c r="L1318" s="26" t="n"/>
    </row>
    <row r="1319">
      <c r="A1319" s="11" t="n"/>
      <c r="B1319" s="11" t="n"/>
      <c r="C1319" s="10" t="n"/>
      <c r="D1319" s="11" t="n"/>
      <c r="E1319" s="10" t="n"/>
      <c r="F1319" s="22" t="n"/>
      <c r="G1319" s="24" t="n"/>
      <c r="H1319" s="23" t="n"/>
      <c r="I1319" s="25" t="n"/>
      <c r="J1319" s="10">
        <f>IF(D1319="","",IF(H1319="✓","完了",IF(G1319="","",IF(G1319&lt;TODAY(),"期限超過",IF(G1319=TODAY(),"今日まで","予定")))))</f>
        <v/>
      </c>
      <c r="K1319" s="22" t="n"/>
      <c r="L1319" s="26" t="n"/>
    </row>
    <row r="1320">
      <c r="A1320" s="11" t="n"/>
      <c r="B1320" s="11" t="n"/>
      <c r="C1320" s="10" t="n"/>
      <c r="D1320" s="11" t="n"/>
      <c r="E1320" s="10" t="n"/>
      <c r="F1320" s="22" t="n"/>
      <c r="G1320" s="24" t="n"/>
      <c r="H1320" s="23" t="n"/>
      <c r="I1320" s="25" t="n"/>
      <c r="J1320" s="10">
        <f>IF(D1320="","",IF(H1320="✓","完了",IF(G1320="","",IF(G1320&lt;TODAY(),"期限超過",IF(G1320=TODAY(),"今日まで","予定")))))</f>
        <v/>
      </c>
      <c r="K1320" s="22" t="n"/>
      <c r="L1320" s="26" t="n"/>
    </row>
    <row r="1321">
      <c r="A1321" s="11" t="n"/>
      <c r="B1321" s="11" t="n"/>
      <c r="C1321" s="10" t="n"/>
      <c r="D1321" s="11" t="n"/>
      <c r="E1321" s="10" t="n"/>
      <c r="F1321" s="22" t="n"/>
      <c r="G1321" s="24" t="n"/>
      <c r="H1321" s="23" t="n"/>
      <c r="I1321" s="25" t="n"/>
      <c r="J1321" s="10">
        <f>IF(D1321="","",IF(H1321="✓","完了",IF(G1321="","",IF(G1321&lt;TODAY(),"期限超過",IF(G1321=TODAY(),"今日まで","予定")))))</f>
        <v/>
      </c>
      <c r="K1321" s="22" t="n"/>
      <c r="L1321" s="26" t="n"/>
    </row>
    <row r="1322">
      <c r="A1322" s="11" t="n"/>
      <c r="B1322" s="11" t="n"/>
      <c r="C1322" s="10" t="n"/>
      <c r="D1322" s="11" t="n"/>
      <c r="E1322" s="10" t="n"/>
      <c r="F1322" s="22" t="n"/>
      <c r="G1322" s="24" t="n"/>
      <c r="H1322" s="23" t="n"/>
      <c r="I1322" s="25" t="n"/>
      <c r="J1322" s="10">
        <f>IF(D1322="","",IF(H1322="✓","完了",IF(G1322="","",IF(G1322&lt;TODAY(),"期限超過",IF(G1322=TODAY(),"今日まで","予定")))))</f>
        <v/>
      </c>
      <c r="K1322" s="22" t="n"/>
      <c r="L1322" s="26" t="n"/>
    </row>
    <row r="1323">
      <c r="A1323" s="11" t="n"/>
      <c r="B1323" s="11" t="n"/>
      <c r="C1323" s="10" t="n"/>
      <c r="D1323" s="11" t="n"/>
      <c r="E1323" s="10" t="n"/>
      <c r="F1323" s="22" t="n"/>
      <c r="G1323" s="24" t="n"/>
      <c r="H1323" s="23" t="n"/>
      <c r="I1323" s="25" t="n"/>
      <c r="J1323" s="10">
        <f>IF(D1323="","",IF(H1323="✓","完了",IF(G1323="","",IF(G1323&lt;TODAY(),"期限超過",IF(G1323=TODAY(),"今日まで","予定")))))</f>
        <v/>
      </c>
      <c r="K1323" s="22" t="n"/>
      <c r="L1323" s="26" t="n"/>
    </row>
    <row r="1324">
      <c r="A1324" s="11" t="n"/>
      <c r="B1324" s="11" t="n"/>
      <c r="C1324" s="10" t="n"/>
      <c r="D1324" s="11" t="n"/>
      <c r="E1324" s="10" t="n"/>
      <c r="F1324" s="22" t="n"/>
      <c r="G1324" s="24" t="n"/>
      <c r="H1324" s="23" t="n"/>
      <c r="I1324" s="25" t="n"/>
      <c r="J1324" s="10">
        <f>IF(D1324="","",IF(H1324="✓","完了",IF(G1324="","",IF(G1324&lt;TODAY(),"期限超過",IF(G1324=TODAY(),"今日まで","予定")))))</f>
        <v/>
      </c>
      <c r="K1324" s="22" t="n"/>
      <c r="L1324" s="26" t="n"/>
    </row>
    <row r="1325">
      <c r="A1325" s="11" t="n"/>
      <c r="B1325" s="11" t="n"/>
      <c r="C1325" s="10" t="n"/>
      <c r="D1325" s="11" t="n"/>
      <c r="E1325" s="10" t="n"/>
      <c r="F1325" s="22" t="n"/>
      <c r="G1325" s="24" t="n"/>
      <c r="H1325" s="23" t="n"/>
      <c r="I1325" s="25" t="n"/>
      <c r="J1325" s="10">
        <f>IF(D1325="","",IF(H1325="✓","完了",IF(G1325="","",IF(G1325&lt;TODAY(),"期限超過",IF(G1325=TODAY(),"今日まで","予定")))))</f>
        <v/>
      </c>
      <c r="K1325" s="22" t="n"/>
      <c r="L1325" s="26" t="n"/>
    </row>
    <row r="1326">
      <c r="A1326" s="11" t="n"/>
      <c r="B1326" s="11" t="n"/>
      <c r="C1326" s="10" t="n"/>
      <c r="D1326" s="11" t="n"/>
      <c r="E1326" s="10" t="n"/>
      <c r="F1326" s="22" t="n"/>
      <c r="G1326" s="24" t="n"/>
      <c r="H1326" s="23" t="n"/>
      <c r="I1326" s="25" t="n"/>
      <c r="J1326" s="10">
        <f>IF(D1326="","",IF(H1326="✓","完了",IF(G1326="","",IF(G1326&lt;TODAY(),"期限超過",IF(G1326=TODAY(),"今日まで","予定")))))</f>
        <v/>
      </c>
      <c r="K1326" s="22" t="n"/>
      <c r="L1326" s="26" t="n"/>
    </row>
    <row r="1327">
      <c r="A1327" s="11" t="n"/>
      <c r="B1327" s="11" t="n"/>
      <c r="C1327" s="10" t="n"/>
      <c r="D1327" s="11" t="n"/>
      <c r="E1327" s="10" t="n"/>
      <c r="F1327" s="22" t="n"/>
      <c r="G1327" s="24" t="n"/>
      <c r="H1327" s="23" t="n"/>
      <c r="I1327" s="25" t="n"/>
      <c r="J1327" s="10">
        <f>IF(D1327="","",IF(H1327="✓","完了",IF(G1327="","",IF(G1327&lt;TODAY(),"期限超過",IF(G1327=TODAY(),"今日まで","予定")))))</f>
        <v/>
      </c>
      <c r="K1327" s="22" t="n"/>
      <c r="L1327" s="26" t="n"/>
    </row>
    <row r="1328">
      <c r="A1328" s="11" t="n"/>
      <c r="B1328" s="11" t="n"/>
      <c r="C1328" s="10" t="n"/>
      <c r="D1328" s="11" t="n"/>
      <c r="E1328" s="10" t="n"/>
      <c r="F1328" s="22" t="n"/>
      <c r="G1328" s="24" t="n"/>
      <c r="H1328" s="23" t="n"/>
      <c r="I1328" s="25" t="n"/>
      <c r="J1328" s="10">
        <f>IF(D1328="","",IF(H1328="✓","完了",IF(G1328="","",IF(G1328&lt;TODAY(),"期限超過",IF(G1328=TODAY(),"今日まで","予定")))))</f>
        <v/>
      </c>
      <c r="K1328" s="22" t="n"/>
      <c r="L1328" s="26" t="n"/>
    </row>
    <row r="1329">
      <c r="A1329" s="11" t="n"/>
      <c r="B1329" s="11" t="n"/>
      <c r="C1329" s="10" t="n"/>
      <c r="D1329" s="11" t="n"/>
      <c r="E1329" s="10" t="n"/>
      <c r="F1329" s="22" t="n"/>
      <c r="G1329" s="24" t="n"/>
      <c r="H1329" s="23" t="n"/>
      <c r="I1329" s="25" t="n"/>
      <c r="J1329" s="10">
        <f>IF(D1329="","",IF(H1329="✓","完了",IF(G1329="","",IF(G1329&lt;TODAY(),"期限超過",IF(G1329=TODAY(),"今日まで","予定")))))</f>
        <v/>
      </c>
      <c r="K1329" s="22" t="n"/>
      <c r="L1329" s="26" t="n"/>
    </row>
    <row r="1330">
      <c r="A1330" s="11" t="n"/>
      <c r="B1330" s="11" t="n"/>
      <c r="C1330" s="10" t="n"/>
      <c r="D1330" s="11" t="n"/>
      <c r="E1330" s="10" t="n"/>
      <c r="F1330" s="22" t="n"/>
      <c r="G1330" s="24" t="n"/>
      <c r="H1330" s="23" t="n"/>
      <c r="I1330" s="25" t="n"/>
      <c r="J1330" s="10">
        <f>IF(D1330="","",IF(H1330="✓","完了",IF(G1330="","",IF(G1330&lt;TODAY(),"期限超過",IF(G1330=TODAY(),"今日まで","予定")))))</f>
        <v/>
      </c>
      <c r="K1330" s="22" t="n"/>
      <c r="L1330" s="26" t="n"/>
    </row>
    <row r="1331">
      <c r="A1331" s="11" t="n"/>
      <c r="B1331" s="11" t="n"/>
      <c r="C1331" s="10" t="n"/>
      <c r="D1331" s="11" t="n"/>
      <c r="E1331" s="10" t="n"/>
      <c r="F1331" s="22" t="n"/>
      <c r="G1331" s="24" t="n"/>
      <c r="H1331" s="23" t="n"/>
      <c r="I1331" s="25" t="n"/>
      <c r="J1331" s="10">
        <f>IF(D1331="","",IF(H1331="✓","完了",IF(G1331="","",IF(G1331&lt;TODAY(),"期限超過",IF(G1331=TODAY(),"今日まで","予定")))))</f>
        <v/>
      </c>
      <c r="K1331" s="22" t="n"/>
      <c r="L1331" s="26" t="n"/>
    </row>
    <row r="1332">
      <c r="A1332" s="11" t="n"/>
      <c r="B1332" s="11" t="n"/>
      <c r="C1332" s="10" t="n"/>
      <c r="D1332" s="11" t="n"/>
      <c r="E1332" s="10" t="n"/>
      <c r="F1332" s="22" t="n"/>
      <c r="G1332" s="24" t="n"/>
      <c r="H1332" s="23" t="n"/>
      <c r="I1332" s="25" t="n"/>
      <c r="J1332" s="10">
        <f>IF(D1332="","",IF(H1332="✓","完了",IF(G1332="","",IF(G1332&lt;TODAY(),"期限超過",IF(G1332=TODAY(),"今日まで","予定")))))</f>
        <v/>
      </c>
      <c r="K1332" s="22" t="n"/>
      <c r="L1332" s="26" t="n"/>
    </row>
    <row r="1333">
      <c r="A1333" s="11" t="n"/>
      <c r="B1333" s="11" t="n"/>
      <c r="C1333" s="10" t="n"/>
      <c r="D1333" s="11" t="n"/>
      <c r="E1333" s="10" t="n"/>
      <c r="F1333" s="22" t="n"/>
      <c r="G1333" s="24" t="n"/>
      <c r="H1333" s="23" t="n"/>
      <c r="I1333" s="25" t="n"/>
      <c r="J1333" s="10">
        <f>IF(D1333="","",IF(H1333="✓","完了",IF(G1333="","",IF(G1333&lt;TODAY(),"期限超過",IF(G1333=TODAY(),"今日まで","予定")))))</f>
        <v/>
      </c>
      <c r="K1333" s="22" t="n"/>
      <c r="L1333" s="26" t="n"/>
    </row>
    <row r="1334">
      <c r="A1334" s="11" t="n"/>
      <c r="B1334" s="11" t="n"/>
      <c r="C1334" s="10" t="n"/>
      <c r="D1334" s="11" t="n"/>
      <c r="E1334" s="10" t="n"/>
      <c r="F1334" s="22" t="n"/>
      <c r="G1334" s="24" t="n"/>
      <c r="H1334" s="23" t="n"/>
      <c r="I1334" s="25" t="n"/>
      <c r="J1334" s="10">
        <f>IF(D1334="","",IF(H1334="✓","完了",IF(G1334="","",IF(G1334&lt;TODAY(),"期限超過",IF(G1334=TODAY(),"今日まで","予定")))))</f>
        <v/>
      </c>
      <c r="K1334" s="22" t="n"/>
      <c r="L1334" s="26" t="n"/>
    </row>
    <row r="1335">
      <c r="A1335" s="11" t="n"/>
      <c r="B1335" s="11" t="n"/>
      <c r="C1335" s="10" t="n"/>
      <c r="D1335" s="11" t="n"/>
      <c r="E1335" s="10" t="n"/>
      <c r="F1335" s="22" t="n"/>
      <c r="G1335" s="24" t="n"/>
      <c r="H1335" s="23" t="n"/>
      <c r="I1335" s="25" t="n"/>
      <c r="J1335" s="10">
        <f>IF(D1335="","",IF(H1335="✓","完了",IF(G1335="","",IF(G1335&lt;TODAY(),"期限超過",IF(G1335=TODAY(),"今日まで","予定")))))</f>
        <v/>
      </c>
      <c r="K1335" s="22" t="n"/>
      <c r="L1335" s="26" t="n"/>
    </row>
    <row r="1336">
      <c r="A1336" s="11" t="n"/>
      <c r="B1336" s="11" t="n"/>
      <c r="C1336" s="10" t="n"/>
      <c r="D1336" s="11" t="n"/>
      <c r="E1336" s="10" t="n"/>
      <c r="F1336" s="22" t="n"/>
      <c r="G1336" s="24" t="n"/>
      <c r="H1336" s="23" t="n"/>
      <c r="I1336" s="25" t="n"/>
      <c r="J1336" s="10">
        <f>IF(D1336="","",IF(H1336="✓","完了",IF(G1336="","",IF(G1336&lt;TODAY(),"期限超過",IF(G1336=TODAY(),"今日まで","予定")))))</f>
        <v/>
      </c>
      <c r="K1336" s="22" t="n"/>
      <c r="L1336" s="26" t="n"/>
    </row>
    <row r="1337">
      <c r="A1337" s="11" t="n"/>
      <c r="B1337" s="11" t="n"/>
      <c r="C1337" s="10" t="n"/>
      <c r="D1337" s="11" t="n"/>
      <c r="E1337" s="10" t="n"/>
      <c r="F1337" s="22" t="n"/>
      <c r="G1337" s="24" t="n"/>
      <c r="H1337" s="23" t="n"/>
      <c r="I1337" s="25" t="n"/>
      <c r="J1337" s="10">
        <f>IF(D1337="","",IF(H1337="✓","完了",IF(G1337="","",IF(G1337&lt;TODAY(),"期限超過",IF(G1337=TODAY(),"今日まで","予定")))))</f>
        <v/>
      </c>
      <c r="K1337" s="22" t="n"/>
      <c r="L1337" s="26" t="n"/>
    </row>
    <row r="1338">
      <c r="A1338" s="11" t="n"/>
      <c r="B1338" s="11" t="n"/>
      <c r="C1338" s="10" t="n"/>
      <c r="D1338" s="11" t="n"/>
      <c r="E1338" s="10" t="n"/>
      <c r="F1338" s="22" t="n"/>
      <c r="G1338" s="24" t="n"/>
      <c r="H1338" s="23" t="n"/>
      <c r="I1338" s="25" t="n"/>
      <c r="J1338" s="10">
        <f>IF(D1338="","",IF(H1338="✓","完了",IF(G1338="","",IF(G1338&lt;TODAY(),"期限超過",IF(G1338=TODAY(),"今日まで","予定")))))</f>
        <v/>
      </c>
      <c r="K1338" s="22" t="n"/>
      <c r="L1338" s="26" t="n"/>
    </row>
    <row r="1339">
      <c r="A1339" s="11" t="n"/>
      <c r="B1339" s="11" t="n"/>
      <c r="C1339" s="10" t="n"/>
      <c r="D1339" s="11" t="n"/>
      <c r="E1339" s="10" t="n"/>
      <c r="F1339" s="22" t="n"/>
      <c r="G1339" s="24" t="n"/>
      <c r="H1339" s="23" t="n"/>
      <c r="I1339" s="25" t="n"/>
      <c r="J1339" s="10">
        <f>IF(D1339="","",IF(H1339="✓","完了",IF(G1339="","",IF(G1339&lt;TODAY(),"期限超過",IF(G1339=TODAY(),"今日まで","予定")))))</f>
        <v/>
      </c>
      <c r="K1339" s="22" t="n"/>
      <c r="L1339" s="26" t="n"/>
    </row>
    <row r="1340">
      <c r="A1340" s="11" t="n"/>
      <c r="B1340" s="11" t="n"/>
      <c r="C1340" s="10" t="n"/>
      <c r="D1340" s="11" t="n"/>
      <c r="E1340" s="10" t="n"/>
      <c r="F1340" s="22" t="n"/>
      <c r="G1340" s="24" t="n"/>
      <c r="H1340" s="23" t="n"/>
      <c r="I1340" s="25" t="n"/>
      <c r="J1340" s="10">
        <f>IF(D1340="","",IF(H1340="✓","完了",IF(G1340="","",IF(G1340&lt;TODAY(),"期限超過",IF(G1340=TODAY(),"今日まで","予定")))))</f>
        <v/>
      </c>
      <c r="K1340" s="22" t="n"/>
      <c r="L1340" s="26" t="n"/>
    </row>
    <row r="1341">
      <c r="A1341" s="11" t="n"/>
      <c r="B1341" s="11" t="n"/>
      <c r="C1341" s="10" t="n"/>
      <c r="D1341" s="11" t="n"/>
      <c r="E1341" s="10" t="n"/>
      <c r="F1341" s="22" t="n"/>
      <c r="G1341" s="24" t="n"/>
      <c r="H1341" s="23" t="n"/>
      <c r="I1341" s="25" t="n"/>
      <c r="J1341" s="10">
        <f>IF(D1341="","",IF(H1341="✓","完了",IF(G1341="","",IF(G1341&lt;TODAY(),"期限超過",IF(G1341=TODAY(),"今日まで","予定")))))</f>
        <v/>
      </c>
      <c r="K1341" s="22" t="n"/>
      <c r="L1341" s="26" t="n"/>
    </row>
    <row r="1342">
      <c r="A1342" s="11" t="n"/>
      <c r="B1342" s="11" t="n"/>
      <c r="C1342" s="10" t="n"/>
      <c r="D1342" s="11" t="n"/>
      <c r="E1342" s="10" t="n"/>
      <c r="F1342" s="22" t="n"/>
      <c r="G1342" s="24" t="n"/>
      <c r="H1342" s="23" t="n"/>
      <c r="I1342" s="25" t="n"/>
      <c r="J1342" s="10">
        <f>IF(D1342="","",IF(H1342="✓","完了",IF(G1342="","",IF(G1342&lt;TODAY(),"期限超過",IF(G1342=TODAY(),"今日まで","予定")))))</f>
        <v/>
      </c>
      <c r="K1342" s="22" t="n"/>
      <c r="L1342" s="26" t="n"/>
    </row>
    <row r="1343">
      <c r="A1343" s="11" t="n"/>
      <c r="B1343" s="11" t="n"/>
      <c r="C1343" s="10" t="n"/>
      <c r="D1343" s="11" t="n"/>
      <c r="E1343" s="10" t="n"/>
      <c r="F1343" s="22" t="n"/>
      <c r="G1343" s="24" t="n"/>
      <c r="H1343" s="23" t="n"/>
      <c r="I1343" s="25" t="n"/>
      <c r="J1343" s="10">
        <f>IF(D1343="","",IF(H1343="✓","完了",IF(G1343="","",IF(G1343&lt;TODAY(),"期限超過",IF(G1343=TODAY(),"今日まで","予定")))))</f>
        <v/>
      </c>
      <c r="K1343" s="22" t="n"/>
      <c r="L1343" s="26" t="n"/>
    </row>
    <row r="1344">
      <c r="A1344" s="11" t="n"/>
      <c r="B1344" s="11" t="n"/>
      <c r="C1344" s="10" t="n"/>
      <c r="D1344" s="11" t="n"/>
      <c r="E1344" s="10" t="n"/>
      <c r="F1344" s="22" t="n"/>
      <c r="G1344" s="24" t="n"/>
      <c r="H1344" s="23" t="n"/>
      <c r="I1344" s="25" t="n"/>
      <c r="J1344" s="10">
        <f>IF(D1344="","",IF(H1344="✓","完了",IF(G1344="","",IF(G1344&lt;TODAY(),"期限超過",IF(G1344=TODAY(),"今日まで","予定")))))</f>
        <v/>
      </c>
      <c r="K1344" s="22" t="n"/>
      <c r="L1344" s="26" t="n"/>
    </row>
    <row r="1345">
      <c r="A1345" s="11" t="n"/>
      <c r="B1345" s="11" t="n"/>
      <c r="C1345" s="10" t="n"/>
      <c r="D1345" s="11" t="n"/>
      <c r="E1345" s="10" t="n"/>
      <c r="F1345" s="22" t="n"/>
      <c r="G1345" s="24" t="n"/>
      <c r="H1345" s="23" t="n"/>
      <c r="I1345" s="25" t="n"/>
      <c r="J1345" s="10">
        <f>IF(D1345="","",IF(H1345="✓","完了",IF(G1345="","",IF(G1345&lt;TODAY(),"期限超過",IF(G1345=TODAY(),"今日まで","予定")))))</f>
        <v/>
      </c>
      <c r="K1345" s="22" t="n"/>
      <c r="L1345" s="26" t="n"/>
    </row>
    <row r="1346">
      <c r="A1346" s="11" t="n"/>
      <c r="B1346" s="11" t="n"/>
      <c r="C1346" s="10" t="n"/>
      <c r="D1346" s="11" t="n"/>
      <c r="E1346" s="10" t="n"/>
      <c r="F1346" s="22" t="n"/>
      <c r="G1346" s="24" t="n"/>
      <c r="H1346" s="23" t="n"/>
      <c r="I1346" s="25" t="n"/>
      <c r="J1346" s="10">
        <f>IF(D1346="","",IF(H1346="✓","完了",IF(G1346="","",IF(G1346&lt;TODAY(),"期限超過",IF(G1346=TODAY(),"今日まで","予定")))))</f>
        <v/>
      </c>
      <c r="K1346" s="22" t="n"/>
      <c r="L1346" s="26" t="n"/>
    </row>
    <row r="1347">
      <c r="A1347" s="11" t="n"/>
      <c r="B1347" s="11" t="n"/>
      <c r="C1347" s="10" t="n"/>
      <c r="D1347" s="11" t="n"/>
      <c r="E1347" s="10" t="n"/>
      <c r="F1347" s="22" t="n"/>
      <c r="G1347" s="24" t="n"/>
      <c r="H1347" s="23" t="n"/>
      <c r="I1347" s="25" t="n"/>
      <c r="J1347" s="10">
        <f>IF(D1347="","",IF(H1347="✓","完了",IF(G1347="","",IF(G1347&lt;TODAY(),"期限超過",IF(G1347=TODAY(),"今日まで","予定")))))</f>
        <v/>
      </c>
      <c r="K1347" s="22" t="n"/>
      <c r="L1347" s="26" t="n"/>
    </row>
    <row r="1348">
      <c r="A1348" s="11" t="n"/>
      <c r="B1348" s="11" t="n"/>
      <c r="C1348" s="10" t="n"/>
      <c r="D1348" s="11" t="n"/>
      <c r="E1348" s="10" t="n"/>
      <c r="F1348" s="22" t="n"/>
      <c r="G1348" s="24" t="n"/>
      <c r="H1348" s="23" t="n"/>
      <c r="I1348" s="25" t="n"/>
      <c r="J1348" s="10">
        <f>IF(D1348="","",IF(H1348="✓","完了",IF(G1348="","",IF(G1348&lt;TODAY(),"期限超過",IF(G1348=TODAY(),"今日まで","予定")))))</f>
        <v/>
      </c>
      <c r="K1348" s="22" t="n"/>
      <c r="L1348" s="26" t="n"/>
    </row>
    <row r="1349">
      <c r="A1349" s="11" t="n"/>
      <c r="B1349" s="11" t="n"/>
      <c r="C1349" s="10" t="n"/>
      <c r="D1349" s="11" t="n"/>
      <c r="E1349" s="10" t="n"/>
      <c r="F1349" s="22" t="n"/>
      <c r="G1349" s="24" t="n"/>
      <c r="H1349" s="23" t="n"/>
      <c r="I1349" s="25" t="n"/>
      <c r="J1349" s="10">
        <f>IF(D1349="","",IF(H1349="✓","完了",IF(G1349="","",IF(G1349&lt;TODAY(),"期限超過",IF(G1349=TODAY(),"今日まで","予定")))))</f>
        <v/>
      </c>
      <c r="K1349" s="22" t="n"/>
      <c r="L1349" s="26" t="n"/>
    </row>
    <row r="1350">
      <c r="A1350" s="11" t="n"/>
      <c r="B1350" s="11" t="n"/>
      <c r="C1350" s="10" t="n"/>
      <c r="D1350" s="11" t="n"/>
      <c r="E1350" s="10" t="n"/>
      <c r="F1350" s="22" t="n"/>
      <c r="G1350" s="24" t="n"/>
      <c r="H1350" s="23" t="n"/>
      <c r="I1350" s="25" t="n"/>
      <c r="J1350" s="10">
        <f>IF(D1350="","",IF(H1350="✓","完了",IF(G1350="","",IF(G1350&lt;TODAY(),"期限超過",IF(G1350=TODAY(),"今日まで","予定")))))</f>
        <v/>
      </c>
      <c r="K1350" s="22" t="n"/>
      <c r="L1350" s="26" t="n"/>
    </row>
    <row r="1351">
      <c r="A1351" s="11" t="n"/>
      <c r="B1351" s="11" t="n"/>
      <c r="C1351" s="10" t="n"/>
      <c r="D1351" s="11" t="n"/>
      <c r="E1351" s="10" t="n"/>
      <c r="F1351" s="22" t="n"/>
      <c r="G1351" s="24" t="n"/>
      <c r="H1351" s="23" t="n"/>
      <c r="I1351" s="25" t="n"/>
      <c r="J1351" s="10">
        <f>IF(D1351="","",IF(H1351="✓","完了",IF(G1351="","",IF(G1351&lt;TODAY(),"期限超過",IF(G1351=TODAY(),"今日まで","予定")))))</f>
        <v/>
      </c>
      <c r="K1351" s="22" t="n"/>
      <c r="L1351" s="26" t="n"/>
    </row>
    <row r="1352">
      <c r="A1352" s="11" t="n"/>
      <c r="B1352" s="11" t="n"/>
      <c r="C1352" s="10" t="n"/>
      <c r="D1352" s="11" t="n"/>
      <c r="E1352" s="10" t="n"/>
      <c r="F1352" s="22" t="n"/>
      <c r="G1352" s="24" t="n"/>
      <c r="H1352" s="23" t="n"/>
      <c r="I1352" s="25" t="n"/>
      <c r="J1352" s="10">
        <f>IF(D1352="","",IF(H1352="✓","完了",IF(G1352="","",IF(G1352&lt;TODAY(),"期限超過",IF(G1352=TODAY(),"今日まで","予定")))))</f>
        <v/>
      </c>
      <c r="K1352" s="22" t="n"/>
      <c r="L1352" s="26" t="n"/>
    </row>
    <row r="1353">
      <c r="A1353" s="11" t="n"/>
      <c r="B1353" s="11" t="n"/>
      <c r="C1353" s="10" t="n"/>
      <c r="D1353" s="11" t="n"/>
      <c r="E1353" s="10" t="n"/>
      <c r="F1353" s="22" t="n"/>
      <c r="G1353" s="24" t="n"/>
      <c r="H1353" s="23" t="n"/>
      <c r="I1353" s="25" t="n"/>
      <c r="J1353" s="10">
        <f>IF(D1353="","",IF(H1353="✓","完了",IF(G1353="","",IF(G1353&lt;TODAY(),"期限超過",IF(G1353=TODAY(),"今日まで","予定")))))</f>
        <v/>
      </c>
      <c r="K1353" s="22" t="n"/>
      <c r="L1353" s="26" t="n"/>
    </row>
    <row r="1354">
      <c r="A1354" s="11" t="n"/>
      <c r="B1354" s="11" t="n"/>
      <c r="C1354" s="10" t="n"/>
      <c r="D1354" s="11" t="n"/>
      <c r="E1354" s="10" t="n"/>
      <c r="F1354" s="22" t="n"/>
      <c r="G1354" s="24" t="n"/>
      <c r="H1354" s="23" t="n"/>
      <c r="I1354" s="25" t="n"/>
      <c r="J1354" s="10">
        <f>IF(D1354="","",IF(H1354="✓","完了",IF(G1354="","",IF(G1354&lt;TODAY(),"期限超過",IF(G1354=TODAY(),"今日まで","予定")))))</f>
        <v/>
      </c>
      <c r="K1354" s="22" t="n"/>
      <c r="L1354" s="26" t="n"/>
    </row>
    <row r="1355">
      <c r="A1355" s="11" t="n"/>
      <c r="B1355" s="11" t="n"/>
      <c r="C1355" s="10" t="n"/>
      <c r="D1355" s="11" t="n"/>
      <c r="E1355" s="10" t="n"/>
      <c r="F1355" s="22" t="n"/>
      <c r="G1355" s="24" t="n"/>
      <c r="H1355" s="23" t="n"/>
      <c r="I1355" s="25" t="n"/>
      <c r="J1355" s="10">
        <f>IF(D1355="","",IF(H1355="✓","完了",IF(G1355="","",IF(G1355&lt;TODAY(),"期限超過",IF(G1355=TODAY(),"今日まで","予定")))))</f>
        <v/>
      </c>
      <c r="K1355" s="22" t="n"/>
      <c r="L1355" s="26" t="n"/>
    </row>
    <row r="1356">
      <c r="A1356" s="11" t="n"/>
      <c r="B1356" s="11" t="n"/>
      <c r="C1356" s="10" t="n"/>
      <c r="D1356" s="11" t="n"/>
      <c r="E1356" s="10" t="n"/>
      <c r="F1356" s="22" t="n"/>
      <c r="G1356" s="24" t="n"/>
      <c r="H1356" s="23" t="n"/>
      <c r="I1356" s="25" t="n"/>
      <c r="J1356" s="10">
        <f>IF(D1356="","",IF(H1356="✓","完了",IF(G1356="","",IF(G1356&lt;TODAY(),"期限超過",IF(G1356=TODAY(),"今日まで","予定")))))</f>
        <v/>
      </c>
      <c r="K1356" s="22" t="n"/>
      <c r="L1356" s="26" t="n"/>
    </row>
    <row r="1357">
      <c r="A1357" s="11" t="n"/>
      <c r="B1357" s="11" t="n"/>
      <c r="C1357" s="10" t="n"/>
      <c r="D1357" s="11" t="n"/>
      <c r="E1357" s="10" t="n"/>
      <c r="F1357" s="22" t="n"/>
      <c r="G1357" s="24" t="n"/>
      <c r="H1357" s="23" t="n"/>
      <c r="I1357" s="25" t="n"/>
      <c r="J1357" s="10">
        <f>IF(D1357="","",IF(H1357="✓","完了",IF(G1357="","",IF(G1357&lt;TODAY(),"期限超過",IF(G1357=TODAY(),"今日まで","予定")))))</f>
        <v/>
      </c>
      <c r="K1357" s="22" t="n"/>
      <c r="L1357" s="26" t="n"/>
    </row>
    <row r="1358">
      <c r="A1358" s="11" t="n"/>
      <c r="B1358" s="11" t="n"/>
      <c r="C1358" s="10" t="n"/>
      <c r="D1358" s="11" t="n"/>
      <c r="E1358" s="10" t="n"/>
      <c r="F1358" s="22" t="n"/>
      <c r="G1358" s="24" t="n"/>
      <c r="H1358" s="23" t="n"/>
      <c r="I1358" s="25" t="n"/>
      <c r="J1358" s="10">
        <f>IF(D1358="","",IF(H1358="✓","完了",IF(G1358="","",IF(G1358&lt;TODAY(),"期限超過",IF(G1358=TODAY(),"今日まで","予定")))))</f>
        <v/>
      </c>
      <c r="K1358" s="22" t="n"/>
      <c r="L1358" s="26" t="n"/>
    </row>
    <row r="1359">
      <c r="A1359" s="11" t="n"/>
      <c r="B1359" s="11" t="n"/>
      <c r="C1359" s="10" t="n"/>
      <c r="D1359" s="11" t="n"/>
      <c r="E1359" s="10" t="n"/>
      <c r="F1359" s="22" t="n"/>
      <c r="G1359" s="24" t="n"/>
      <c r="H1359" s="23" t="n"/>
      <c r="I1359" s="25" t="n"/>
      <c r="J1359" s="10">
        <f>IF(D1359="","",IF(H1359="✓","完了",IF(G1359="","",IF(G1359&lt;TODAY(),"期限超過",IF(G1359=TODAY(),"今日まで","予定")))))</f>
        <v/>
      </c>
      <c r="K1359" s="22" t="n"/>
      <c r="L1359" s="26" t="n"/>
    </row>
    <row r="1360">
      <c r="A1360" s="11" t="n"/>
      <c r="B1360" s="11" t="n"/>
      <c r="C1360" s="10" t="n"/>
      <c r="D1360" s="11" t="n"/>
      <c r="E1360" s="10" t="n"/>
      <c r="F1360" s="22" t="n"/>
      <c r="G1360" s="24" t="n"/>
      <c r="H1360" s="23" t="n"/>
      <c r="I1360" s="25" t="n"/>
      <c r="J1360" s="10">
        <f>IF(D1360="","",IF(H1360="✓","完了",IF(G1360="","",IF(G1360&lt;TODAY(),"期限超過",IF(G1360=TODAY(),"今日まで","予定")))))</f>
        <v/>
      </c>
      <c r="K1360" s="22" t="n"/>
      <c r="L1360" s="26" t="n"/>
    </row>
    <row r="1361">
      <c r="A1361" s="11" t="n"/>
      <c r="B1361" s="11" t="n"/>
      <c r="C1361" s="10" t="n"/>
      <c r="D1361" s="11" t="n"/>
      <c r="E1361" s="10" t="n"/>
      <c r="F1361" s="22" t="n"/>
      <c r="G1361" s="24" t="n"/>
      <c r="H1361" s="23" t="n"/>
      <c r="I1361" s="25" t="n"/>
      <c r="J1361" s="10">
        <f>IF(D1361="","",IF(H1361="✓","完了",IF(G1361="","",IF(G1361&lt;TODAY(),"期限超過",IF(G1361=TODAY(),"今日まで","予定")))))</f>
        <v/>
      </c>
      <c r="K1361" s="22" t="n"/>
      <c r="L1361" s="26" t="n"/>
    </row>
    <row r="1362">
      <c r="A1362" s="11" t="n"/>
      <c r="B1362" s="11" t="n"/>
      <c r="C1362" s="10" t="n"/>
      <c r="D1362" s="11" t="n"/>
      <c r="E1362" s="10" t="n"/>
      <c r="F1362" s="22" t="n"/>
      <c r="G1362" s="24" t="n"/>
      <c r="H1362" s="23" t="n"/>
      <c r="I1362" s="25" t="n"/>
      <c r="J1362" s="10">
        <f>IF(D1362="","",IF(H1362="✓","完了",IF(G1362="","",IF(G1362&lt;TODAY(),"期限超過",IF(G1362=TODAY(),"今日まで","予定")))))</f>
        <v/>
      </c>
      <c r="K1362" s="22" t="n"/>
      <c r="L1362" s="26" t="n"/>
    </row>
    <row r="1363">
      <c r="A1363" s="11" t="n"/>
      <c r="B1363" s="11" t="n"/>
      <c r="C1363" s="10" t="n"/>
      <c r="D1363" s="11" t="n"/>
      <c r="E1363" s="10" t="n"/>
      <c r="F1363" s="22" t="n"/>
      <c r="G1363" s="24" t="n"/>
      <c r="H1363" s="23" t="n"/>
      <c r="I1363" s="25" t="n"/>
      <c r="J1363" s="10">
        <f>IF(D1363="","",IF(H1363="✓","完了",IF(G1363="","",IF(G1363&lt;TODAY(),"期限超過",IF(G1363=TODAY(),"今日まで","予定")))))</f>
        <v/>
      </c>
      <c r="K1363" s="22" t="n"/>
      <c r="L1363" s="26" t="n"/>
    </row>
    <row r="1364">
      <c r="A1364" s="11" t="n"/>
      <c r="B1364" s="11" t="n"/>
      <c r="C1364" s="10" t="n"/>
      <c r="D1364" s="11" t="n"/>
      <c r="E1364" s="10" t="n"/>
      <c r="F1364" s="22" t="n"/>
      <c r="G1364" s="24" t="n"/>
      <c r="H1364" s="23" t="n"/>
      <c r="I1364" s="25" t="n"/>
      <c r="J1364" s="10">
        <f>IF(D1364="","",IF(H1364="✓","完了",IF(G1364="","",IF(G1364&lt;TODAY(),"期限超過",IF(G1364=TODAY(),"今日まで","予定")))))</f>
        <v/>
      </c>
      <c r="K1364" s="22" t="n"/>
      <c r="L1364" s="26" t="n"/>
    </row>
    <row r="1365">
      <c r="A1365" s="11" t="n"/>
      <c r="B1365" s="11" t="n"/>
      <c r="C1365" s="10" t="n"/>
      <c r="D1365" s="11" t="n"/>
      <c r="E1365" s="10" t="n"/>
      <c r="F1365" s="22" t="n"/>
      <c r="G1365" s="24" t="n"/>
      <c r="H1365" s="23" t="n"/>
      <c r="I1365" s="25" t="n"/>
      <c r="J1365" s="10">
        <f>IF(D1365="","",IF(H1365="✓","完了",IF(G1365="","",IF(G1365&lt;TODAY(),"期限超過",IF(G1365=TODAY(),"今日まで","予定")))))</f>
        <v/>
      </c>
      <c r="K1365" s="22" t="n"/>
      <c r="L1365" s="26" t="n"/>
    </row>
    <row r="1366">
      <c r="A1366" s="11" t="n"/>
      <c r="B1366" s="11" t="n"/>
      <c r="C1366" s="10" t="n"/>
      <c r="D1366" s="11" t="n"/>
      <c r="E1366" s="10" t="n"/>
      <c r="F1366" s="22" t="n"/>
      <c r="G1366" s="24" t="n"/>
      <c r="H1366" s="23" t="n"/>
      <c r="I1366" s="25" t="n"/>
      <c r="J1366" s="10">
        <f>IF(D1366="","",IF(H1366="✓","完了",IF(G1366="","",IF(G1366&lt;TODAY(),"期限超過",IF(G1366=TODAY(),"今日まで","予定")))))</f>
        <v/>
      </c>
      <c r="K1366" s="22" t="n"/>
      <c r="L1366" s="26" t="n"/>
    </row>
    <row r="1367">
      <c r="A1367" s="11" t="n"/>
      <c r="B1367" s="11" t="n"/>
      <c r="C1367" s="10" t="n"/>
      <c r="D1367" s="11" t="n"/>
      <c r="E1367" s="10" t="n"/>
      <c r="F1367" s="22" t="n"/>
      <c r="G1367" s="24" t="n"/>
      <c r="H1367" s="23" t="n"/>
      <c r="I1367" s="25" t="n"/>
      <c r="J1367" s="10">
        <f>IF(D1367="","",IF(H1367="✓","完了",IF(G1367="","",IF(G1367&lt;TODAY(),"期限超過",IF(G1367=TODAY(),"今日まで","予定")))))</f>
        <v/>
      </c>
      <c r="K1367" s="22" t="n"/>
      <c r="L1367" s="26" t="n"/>
    </row>
    <row r="1368">
      <c r="A1368" s="11" t="n"/>
      <c r="B1368" s="11" t="n"/>
      <c r="C1368" s="10" t="n"/>
      <c r="D1368" s="11" t="n"/>
      <c r="E1368" s="10" t="n"/>
      <c r="F1368" s="22" t="n"/>
      <c r="G1368" s="24" t="n"/>
      <c r="H1368" s="23" t="n"/>
      <c r="I1368" s="25" t="n"/>
      <c r="J1368" s="10">
        <f>IF(D1368="","",IF(H1368="✓","完了",IF(G1368="","",IF(G1368&lt;TODAY(),"期限超過",IF(G1368=TODAY(),"今日まで","予定")))))</f>
        <v/>
      </c>
      <c r="K1368" s="22" t="n"/>
      <c r="L1368" s="26" t="n"/>
    </row>
    <row r="1369">
      <c r="A1369" s="11" t="n"/>
      <c r="B1369" s="11" t="n"/>
      <c r="C1369" s="10" t="n"/>
      <c r="D1369" s="11" t="n"/>
      <c r="E1369" s="10" t="n"/>
      <c r="F1369" s="22" t="n"/>
      <c r="G1369" s="24" t="n"/>
      <c r="H1369" s="23" t="n"/>
      <c r="I1369" s="25" t="n"/>
      <c r="J1369" s="10">
        <f>IF(D1369="","",IF(H1369="✓","完了",IF(G1369="","",IF(G1369&lt;TODAY(),"期限超過",IF(G1369=TODAY(),"今日まで","予定")))))</f>
        <v/>
      </c>
      <c r="K1369" s="22" t="n"/>
      <c r="L1369" s="26" t="n"/>
    </row>
    <row r="1370">
      <c r="A1370" s="11" t="n"/>
      <c r="B1370" s="11" t="n"/>
      <c r="C1370" s="10" t="n"/>
      <c r="D1370" s="11" t="n"/>
      <c r="E1370" s="10" t="n"/>
      <c r="F1370" s="22" t="n"/>
      <c r="G1370" s="24" t="n"/>
      <c r="H1370" s="23" t="n"/>
      <c r="I1370" s="25" t="n"/>
      <c r="J1370" s="10">
        <f>IF(D1370="","",IF(H1370="✓","完了",IF(G1370="","",IF(G1370&lt;TODAY(),"期限超過",IF(G1370=TODAY(),"今日まで","予定")))))</f>
        <v/>
      </c>
      <c r="K1370" s="22" t="n"/>
      <c r="L1370" s="26" t="n"/>
    </row>
    <row r="1371">
      <c r="A1371" s="11" t="n"/>
      <c r="B1371" s="11" t="n"/>
      <c r="C1371" s="10" t="n"/>
      <c r="D1371" s="11" t="n"/>
      <c r="E1371" s="10" t="n"/>
      <c r="F1371" s="22" t="n"/>
      <c r="G1371" s="24" t="n"/>
      <c r="H1371" s="23" t="n"/>
      <c r="I1371" s="25" t="n"/>
      <c r="J1371" s="10">
        <f>IF(D1371="","",IF(H1371="✓","完了",IF(G1371="","",IF(G1371&lt;TODAY(),"期限超過",IF(G1371=TODAY(),"今日まで","予定")))))</f>
        <v/>
      </c>
      <c r="K1371" s="22" t="n"/>
      <c r="L1371" s="26" t="n"/>
    </row>
    <row r="1372">
      <c r="A1372" s="11" t="n"/>
      <c r="B1372" s="11" t="n"/>
      <c r="C1372" s="10" t="n"/>
      <c r="D1372" s="11" t="n"/>
      <c r="E1372" s="10" t="n"/>
      <c r="F1372" s="22" t="n"/>
      <c r="G1372" s="24" t="n"/>
      <c r="H1372" s="23" t="n"/>
      <c r="I1372" s="25" t="n"/>
      <c r="J1372" s="10">
        <f>IF(D1372="","",IF(H1372="✓","完了",IF(G1372="","",IF(G1372&lt;TODAY(),"期限超過",IF(G1372=TODAY(),"今日まで","予定")))))</f>
        <v/>
      </c>
      <c r="K1372" s="22" t="n"/>
      <c r="L1372" s="26" t="n"/>
    </row>
    <row r="1373">
      <c r="A1373" s="11" t="n"/>
      <c r="B1373" s="11" t="n"/>
      <c r="C1373" s="10" t="n"/>
      <c r="D1373" s="11" t="n"/>
      <c r="E1373" s="10" t="n"/>
      <c r="F1373" s="22" t="n"/>
      <c r="G1373" s="24" t="n"/>
      <c r="H1373" s="23" t="n"/>
      <c r="I1373" s="25" t="n"/>
      <c r="J1373" s="10">
        <f>IF(D1373="","",IF(H1373="✓","完了",IF(G1373="","",IF(G1373&lt;TODAY(),"期限超過",IF(G1373=TODAY(),"今日まで","予定")))))</f>
        <v/>
      </c>
      <c r="K1373" s="22" t="n"/>
      <c r="L1373" s="26" t="n"/>
    </row>
    <row r="1374">
      <c r="A1374" s="11" t="n"/>
      <c r="B1374" s="11" t="n"/>
      <c r="C1374" s="10" t="n"/>
      <c r="D1374" s="11" t="n"/>
      <c r="E1374" s="10" t="n"/>
      <c r="F1374" s="22" t="n"/>
      <c r="G1374" s="24" t="n"/>
      <c r="H1374" s="23" t="n"/>
      <c r="I1374" s="25" t="n"/>
      <c r="J1374" s="10">
        <f>IF(D1374="","",IF(H1374="✓","完了",IF(G1374="","",IF(G1374&lt;TODAY(),"期限超過",IF(G1374=TODAY(),"今日まで","予定")))))</f>
        <v/>
      </c>
      <c r="K1374" s="22" t="n"/>
      <c r="L1374" s="26" t="n"/>
    </row>
    <row r="1375">
      <c r="A1375" s="11" t="n"/>
      <c r="B1375" s="11" t="n"/>
      <c r="C1375" s="10" t="n"/>
      <c r="D1375" s="11" t="n"/>
      <c r="E1375" s="10" t="n"/>
      <c r="F1375" s="22" t="n"/>
      <c r="G1375" s="24" t="n"/>
      <c r="H1375" s="23" t="n"/>
      <c r="I1375" s="25" t="n"/>
      <c r="J1375" s="10">
        <f>IF(D1375="","",IF(H1375="✓","完了",IF(G1375="","",IF(G1375&lt;TODAY(),"期限超過",IF(G1375=TODAY(),"今日まで","予定")))))</f>
        <v/>
      </c>
      <c r="K1375" s="22" t="n"/>
      <c r="L1375" s="26" t="n"/>
    </row>
    <row r="1376">
      <c r="A1376" s="11" t="n"/>
      <c r="B1376" s="11" t="n"/>
      <c r="C1376" s="10" t="n"/>
      <c r="D1376" s="11" t="n"/>
      <c r="E1376" s="10" t="n"/>
      <c r="F1376" s="22" t="n"/>
      <c r="G1376" s="24" t="n"/>
      <c r="H1376" s="23" t="n"/>
      <c r="I1376" s="25" t="n"/>
      <c r="J1376" s="10">
        <f>IF(D1376="","",IF(H1376="✓","完了",IF(G1376="","",IF(G1376&lt;TODAY(),"期限超過",IF(G1376=TODAY(),"今日まで","予定")))))</f>
        <v/>
      </c>
      <c r="K1376" s="22" t="n"/>
      <c r="L1376" s="26" t="n"/>
    </row>
    <row r="1377">
      <c r="A1377" s="11" t="n"/>
      <c r="B1377" s="11" t="n"/>
      <c r="C1377" s="10" t="n"/>
      <c r="D1377" s="11" t="n"/>
      <c r="E1377" s="10" t="n"/>
      <c r="F1377" s="22" t="n"/>
      <c r="G1377" s="24" t="n"/>
      <c r="H1377" s="23" t="n"/>
      <c r="I1377" s="25" t="n"/>
      <c r="J1377" s="10">
        <f>IF(D1377="","",IF(H1377="✓","完了",IF(G1377="","",IF(G1377&lt;TODAY(),"期限超過",IF(G1377=TODAY(),"今日まで","予定")))))</f>
        <v/>
      </c>
      <c r="K1377" s="22" t="n"/>
      <c r="L1377" s="26" t="n"/>
    </row>
    <row r="1378">
      <c r="A1378" s="11" t="n"/>
      <c r="B1378" s="11" t="n"/>
      <c r="C1378" s="10" t="n"/>
      <c r="D1378" s="11" t="n"/>
      <c r="E1378" s="10" t="n"/>
      <c r="F1378" s="22" t="n"/>
      <c r="G1378" s="24" t="n"/>
      <c r="H1378" s="23" t="n"/>
      <c r="I1378" s="25" t="n"/>
      <c r="J1378" s="10">
        <f>IF(D1378="","",IF(H1378="✓","完了",IF(G1378="","",IF(G1378&lt;TODAY(),"期限超過",IF(G1378=TODAY(),"今日まで","予定")))))</f>
        <v/>
      </c>
      <c r="K1378" s="22" t="n"/>
      <c r="L1378" s="26" t="n"/>
    </row>
    <row r="1379">
      <c r="A1379" s="11" t="n"/>
      <c r="B1379" s="11" t="n"/>
      <c r="C1379" s="10" t="n"/>
      <c r="D1379" s="11" t="n"/>
      <c r="E1379" s="10" t="n"/>
      <c r="F1379" s="22" t="n"/>
      <c r="G1379" s="24" t="n"/>
      <c r="H1379" s="23" t="n"/>
      <c r="I1379" s="25" t="n"/>
      <c r="J1379" s="10">
        <f>IF(D1379="","",IF(H1379="✓","完了",IF(G1379="","",IF(G1379&lt;TODAY(),"期限超過",IF(G1379=TODAY(),"今日まで","予定")))))</f>
        <v/>
      </c>
      <c r="K1379" s="22" t="n"/>
      <c r="L1379" s="26" t="n"/>
    </row>
    <row r="1380">
      <c r="A1380" s="11" t="n"/>
      <c r="B1380" s="11" t="n"/>
      <c r="C1380" s="10" t="n"/>
      <c r="D1380" s="11" t="n"/>
      <c r="E1380" s="10" t="n"/>
      <c r="F1380" s="22" t="n"/>
      <c r="G1380" s="24" t="n"/>
      <c r="H1380" s="23" t="n"/>
      <c r="I1380" s="25" t="n"/>
      <c r="J1380" s="10">
        <f>IF(D1380="","",IF(H1380="✓","完了",IF(G1380="","",IF(G1380&lt;TODAY(),"期限超過",IF(G1380=TODAY(),"今日まで","予定")))))</f>
        <v/>
      </c>
      <c r="K1380" s="22" t="n"/>
      <c r="L1380" s="26" t="n"/>
    </row>
    <row r="1381">
      <c r="A1381" s="11" t="n"/>
      <c r="B1381" s="11" t="n"/>
      <c r="C1381" s="10" t="n"/>
      <c r="D1381" s="11" t="n"/>
      <c r="E1381" s="10" t="n"/>
      <c r="F1381" s="22" t="n"/>
      <c r="G1381" s="24" t="n"/>
      <c r="H1381" s="23" t="n"/>
      <c r="I1381" s="25" t="n"/>
      <c r="J1381" s="10">
        <f>IF(D1381="","",IF(H1381="✓","完了",IF(G1381="","",IF(G1381&lt;TODAY(),"期限超過",IF(G1381=TODAY(),"今日まで","予定")))))</f>
        <v/>
      </c>
      <c r="K1381" s="22" t="n"/>
      <c r="L1381" s="26" t="n"/>
    </row>
    <row r="1382">
      <c r="A1382" s="11" t="n"/>
      <c r="B1382" s="11" t="n"/>
      <c r="C1382" s="10" t="n"/>
      <c r="D1382" s="11" t="n"/>
      <c r="E1382" s="10" t="n"/>
      <c r="F1382" s="22" t="n"/>
      <c r="G1382" s="24" t="n"/>
      <c r="H1382" s="23" t="n"/>
      <c r="I1382" s="25" t="n"/>
      <c r="J1382" s="10">
        <f>IF(D1382="","",IF(H1382="✓","完了",IF(G1382="","",IF(G1382&lt;TODAY(),"期限超過",IF(G1382=TODAY(),"今日まで","予定")))))</f>
        <v/>
      </c>
      <c r="K1382" s="22" t="n"/>
      <c r="L1382" s="26" t="n"/>
    </row>
    <row r="1383">
      <c r="A1383" s="11" t="n"/>
      <c r="B1383" s="11" t="n"/>
      <c r="C1383" s="10" t="n"/>
      <c r="D1383" s="11" t="n"/>
      <c r="E1383" s="10" t="n"/>
      <c r="F1383" s="22" t="n"/>
      <c r="G1383" s="24" t="n"/>
      <c r="H1383" s="23" t="n"/>
      <c r="I1383" s="25" t="n"/>
      <c r="J1383" s="10">
        <f>IF(D1383="","",IF(H1383="✓","完了",IF(G1383="","",IF(G1383&lt;TODAY(),"期限超過",IF(G1383=TODAY(),"今日まで","予定")))))</f>
        <v/>
      </c>
      <c r="K1383" s="22" t="n"/>
      <c r="L1383" s="26" t="n"/>
    </row>
    <row r="1384">
      <c r="A1384" s="11" t="n"/>
      <c r="B1384" s="11" t="n"/>
      <c r="C1384" s="10" t="n"/>
      <c r="D1384" s="11" t="n"/>
      <c r="E1384" s="10" t="n"/>
      <c r="F1384" s="22" t="n"/>
      <c r="G1384" s="24" t="n"/>
      <c r="H1384" s="23" t="n"/>
      <c r="I1384" s="25" t="n"/>
      <c r="J1384" s="10">
        <f>IF(D1384="","",IF(H1384="✓","完了",IF(G1384="","",IF(G1384&lt;TODAY(),"期限超過",IF(G1384=TODAY(),"今日まで","予定")))))</f>
        <v/>
      </c>
      <c r="K1384" s="22" t="n"/>
      <c r="L1384" s="26" t="n"/>
    </row>
    <row r="1385">
      <c r="A1385" s="11" t="n"/>
      <c r="B1385" s="11" t="n"/>
      <c r="C1385" s="10" t="n"/>
      <c r="D1385" s="11" t="n"/>
      <c r="E1385" s="10" t="n"/>
      <c r="F1385" s="22" t="n"/>
      <c r="G1385" s="24" t="n"/>
      <c r="H1385" s="23" t="n"/>
      <c r="I1385" s="25" t="n"/>
      <c r="J1385" s="10">
        <f>IF(D1385="","",IF(H1385="✓","完了",IF(G1385="","",IF(G1385&lt;TODAY(),"期限超過",IF(G1385=TODAY(),"今日まで","予定")))))</f>
        <v/>
      </c>
      <c r="K1385" s="22" t="n"/>
      <c r="L1385" s="26" t="n"/>
    </row>
    <row r="1386">
      <c r="A1386" s="11" t="n"/>
      <c r="B1386" s="11" t="n"/>
      <c r="C1386" s="10" t="n"/>
      <c r="D1386" s="11" t="n"/>
      <c r="E1386" s="10" t="n"/>
      <c r="F1386" s="22" t="n"/>
      <c r="G1386" s="24" t="n"/>
      <c r="H1386" s="23" t="n"/>
      <c r="I1386" s="25" t="n"/>
      <c r="J1386" s="10">
        <f>IF(D1386="","",IF(H1386="✓","完了",IF(G1386="","",IF(G1386&lt;TODAY(),"期限超過",IF(G1386=TODAY(),"今日まで","予定")))))</f>
        <v/>
      </c>
      <c r="K1386" s="22" t="n"/>
      <c r="L1386" s="26" t="n"/>
    </row>
    <row r="1387">
      <c r="A1387" s="11" t="n"/>
      <c r="B1387" s="11" t="n"/>
      <c r="C1387" s="10" t="n"/>
      <c r="D1387" s="11" t="n"/>
      <c r="E1387" s="10" t="n"/>
      <c r="F1387" s="22" t="n"/>
      <c r="G1387" s="24" t="n"/>
      <c r="H1387" s="23" t="n"/>
      <c r="I1387" s="25" t="n"/>
      <c r="J1387" s="10">
        <f>IF(D1387="","",IF(H1387="✓","完了",IF(G1387="","",IF(G1387&lt;TODAY(),"期限超過",IF(G1387=TODAY(),"今日まで","予定")))))</f>
        <v/>
      </c>
      <c r="K1387" s="22" t="n"/>
      <c r="L1387" s="26" t="n"/>
    </row>
    <row r="1388">
      <c r="A1388" s="11" t="n"/>
      <c r="B1388" s="11" t="n"/>
      <c r="C1388" s="10" t="n"/>
      <c r="D1388" s="11" t="n"/>
      <c r="E1388" s="10" t="n"/>
      <c r="F1388" s="22" t="n"/>
      <c r="G1388" s="24" t="n"/>
      <c r="H1388" s="23" t="n"/>
      <c r="I1388" s="25" t="n"/>
      <c r="J1388" s="10">
        <f>IF(D1388="","",IF(H1388="✓","完了",IF(G1388="","",IF(G1388&lt;TODAY(),"期限超過",IF(G1388=TODAY(),"今日まで","予定")))))</f>
        <v/>
      </c>
      <c r="K1388" s="22" t="n"/>
      <c r="L1388" s="26" t="n"/>
    </row>
    <row r="1389">
      <c r="A1389" s="11" t="n"/>
      <c r="B1389" s="11" t="n"/>
      <c r="C1389" s="10" t="n"/>
      <c r="D1389" s="11" t="n"/>
      <c r="E1389" s="10" t="n"/>
      <c r="F1389" s="22" t="n"/>
      <c r="G1389" s="24" t="n"/>
      <c r="H1389" s="23" t="n"/>
      <c r="I1389" s="25" t="n"/>
      <c r="J1389" s="10">
        <f>IF(D1389="","",IF(H1389="✓","完了",IF(G1389="","",IF(G1389&lt;TODAY(),"期限超過",IF(G1389=TODAY(),"今日まで","予定")))))</f>
        <v/>
      </c>
      <c r="K1389" s="22" t="n"/>
      <c r="L1389" s="26" t="n"/>
    </row>
    <row r="1390">
      <c r="A1390" s="11" t="n"/>
      <c r="B1390" s="11" t="n"/>
      <c r="C1390" s="10" t="n"/>
      <c r="D1390" s="11" t="n"/>
      <c r="E1390" s="10" t="n"/>
      <c r="F1390" s="22" t="n"/>
      <c r="G1390" s="24" t="n"/>
      <c r="H1390" s="23" t="n"/>
      <c r="I1390" s="25" t="n"/>
      <c r="J1390" s="10">
        <f>IF(D1390="","",IF(H1390="✓","完了",IF(G1390="","",IF(G1390&lt;TODAY(),"期限超過",IF(G1390=TODAY(),"今日まで","予定")))))</f>
        <v/>
      </c>
      <c r="K1390" s="22" t="n"/>
      <c r="L1390" s="26" t="n"/>
    </row>
    <row r="1391">
      <c r="A1391" s="11" t="n"/>
      <c r="B1391" s="11" t="n"/>
      <c r="C1391" s="10" t="n"/>
      <c r="D1391" s="11" t="n"/>
      <c r="E1391" s="10" t="n"/>
      <c r="F1391" s="22" t="n"/>
      <c r="G1391" s="24" t="n"/>
      <c r="H1391" s="23" t="n"/>
      <c r="I1391" s="25" t="n"/>
      <c r="J1391" s="10">
        <f>IF(D1391="","",IF(H1391="✓","完了",IF(G1391="","",IF(G1391&lt;TODAY(),"期限超過",IF(G1391=TODAY(),"今日まで","予定")))))</f>
        <v/>
      </c>
      <c r="K1391" s="22" t="n"/>
      <c r="L1391" s="26" t="n"/>
    </row>
    <row r="1392">
      <c r="A1392" s="11" t="n"/>
      <c r="B1392" s="11" t="n"/>
      <c r="C1392" s="10" t="n"/>
      <c r="D1392" s="11" t="n"/>
      <c r="E1392" s="10" t="n"/>
      <c r="F1392" s="22" t="n"/>
      <c r="G1392" s="24" t="n"/>
      <c r="H1392" s="23" t="n"/>
      <c r="I1392" s="25" t="n"/>
      <c r="J1392" s="10">
        <f>IF(D1392="","",IF(H1392="✓","完了",IF(G1392="","",IF(G1392&lt;TODAY(),"期限超過",IF(G1392=TODAY(),"今日まで","予定")))))</f>
        <v/>
      </c>
      <c r="K1392" s="22" t="n"/>
      <c r="L1392" s="26" t="n"/>
    </row>
    <row r="1393">
      <c r="A1393" s="11" t="n"/>
      <c r="B1393" s="11" t="n"/>
      <c r="C1393" s="10" t="n"/>
      <c r="D1393" s="11" t="n"/>
      <c r="E1393" s="10" t="n"/>
      <c r="F1393" s="22" t="n"/>
      <c r="G1393" s="24" t="n"/>
      <c r="H1393" s="23" t="n"/>
      <c r="I1393" s="25" t="n"/>
      <c r="J1393" s="10">
        <f>IF(D1393="","",IF(H1393="✓","完了",IF(G1393="","",IF(G1393&lt;TODAY(),"期限超過",IF(G1393=TODAY(),"今日まで","予定")))))</f>
        <v/>
      </c>
      <c r="K1393" s="22" t="n"/>
      <c r="L1393" s="26" t="n"/>
    </row>
    <row r="1394">
      <c r="A1394" s="11" t="n"/>
      <c r="B1394" s="11" t="n"/>
      <c r="C1394" s="10" t="n"/>
      <c r="D1394" s="11" t="n"/>
      <c r="E1394" s="10" t="n"/>
      <c r="F1394" s="22" t="n"/>
      <c r="G1394" s="24" t="n"/>
      <c r="H1394" s="23" t="n"/>
      <c r="I1394" s="25" t="n"/>
      <c r="J1394" s="10">
        <f>IF(D1394="","",IF(H1394="✓","完了",IF(G1394="","",IF(G1394&lt;TODAY(),"期限超過",IF(G1394=TODAY(),"今日まで","予定")))))</f>
        <v/>
      </c>
      <c r="K1394" s="22" t="n"/>
      <c r="L1394" s="26" t="n"/>
    </row>
    <row r="1395">
      <c r="A1395" s="11" t="n"/>
      <c r="B1395" s="11" t="n"/>
      <c r="C1395" s="10" t="n"/>
      <c r="D1395" s="11" t="n"/>
      <c r="E1395" s="10" t="n"/>
      <c r="F1395" s="22" t="n"/>
      <c r="G1395" s="24" t="n"/>
      <c r="H1395" s="23" t="n"/>
      <c r="I1395" s="25" t="n"/>
      <c r="J1395" s="10">
        <f>IF(D1395="","",IF(H1395="✓","完了",IF(G1395="","",IF(G1395&lt;TODAY(),"期限超過",IF(G1395=TODAY(),"今日まで","予定")))))</f>
        <v/>
      </c>
      <c r="K1395" s="22" t="n"/>
      <c r="L1395" s="26" t="n"/>
    </row>
    <row r="1396">
      <c r="A1396" s="11" t="n"/>
      <c r="B1396" s="11" t="n"/>
      <c r="C1396" s="10" t="n"/>
      <c r="D1396" s="11" t="n"/>
      <c r="E1396" s="10" t="n"/>
      <c r="F1396" s="22" t="n"/>
      <c r="G1396" s="24" t="n"/>
      <c r="H1396" s="23" t="n"/>
      <c r="I1396" s="25" t="n"/>
      <c r="J1396" s="10">
        <f>IF(D1396="","",IF(H1396="✓","完了",IF(G1396="","",IF(G1396&lt;TODAY(),"期限超過",IF(G1396=TODAY(),"今日まで","予定")))))</f>
        <v/>
      </c>
      <c r="K1396" s="22" t="n"/>
      <c r="L1396" s="26" t="n"/>
    </row>
    <row r="1397">
      <c r="A1397" s="11" t="n"/>
      <c r="B1397" s="11" t="n"/>
      <c r="C1397" s="10" t="n"/>
      <c r="D1397" s="11" t="n"/>
      <c r="E1397" s="10" t="n"/>
      <c r="F1397" s="22" t="n"/>
      <c r="G1397" s="24" t="n"/>
      <c r="H1397" s="23" t="n"/>
      <c r="I1397" s="25" t="n"/>
      <c r="J1397" s="10">
        <f>IF(D1397="","",IF(H1397="✓","完了",IF(G1397="","",IF(G1397&lt;TODAY(),"期限超過",IF(G1397=TODAY(),"今日まで","予定")))))</f>
        <v/>
      </c>
      <c r="K1397" s="22" t="n"/>
      <c r="L1397" s="26" t="n"/>
    </row>
    <row r="1398">
      <c r="A1398" s="11" t="n"/>
      <c r="B1398" s="11" t="n"/>
      <c r="C1398" s="10" t="n"/>
      <c r="D1398" s="11" t="n"/>
      <c r="E1398" s="10" t="n"/>
      <c r="F1398" s="22" t="n"/>
      <c r="G1398" s="24" t="n"/>
      <c r="H1398" s="23" t="n"/>
      <c r="I1398" s="25" t="n"/>
      <c r="J1398" s="10">
        <f>IF(D1398="","",IF(H1398="✓","完了",IF(G1398="","",IF(G1398&lt;TODAY(),"期限超過",IF(G1398=TODAY(),"今日まで","予定")))))</f>
        <v/>
      </c>
      <c r="K1398" s="22" t="n"/>
      <c r="L1398" s="26" t="n"/>
    </row>
    <row r="1399">
      <c r="A1399" s="11" t="n"/>
      <c r="B1399" s="11" t="n"/>
      <c r="C1399" s="10" t="n"/>
      <c r="D1399" s="11" t="n"/>
      <c r="E1399" s="10" t="n"/>
      <c r="F1399" s="22" t="n"/>
      <c r="G1399" s="24" t="n"/>
      <c r="H1399" s="23" t="n"/>
      <c r="I1399" s="25" t="n"/>
      <c r="J1399" s="10">
        <f>IF(D1399="","",IF(H1399="✓","完了",IF(G1399="","",IF(G1399&lt;TODAY(),"期限超過",IF(G1399=TODAY(),"今日まで","予定")))))</f>
        <v/>
      </c>
      <c r="K1399" s="22" t="n"/>
      <c r="L1399" s="26" t="n"/>
    </row>
    <row r="1400">
      <c r="A1400" s="11" t="n"/>
      <c r="B1400" s="11" t="n"/>
      <c r="C1400" s="10" t="n"/>
      <c r="D1400" s="11" t="n"/>
      <c r="E1400" s="10" t="n"/>
      <c r="F1400" s="22" t="n"/>
      <c r="G1400" s="24" t="n"/>
      <c r="H1400" s="23" t="n"/>
      <c r="I1400" s="25" t="n"/>
      <c r="J1400" s="10">
        <f>IF(D1400="","",IF(H1400="✓","完了",IF(G1400="","",IF(G1400&lt;TODAY(),"期限超過",IF(G1400=TODAY(),"今日まで","予定")))))</f>
        <v/>
      </c>
      <c r="K1400" s="22" t="n"/>
      <c r="L1400" s="26" t="n"/>
    </row>
    <row r="1401">
      <c r="A1401" s="11" t="n"/>
      <c r="B1401" s="11" t="n"/>
      <c r="C1401" s="10" t="n"/>
      <c r="D1401" s="11" t="n"/>
      <c r="E1401" s="10" t="n"/>
      <c r="F1401" s="22" t="n"/>
      <c r="G1401" s="24" t="n"/>
      <c r="H1401" s="23" t="n"/>
      <c r="I1401" s="25" t="n"/>
      <c r="J1401" s="10">
        <f>IF(D1401="","",IF(H1401="✓","完了",IF(G1401="","",IF(G1401&lt;TODAY(),"期限超過",IF(G1401=TODAY(),"今日まで","予定")))))</f>
        <v/>
      </c>
      <c r="K1401" s="22" t="n"/>
      <c r="L1401" s="26" t="n"/>
    </row>
    <row r="1402">
      <c r="A1402" s="11" t="n"/>
      <c r="B1402" s="11" t="n"/>
      <c r="C1402" s="10" t="n"/>
      <c r="D1402" s="11" t="n"/>
      <c r="E1402" s="10" t="n"/>
      <c r="F1402" s="22" t="n"/>
      <c r="G1402" s="24" t="n"/>
      <c r="H1402" s="23" t="n"/>
      <c r="I1402" s="25" t="n"/>
      <c r="J1402" s="10">
        <f>IF(D1402="","",IF(H1402="✓","完了",IF(G1402="","",IF(G1402&lt;TODAY(),"期限超過",IF(G1402=TODAY(),"今日まで","予定")))))</f>
        <v/>
      </c>
      <c r="K1402" s="22" t="n"/>
      <c r="L1402" s="26" t="n"/>
    </row>
    <row r="1403">
      <c r="A1403" s="11" t="n"/>
      <c r="B1403" s="11" t="n"/>
      <c r="C1403" s="10" t="n"/>
      <c r="D1403" s="11" t="n"/>
      <c r="E1403" s="10" t="n"/>
      <c r="F1403" s="22" t="n"/>
      <c r="G1403" s="24" t="n"/>
      <c r="H1403" s="23" t="n"/>
      <c r="I1403" s="25" t="n"/>
      <c r="J1403" s="10">
        <f>IF(D1403="","",IF(H1403="✓","完了",IF(G1403="","",IF(G1403&lt;TODAY(),"期限超過",IF(G1403=TODAY(),"今日まで","予定")))))</f>
        <v/>
      </c>
      <c r="K1403" s="22" t="n"/>
      <c r="L1403" s="26" t="n"/>
    </row>
    <row r="1404">
      <c r="A1404" s="11" t="n"/>
      <c r="B1404" s="11" t="n"/>
      <c r="C1404" s="10" t="n"/>
      <c r="D1404" s="11" t="n"/>
      <c r="E1404" s="10" t="n"/>
      <c r="F1404" s="22" t="n"/>
      <c r="G1404" s="24" t="n"/>
      <c r="H1404" s="23" t="n"/>
      <c r="I1404" s="25" t="n"/>
      <c r="J1404" s="10">
        <f>IF(D1404="","",IF(H1404="✓","完了",IF(G1404="","",IF(G1404&lt;TODAY(),"期限超過",IF(G1404=TODAY(),"今日まで","予定")))))</f>
        <v/>
      </c>
      <c r="K1404" s="22" t="n"/>
      <c r="L1404" s="26" t="n"/>
    </row>
    <row r="1405">
      <c r="A1405" s="11" t="n"/>
      <c r="B1405" s="11" t="n"/>
      <c r="C1405" s="10" t="n"/>
      <c r="D1405" s="11" t="n"/>
      <c r="E1405" s="10" t="n"/>
      <c r="F1405" s="22" t="n"/>
      <c r="G1405" s="24" t="n"/>
      <c r="H1405" s="23" t="n"/>
      <c r="I1405" s="25" t="n"/>
      <c r="J1405" s="10">
        <f>IF(D1405="","",IF(H1405="✓","完了",IF(G1405="","",IF(G1405&lt;TODAY(),"期限超過",IF(G1405=TODAY(),"今日まで","予定")))))</f>
        <v/>
      </c>
      <c r="K1405" s="22" t="n"/>
      <c r="L1405" s="26" t="n"/>
    </row>
    <row r="1406">
      <c r="A1406" s="11" t="n"/>
      <c r="B1406" s="11" t="n"/>
      <c r="C1406" s="10" t="n"/>
      <c r="D1406" s="11" t="n"/>
      <c r="E1406" s="10" t="n"/>
      <c r="F1406" s="22" t="n"/>
      <c r="G1406" s="24" t="n"/>
      <c r="H1406" s="23" t="n"/>
      <c r="I1406" s="25" t="n"/>
      <c r="J1406" s="10">
        <f>IF(D1406="","",IF(H1406="✓","完了",IF(G1406="","",IF(G1406&lt;TODAY(),"期限超過",IF(G1406=TODAY(),"今日まで","予定")))))</f>
        <v/>
      </c>
      <c r="K1406" s="22" t="n"/>
      <c r="L1406" s="26" t="n"/>
    </row>
    <row r="1407">
      <c r="A1407" s="11" t="n"/>
      <c r="B1407" s="11" t="n"/>
      <c r="C1407" s="10" t="n"/>
      <c r="D1407" s="11" t="n"/>
      <c r="E1407" s="10" t="n"/>
      <c r="F1407" s="22" t="n"/>
      <c r="G1407" s="24" t="n"/>
      <c r="H1407" s="23" t="n"/>
      <c r="I1407" s="25" t="n"/>
      <c r="J1407" s="10">
        <f>IF(D1407="","",IF(H1407="✓","完了",IF(G1407="","",IF(G1407&lt;TODAY(),"期限超過",IF(G1407=TODAY(),"今日まで","予定")))))</f>
        <v/>
      </c>
      <c r="K1407" s="22" t="n"/>
      <c r="L1407" s="26" t="n"/>
    </row>
    <row r="1408">
      <c r="A1408" s="11" t="n"/>
      <c r="B1408" s="11" t="n"/>
      <c r="C1408" s="10" t="n"/>
      <c r="D1408" s="11" t="n"/>
      <c r="E1408" s="10" t="n"/>
      <c r="F1408" s="22" t="n"/>
      <c r="G1408" s="24" t="n"/>
      <c r="H1408" s="23" t="n"/>
      <c r="I1408" s="25" t="n"/>
      <c r="J1408" s="10">
        <f>IF(D1408="","",IF(H1408="✓","完了",IF(G1408="","",IF(G1408&lt;TODAY(),"期限超過",IF(G1408=TODAY(),"今日まで","予定")))))</f>
        <v/>
      </c>
      <c r="K1408" s="22" t="n"/>
      <c r="L1408" s="26" t="n"/>
    </row>
    <row r="1409">
      <c r="A1409" s="11" t="n"/>
      <c r="B1409" s="11" t="n"/>
      <c r="C1409" s="10" t="n"/>
      <c r="D1409" s="11" t="n"/>
      <c r="E1409" s="10" t="n"/>
      <c r="F1409" s="22" t="n"/>
      <c r="G1409" s="24" t="n"/>
      <c r="H1409" s="23" t="n"/>
      <c r="I1409" s="25" t="n"/>
      <c r="J1409" s="10">
        <f>IF(D1409="","",IF(H1409="✓","完了",IF(G1409="","",IF(G1409&lt;TODAY(),"期限超過",IF(G1409=TODAY(),"今日まで","予定")))))</f>
        <v/>
      </c>
      <c r="K1409" s="22" t="n"/>
      <c r="L1409" s="26" t="n"/>
    </row>
    <row r="1410">
      <c r="A1410" s="11" t="n"/>
      <c r="B1410" s="11" t="n"/>
      <c r="C1410" s="10" t="n"/>
      <c r="D1410" s="11" t="n"/>
      <c r="E1410" s="10" t="n"/>
      <c r="F1410" s="22" t="n"/>
      <c r="G1410" s="24" t="n"/>
      <c r="H1410" s="23" t="n"/>
      <c r="I1410" s="25" t="n"/>
      <c r="J1410" s="10">
        <f>IF(D1410="","",IF(H1410="✓","完了",IF(G1410="","",IF(G1410&lt;TODAY(),"期限超過",IF(G1410=TODAY(),"今日まで","予定")))))</f>
        <v/>
      </c>
      <c r="K1410" s="22" t="n"/>
      <c r="L1410" s="26" t="n"/>
    </row>
    <row r="1411">
      <c r="A1411" s="11" t="n"/>
      <c r="B1411" s="11" t="n"/>
      <c r="C1411" s="10" t="n"/>
      <c r="D1411" s="11" t="n"/>
      <c r="E1411" s="10" t="n"/>
      <c r="F1411" s="22" t="n"/>
      <c r="G1411" s="24" t="n"/>
      <c r="H1411" s="23" t="n"/>
      <c r="I1411" s="25" t="n"/>
      <c r="J1411" s="10">
        <f>IF(D1411="","",IF(H1411="✓","完了",IF(G1411="","",IF(G1411&lt;TODAY(),"期限超過",IF(G1411=TODAY(),"今日まで","予定")))))</f>
        <v/>
      </c>
      <c r="K1411" s="22" t="n"/>
      <c r="L1411" s="26" t="n"/>
    </row>
    <row r="1412">
      <c r="A1412" s="11" t="n"/>
      <c r="B1412" s="11" t="n"/>
      <c r="C1412" s="10" t="n"/>
      <c r="D1412" s="11" t="n"/>
      <c r="E1412" s="10" t="n"/>
      <c r="F1412" s="22" t="n"/>
      <c r="G1412" s="24" t="n"/>
      <c r="H1412" s="23" t="n"/>
      <c r="I1412" s="25" t="n"/>
      <c r="J1412" s="10">
        <f>IF(D1412="","",IF(H1412="✓","完了",IF(G1412="","",IF(G1412&lt;TODAY(),"期限超過",IF(G1412=TODAY(),"今日まで","予定")))))</f>
        <v/>
      </c>
      <c r="K1412" s="22" t="n"/>
      <c r="L1412" s="26" t="n"/>
    </row>
    <row r="1413">
      <c r="A1413" s="11" t="n"/>
      <c r="B1413" s="11" t="n"/>
      <c r="C1413" s="10" t="n"/>
      <c r="D1413" s="11" t="n"/>
      <c r="E1413" s="10" t="n"/>
      <c r="F1413" s="22" t="n"/>
      <c r="G1413" s="24" t="n"/>
      <c r="H1413" s="23" t="n"/>
      <c r="I1413" s="25" t="n"/>
      <c r="J1413" s="10">
        <f>IF(D1413="","",IF(H1413="✓","完了",IF(G1413="","",IF(G1413&lt;TODAY(),"期限超過",IF(G1413=TODAY(),"今日まで","予定")))))</f>
        <v/>
      </c>
      <c r="K1413" s="22" t="n"/>
      <c r="L1413" s="26" t="n"/>
    </row>
    <row r="1414">
      <c r="A1414" s="11" t="n"/>
      <c r="B1414" s="11" t="n"/>
      <c r="C1414" s="10" t="n"/>
      <c r="D1414" s="11" t="n"/>
      <c r="E1414" s="10" t="n"/>
      <c r="F1414" s="22" t="n"/>
      <c r="G1414" s="24" t="n"/>
      <c r="H1414" s="23" t="n"/>
      <c r="I1414" s="25" t="n"/>
      <c r="J1414" s="10">
        <f>IF(D1414="","",IF(H1414="✓","完了",IF(G1414="","",IF(G1414&lt;TODAY(),"期限超過",IF(G1414=TODAY(),"今日まで","予定")))))</f>
        <v/>
      </c>
      <c r="K1414" s="22" t="n"/>
      <c r="L1414" s="26" t="n"/>
    </row>
    <row r="1415">
      <c r="A1415" s="11" t="n"/>
      <c r="B1415" s="11" t="n"/>
      <c r="C1415" s="10" t="n"/>
      <c r="D1415" s="11" t="n"/>
      <c r="E1415" s="10" t="n"/>
      <c r="F1415" s="22" t="n"/>
      <c r="G1415" s="24" t="n"/>
      <c r="H1415" s="23" t="n"/>
      <c r="I1415" s="25" t="n"/>
      <c r="J1415" s="10">
        <f>IF(D1415="","",IF(H1415="✓","完了",IF(G1415="","",IF(G1415&lt;TODAY(),"期限超過",IF(G1415=TODAY(),"今日まで","予定")))))</f>
        <v/>
      </c>
      <c r="K1415" s="22" t="n"/>
      <c r="L1415" s="26" t="n"/>
    </row>
    <row r="1416">
      <c r="A1416" s="11" t="n"/>
      <c r="B1416" s="11" t="n"/>
      <c r="C1416" s="10" t="n"/>
      <c r="D1416" s="11" t="n"/>
      <c r="E1416" s="10" t="n"/>
      <c r="F1416" s="22" t="n"/>
      <c r="G1416" s="24" t="n"/>
      <c r="H1416" s="23" t="n"/>
      <c r="I1416" s="25" t="n"/>
      <c r="J1416" s="10">
        <f>IF(D1416="","",IF(H1416="✓","完了",IF(G1416="","",IF(G1416&lt;TODAY(),"期限超過",IF(G1416=TODAY(),"今日まで","予定")))))</f>
        <v/>
      </c>
      <c r="K1416" s="22" t="n"/>
      <c r="L1416" s="26" t="n"/>
    </row>
    <row r="1417">
      <c r="A1417" s="11" t="n"/>
      <c r="B1417" s="11" t="n"/>
      <c r="C1417" s="10" t="n"/>
      <c r="D1417" s="11" t="n"/>
      <c r="E1417" s="10" t="n"/>
      <c r="F1417" s="22" t="n"/>
      <c r="G1417" s="24" t="n"/>
      <c r="H1417" s="23" t="n"/>
      <c r="I1417" s="25" t="n"/>
      <c r="J1417" s="10">
        <f>IF(D1417="","",IF(H1417="✓","完了",IF(G1417="","",IF(G1417&lt;TODAY(),"期限超過",IF(G1417=TODAY(),"今日まで","予定")))))</f>
        <v/>
      </c>
      <c r="K1417" s="22" t="n"/>
      <c r="L1417" s="26" t="n"/>
    </row>
    <row r="1418">
      <c r="A1418" s="11" t="n"/>
      <c r="B1418" s="11" t="n"/>
      <c r="C1418" s="10" t="n"/>
      <c r="D1418" s="11" t="n"/>
      <c r="E1418" s="10" t="n"/>
      <c r="F1418" s="22" t="n"/>
      <c r="G1418" s="24" t="n"/>
      <c r="H1418" s="23" t="n"/>
      <c r="I1418" s="25" t="n"/>
      <c r="J1418" s="10">
        <f>IF(D1418="","",IF(H1418="✓","完了",IF(G1418="","",IF(G1418&lt;TODAY(),"期限超過",IF(G1418=TODAY(),"今日まで","予定")))))</f>
        <v/>
      </c>
      <c r="K1418" s="22" t="n"/>
      <c r="L1418" s="26" t="n"/>
    </row>
    <row r="1419">
      <c r="A1419" s="11" t="n"/>
      <c r="B1419" s="11" t="n"/>
      <c r="C1419" s="10" t="n"/>
      <c r="D1419" s="11" t="n"/>
      <c r="E1419" s="10" t="n"/>
      <c r="F1419" s="22" t="n"/>
      <c r="G1419" s="24" t="n"/>
      <c r="H1419" s="23" t="n"/>
      <c r="I1419" s="25" t="n"/>
      <c r="J1419" s="10">
        <f>IF(D1419="","",IF(H1419="✓","完了",IF(G1419="","",IF(G1419&lt;TODAY(),"期限超過",IF(G1419=TODAY(),"今日まで","予定")))))</f>
        <v/>
      </c>
      <c r="K1419" s="22" t="n"/>
      <c r="L1419" s="26" t="n"/>
    </row>
    <row r="1420">
      <c r="A1420" s="11" t="n"/>
      <c r="B1420" s="11" t="n"/>
      <c r="C1420" s="10" t="n"/>
      <c r="D1420" s="11" t="n"/>
      <c r="E1420" s="10" t="n"/>
      <c r="F1420" s="22" t="n"/>
      <c r="G1420" s="24" t="n"/>
      <c r="H1420" s="23" t="n"/>
      <c r="I1420" s="25" t="n"/>
      <c r="J1420" s="10">
        <f>IF(D1420="","",IF(H1420="✓","完了",IF(G1420="","",IF(G1420&lt;TODAY(),"期限超過",IF(G1420=TODAY(),"今日まで","予定")))))</f>
        <v/>
      </c>
      <c r="K1420" s="22" t="n"/>
      <c r="L1420" s="26" t="n"/>
    </row>
    <row r="1421">
      <c r="A1421" s="11" t="n"/>
      <c r="B1421" s="11" t="n"/>
      <c r="C1421" s="10" t="n"/>
      <c r="D1421" s="11" t="n"/>
      <c r="E1421" s="10" t="n"/>
      <c r="F1421" s="22" t="n"/>
      <c r="G1421" s="24" t="n"/>
      <c r="H1421" s="23" t="n"/>
      <c r="I1421" s="25" t="n"/>
      <c r="J1421" s="10">
        <f>IF(D1421="","",IF(H1421="✓","完了",IF(G1421="","",IF(G1421&lt;TODAY(),"期限超過",IF(G1421=TODAY(),"今日まで","予定")))))</f>
        <v/>
      </c>
      <c r="K1421" s="22" t="n"/>
      <c r="L1421" s="26" t="n"/>
    </row>
    <row r="1422">
      <c r="A1422" s="11" t="n"/>
      <c r="B1422" s="11" t="n"/>
      <c r="C1422" s="10" t="n"/>
      <c r="D1422" s="11" t="n"/>
      <c r="E1422" s="10" t="n"/>
      <c r="F1422" s="22" t="n"/>
      <c r="G1422" s="24" t="n"/>
      <c r="H1422" s="23" t="n"/>
      <c r="I1422" s="25" t="n"/>
      <c r="J1422" s="10">
        <f>IF(D1422="","",IF(H1422="✓","完了",IF(G1422="","",IF(G1422&lt;TODAY(),"期限超過",IF(G1422=TODAY(),"今日まで","予定")))))</f>
        <v/>
      </c>
      <c r="K1422" s="22" t="n"/>
      <c r="L1422" s="26" t="n"/>
    </row>
    <row r="1423">
      <c r="A1423" s="11" t="n"/>
      <c r="B1423" s="11" t="n"/>
      <c r="C1423" s="10" t="n"/>
      <c r="D1423" s="11" t="n"/>
      <c r="E1423" s="10" t="n"/>
      <c r="F1423" s="22" t="n"/>
      <c r="G1423" s="24" t="n"/>
      <c r="H1423" s="23" t="n"/>
      <c r="I1423" s="25" t="n"/>
      <c r="J1423" s="10">
        <f>IF(D1423="","",IF(H1423="✓","完了",IF(G1423="","",IF(G1423&lt;TODAY(),"期限超過",IF(G1423=TODAY(),"今日まで","予定")))))</f>
        <v/>
      </c>
      <c r="K1423" s="22" t="n"/>
      <c r="L1423" s="26" t="n"/>
    </row>
    <row r="1424">
      <c r="A1424" s="11" t="n"/>
      <c r="B1424" s="11" t="n"/>
      <c r="C1424" s="10" t="n"/>
      <c r="D1424" s="11" t="n"/>
      <c r="E1424" s="10" t="n"/>
      <c r="F1424" s="22" t="n"/>
      <c r="G1424" s="24" t="n"/>
      <c r="H1424" s="23" t="n"/>
      <c r="I1424" s="25" t="n"/>
      <c r="J1424" s="10">
        <f>IF(D1424="","",IF(H1424="✓","完了",IF(G1424="","",IF(G1424&lt;TODAY(),"期限超過",IF(G1424=TODAY(),"今日まで","予定")))))</f>
        <v/>
      </c>
      <c r="K1424" s="22" t="n"/>
      <c r="L1424" s="26" t="n"/>
    </row>
    <row r="1425">
      <c r="A1425" s="11" t="n"/>
      <c r="B1425" s="11" t="n"/>
      <c r="C1425" s="10" t="n"/>
      <c r="D1425" s="11" t="n"/>
      <c r="E1425" s="10" t="n"/>
      <c r="F1425" s="22" t="n"/>
      <c r="G1425" s="24" t="n"/>
      <c r="H1425" s="23" t="n"/>
      <c r="I1425" s="25" t="n"/>
      <c r="J1425" s="10">
        <f>IF(D1425="","",IF(H1425="✓","完了",IF(G1425="","",IF(G1425&lt;TODAY(),"期限超過",IF(G1425=TODAY(),"今日まで","予定")))))</f>
        <v/>
      </c>
      <c r="K1425" s="22" t="n"/>
      <c r="L1425" s="26" t="n"/>
    </row>
    <row r="1426">
      <c r="A1426" s="11" t="n"/>
      <c r="B1426" s="11" t="n"/>
      <c r="C1426" s="10" t="n"/>
      <c r="D1426" s="11" t="n"/>
      <c r="E1426" s="10" t="n"/>
      <c r="F1426" s="22" t="n"/>
      <c r="G1426" s="24" t="n"/>
      <c r="H1426" s="23" t="n"/>
      <c r="I1426" s="25" t="n"/>
      <c r="J1426" s="10">
        <f>IF(D1426="","",IF(H1426="✓","完了",IF(G1426="","",IF(G1426&lt;TODAY(),"期限超過",IF(G1426=TODAY(),"今日まで","予定")))))</f>
        <v/>
      </c>
      <c r="K1426" s="22" t="n"/>
      <c r="L1426" s="26" t="n"/>
    </row>
    <row r="1427">
      <c r="A1427" s="11" t="n"/>
      <c r="B1427" s="11" t="n"/>
      <c r="C1427" s="10" t="n"/>
      <c r="D1427" s="11" t="n"/>
      <c r="E1427" s="10" t="n"/>
      <c r="F1427" s="22" t="n"/>
      <c r="G1427" s="24" t="n"/>
      <c r="H1427" s="23" t="n"/>
      <c r="I1427" s="25" t="n"/>
      <c r="J1427" s="10">
        <f>IF(D1427="","",IF(H1427="✓","完了",IF(G1427="","",IF(G1427&lt;TODAY(),"期限超過",IF(G1427=TODAY(),"今日まで","予定")))))</f>
        <v/>
      </c>
      <c r="K1427" s="22" t="n"/>
      <c r="L1427" s="26" t="n"/>
    </row>
    <row r="1428">
      <c r="A1428" s="11" t="n"/>
      <c r="B1428" s="11" t="n"/>
      <c r="C1428" s="10" t="n"/>
      <c r="D1428" s="11" t="n"/>
      <c r="E1428" s="10" t="n"/>
      <c r="F1428" s="22" t="n"/>
      <c r="G1428" s="24" t="n"/>
      <c r="H1428" s="23" t="n"/>
      <c r="I1428" s="25" t="n"/>
      <c r="J1428" s="10">
        <f>IF(D1428="","",IF(H1428="✓","完了",IF(G1428="","",IF(G1428&lt;TODAY(),"期限超過",IF(G1428=TODAY(),"今日まで","予定")))))</f>
        <v/>
      </c>
      <c r="K1428" s="22" t="n"/>
      <c r="L1428" s="26" t="n"/>
    </row>
    <row r="1429">
      <c r="A1429" s="11" t="n"/>
      <c r="B1429" s="11" t="n"/>
      <c r="C1429" s="10" t="n"/>
      <c r="D1429" s="11" t="n"/>
      <c r="E1429" s="10" t="n"/>
      <c r="F1429" s="22" t="n"/>
      <c r="G1429" s="24" t="n"/>
      <c r="H1429" s="23" t="n"/>
      <c r="I1429" s="25" t="n"/>
      <c r="J1429" s="10">
        <f>IF(D1429="","",IF(H1429="✓","完了",IF(G1429="","",IF(G1429&lt;TODAY(),"期限超過",IF(G1429=TODAY(),"今日まで","予定")))))</f>
        <v/>
      </c>
      <c r="K1429" s="22" t="n"/>
      <c r="L1429" s="26" t="n"/>
    </row>
    <row r="1430">
      <c r="A1430" s="11" t="n"/>
      <c r="B1430" s="11" t="n"/>
      <c r="C1430" s="10" t="n"/>
      <c r="D1430" s="11" t="n"/>
      <c r="E1430" s="10" t="n"/>
      <c r="F1430" s="22" t="n"/>
      <c r="G1430" s="24" t="n"/>
      <c r="H1430" s="23" t="n"/>
      <c r="I1430" s="25" t="n"/>
      <c r="J1430" s="10">
        <f>IF(D1430="","",IF(H1430="✓","完了",IF(G1430="","",IF(G1430&lt;TODAY(),"期限超過",IF(G1430=TODAY(),"今日まで","予定")))))</f>
        <v/>
      </c>
      <c r="K1430" s="22" t="n"/>
      <c r="L1430" s="26" t="n"/>
    </row>
    <row r="1431">
      <c r="A1431" s="11" t="n"/>
      <c r="B1431" s="11" t="n"/>
      <c r="C1431" s="10" t="n"/>
      <c r="D1431" s="11" t="n"/>
      <c r="E1431" s="10" t="n"/>
      <c r="F1431" s="22" t="n"/>
      <c r="G1431" s="24" t="n"/>
      <c r="H1431" s="23" t="n"/>
      <c r="I1431" s="25" t="n"/>
      <c r="J1431" s="10">
        <f>IF(D1431="","",IF(H1431="✓","完了",IF(G1431="","",IF(G1431&lt;TODAY(),"期限超過",IF(G1431=TODAY(),"今日まで","予定")))))</f>
        <v/>
      </c>
      <c r="K1431" s="22" t="n"/>
      <c r="L1431" s="26" t="n"/>
    </row>
    <row r="1432">
      <c r="A1432" s="11" t="n"/>
      <c r="B1432" s="11" t="n"/>
      <c r="C1432" s="10" t="n"/>
      <c r="D1432" s="11" t="n"/>
      <c r="E1432" s="10" t="n"/>
      <c r="F1432" s="22" t="n"/>
      <c r="G1432" s="24" t="n"/>
      <c r="H1432" s="23" t="n"/>
      <c r="I1432" s="25" t="n"/>
      <c r="J1432" s="10">
        <f>IF(D1432="","",IF(H1432="✓","完了",IF(G1432="","",IF(G1432&lt;TODAY(),"期限超過",IF(G1432=TODAY(),"今日まで","予定")))))</f>
        <v/>
      </c>
      <c r="K1432" s="22" t="n"/>
      <c r="L1432" s="26" t="n"/>
    </row>
    <row r="1433">
      <c r="A1433" s="11" t="n"/>
      <c r="B1433" s="11" t="n"/>
      <c r="C1433" s="10" t="n"/>
      <c r="D1433" s="11" t="n"/>
      <c r="E1433" s="10" t="n"/>
      <c r="F1433" s="22" t="n"/>
      <c r="G1433" s="24" t="n"/>
      <c r="H1433" s="23" t="n"/>
      <c r="I1433" s="25" t="n"/>
      <c r="J1433" s="10">
        <f>IF(D1433="","",IF(H1433="✓","完了",IF(G1433="","",IF(G1433&lt;TODAY(),"期限超過",IF(G1433=TODAY(),"今日まで","予定")))))</f>
        <v/>
      </c>
      <c r="K1433" s="22" t="n"/>
      <c r="L1433" s="26" t="n"/>
    </row>
    <row r="1434">
      <c r="A1434" s="11" t="n"/>
      <c r="B1434" s="11" t="n"/>
      <c r="C1434" s="10" t="n"/>
      <c r="D1434" s="11" t="n"/>
      <c r="E1434" s="10" t="n"/>
      <c r="F1434" s="22" t="n"/>
      <c r="G1434" s="24" t="n"/>
      <c r="H1434" s="23" t="n"/>
      <c r="I1434" s="25" t="n"/>
      <c r="J1434" s="10">
        <f>IF(D1434="","",IF(H1434="✓","完了",IF(G1434="","",IF(G1434&lt;TODAY(),"期限超過",IF(G1434=TODAY(),"今日まで","予定")))))</f>
        <v/>
      </c>
      <c r="K1434" s="22" t="n"/>
      <c r="L1434" s="26" t="n"/>
    </row>
    <row r="1435">
      <c r="A1435" s="11" t="n"/>
      <c r="B1435" s="11" t="n"/>
      <c r="C1435" s="10" t="n"/>
      <c r="D1435" s="11" t="n"/>
      <c r="E1435" s="10" t="n"/>
      <c r="F1435" s="22" t="n"/>
      <c r="G1435" s="24" t="n"/>
      <c r="H1435" s="23" t="n"/>
      <c r="I1435" s="25" t="n"/>
      <c r="J1435" s="10">
        <f>IF(D1435="","",IF(H1435="✓","完了",IF(G1435="","",IF(G1435&lt;TODAY(),"期限超過",IF(G1435=TODAY(),"今日まで","予定")))))</f>
        <v/>
      </c>
      <c r="K1435" s="22" t="n"/>
      <c r="L1435" s="26" t="n"/>
    </row>
    <row r="1436">
      <c r="A1436" s="11" t="n"/>
      <c r="B1436" s="11" t="n"/>
      <c r="C1436" s="10" t="n"/>
      <c r="D1436" s="11" t="n"/>
      <c r="E1436" s="10" t="n"/>
      <c r="F1436" s="22" t="n"/>
      <c r="G1436" s="24" t="n"/>
      <c r="H1436" s="23" t="n"/>
      <c r="I1436" s="25" t="n"/>
      <c r="J1436" s="10">
        <f>IF(D1436="","",IF(H1436="✓","完了",IF(G1436="","",IF(G1436&lt;TODAY(),"期限超過",IF(G1436=TODAY(),"今日まで","予定")))))</f>
        <v/>
      </c>
      <c r="K1436" s="22" t="n"/>
      <c r="L1436" s="26" t="n"/>
    </row>
    <row r="1437">
      <c r="A1437" s="11" t="n"/>
      <c r="B1437" s="11" t="n"/>
      <c r="C1437" s="10" t="n"/>
      <c r="D1437" s="11" t="n"/>
      <c r="E1437" s="10" t="n"/>
      <c r="F1437" s="22" t="n"/>
      <c r="G1437" s="24" t="n"/>
      <c r="H1437" s="23" t="n"/>
      <c r="I1437" s="25" t="n"/>
      <c r="J1437" s="10">
        <f>IF(D1437="","",IF(H1437="✓","完了",IF(G1437="","",IF(G1437&lt;TODAY(),"期限超過",IF(G1437=TODAY(),"今日まで","予定")))))</f>
        <v/>
      </c>
      <c r="K1437" s="22" t="n"/>
      <c r="L1437" s="26" t="n"/>
    </row>
    <row r="1438">
      <c r="A1438" s="11" t="n"/>
      <c r="B1438" s="11" t="n"/>
      <c r="C1438" s="10" t="n"/>
      <c r="D1438" s="11" t="n"/>
      <c r="E1438" s="10" t="n"/>
      <c r="F1438" s="22" t="n"/>
      <c r="G1438" s="24" t="n"/>
      <c r="H1438" s="23" t="n"/>
      <c r="I1438" s="25" t="n"/>
      <c r="J1438" s="10">
        <f>IF(D1438="","",IF(H1438="✓","完了",IF(G1438="","",IF(G1438&lt;TODAY(),"期限超過",IF(G1438=TODAY(),"今日まで","予定")))))</f>
        <v/>
      </c>
      <c r="K1438" s="22" t="n"/>
      <c r="L1438" s="26" t="n"/>
    </row>
    <row r="1439">
      <c r="A1439" s="11" t="n"/>
      <c r="B1439" s="11" t="n"/>
      <c r="C1439" s="10" t="n"/>
      <c r="D1439" s="11" t="n"/>
      <c r="E1439" s="10" t="n"/>
      <c r="F1439" s="22" t="n"/>
      <c r="G1439" s="24" t="n"/>
      <c r="H1439" s="23" t="n"/>
      <c r="I1439" s="25" t="n"/>
      <c r="J1439" s="10">
        <f>IF(D1439="","",IF(H1439="✓","完了",IF(G1439="","",IF(G1439&lt;TODAY(),"期限超過",IF(G1439=TODAY(),"今日まで","予定")))))</f>
        <v/>
      </c>
      <c r="K1439" s="22" t="n"/>
      <c r="L1439" s="26" t="n"/>
    </row>
    <row r="1440">
      <c r="A1440" s="11" t="n"/>
      <c r="B1440" s="11" t="n"/>
      <c r="C1440" s="10" t="n"/>
      <c r="D1440" s="11" t="n"/>
      <c r="E1440" s="10" t="n"/>
      <c r="F1440" s="22" t="n"/>
      <c r="G1440" s="24" t="n"/>
      <c r="H1440" s="23" t="n"/>
      <c r="I1440" s="25" t="n"/>
      <c r="J1440" s="10">
        <f>IF(D1440="","",IF(H1440="✓","完了",IF(G1440="","",IF(G1440&lt;TODAY(),"期限超過",IF(G1440=TODAY(),"今日まで","予定")))))</f>
        <v/>
      </c>
      <c r="K1440" s="22" t="n"/>
      <c r="L1440" s="26" t="n"/>
    </row>
    <row r="1441">
      <c r="A1441" s="11" t="n"/>
      <c r="B1441" s="11" t="n"/>
      <c r="C1441" s="10" t="n"/>
      <c r="D1441" s="11" t="n"/>
      <c r="E1441" s="10" t="n"/>
      <c r="F1441" s="22" t="n"/>
      <c r="G1441" s="24" t="n"/>
      <c r="H1441" s="23" t="n"/>
      <c r="I1441" s="25" t="n"/>
      <c r="J1441" s="10">
        <f>IF(D1441="","",IF(H1441="✓","完了",IF(G1441="","",IF(G1441&lt;TODAY(),"期限超過",IF(G1441=TODAY(),"今日まで","予定")))))</f>
        <v/>
      </c>
      <c r="K1441" s="22" t="n"/>
      <c r="L1441" s="26" t="n"/>
    </row>
    <row r="1442">
      <c r="A1442" s="11" t="n"/>
      <c r="B1442" s="11" t="n"/>
      <c r="C1442" s="10" t="n"/>
      <c r="D1442" s="11" t="n"/>
      <c r="E1442" s="10" t="n"/>
      <c r="F1442" s="22" t="n"/>
      <c r="G1442" s="24" t="n"/>
      <c r="H1442" s="23" t="n"/>
      <c r="I1442" s="25" t="n"/>
      <c r="J1442" s="10">
        <f>IF(D1442="","",IF(H1442="✓","完了",IF(G1442="","",IF(G1442&lt;TODAY(),"期限超過",IF(G1442=TODAY(),"今日まで","予定")))))</f>
        <v/>
      </c>
      <c r="K1442" s="22" t="n"/>
      <c r="L1442" s="26" t="n"/>
    </row>
    <row r="1443">
      <c r="A1443" s="11" t="n"/>
      <c r="B1443" s="11" t="n"/>
      <c r="C1443" s="10" t="n"/>
      <c r="D1443" s="11" t="n"/>
      <c r="E1443" s="10" t="n"/>
      <c r="F1443" s="22" t="n"/>
      <c r="G1443" s="24" t="n"/>
      <c r="H1443" s="23" t="n"/>
      <c r="I1443" s="25" t="n"/>
      <c r="J1443" s="10">
        <f>IF(D1443="","",IF(H1443="✓","完了",IF(G1443="","",IF(G1443&lt;TODAY(),"期限超過",IF(G1443=TODAY(),"今日まで","予定")))))</f>
        <v/>
      </c>
      <c r="K1443" s="22" t="n"/>
      <c r="L1443" s="26" t="n"/>
    </row>
    <row r="1444">
      <c r="A1444" s="11" t="n"/>
      <c r="B1444" s="11" t="n"/>
      <c r="C1444" s="10" t="n"/>
      <c r="D1444" s="11" t="n"/>
      <c r="E1444" s="10" t="n"/>
      <c r="F1444" s="22" t="n"/>
      <c r="G1444" s="24" t="n"/>
      <c r="H1444" s="23" t="n"/>
      <c r="I1444" s="25" t="n"/>
      <c r="J1444" s="10">
        <f>IF(D1444="","",IF(H1444="✓","完了",IF(G1444="","",IF(G1444&lt;TODAY(),"期限超過",IF(G1444=TODAY(),"今日まで","予定")))))</f>
        <v/>
      </c>
      <c r="K1444" s="22" t="n"/>
      <c r="L1444" s="26" t="n"/>
    </row>
    <row r="1445">
      <c r="A1445" s="11" t="n"/>
      <c r="B1445" s="11" t="n"/>
      <c r="C1445" s="10" t="n"/>
      <c r="D1445" s="11" t="n"/>
      <c r="E1445" s="10" t="n"/>
      <c r="F1445" s="22" t="n"/>
      <c r="G1445" s="24" t="n"/>
      <c r="H1445" s="23" t="n"/>
      <c r="I1445" s="25" t="n"/>
      <c r="J1445" s="10">
        <f>IF(D1445="","",IF(H1445="✓","完了",IF(G1445="","",IF(G1445&lt;TODAY(),"期限超過",IF(G1445=TODAY(),"今日まで","予定")))))</f>
        <v/>
      </c>
      <c r="K1445" s="22" t="n"/>
      <c r="L1445" s="26" t="n"/>
    </row>
    <row r="1446">
      <c r="A1446" s="11" t="n"/>
      <c r="B1446" s="11" t="n"/>
      <c r="C1446" s="10" t="n"/>
      <c r="D1446" s="11" t="n"/>
      <c r="E1446" s="10" t="n"/>
      <c r="F1446" s="22" t="n"/>
      <c r="G1446" s="24" t="n"/>
      <c r="H1446" s="23" t="n"/>
      <c r="I1446" s="25" t="n"/>
      <c r="J1446" s="10">
        <f>IF(D1446="","",IF(H1446="✓","完了",IF(G1446="","",IF(G1446&lt;TODAY(),"期限超過",IF(G1446=TODAY(),"今日まで","予定")))))</f>
        <v/>
      </c>
      <c r="K1446" s="22" t="n"/>
      <c r="L1446" s="26" t="n"/>
    </row>
    <row r="1447">
      <c r="A1447" s="11" t="n"/>
      <c r="B1447" s="11" t="n"/>
      <c r="C1447" s="10" t="n"/>
      <c r="D1447" s="11" t="n"/>
      <c r="E1447" s="10" t="n"/>
      <c r="F1447" s="22" t="n"/>
      <c r="G1447" s="24" t="n"/>
      <c r="H1447" s="23" t="n"/>
      <c r="I1447" s="25" t="n"/>
      <c r="J1447" s="10">
        <f>IF(D1447="","",IF(H1447="✓","完了",IF(G1447="","",IF(G1447&lt;TODAY(),"期限超過",IF(G1447=TODAY(),"今日まで","予定")))))</f>
        <v/>
      </c>
      <c r="K1447" s="22" t="n"/>
      <c r="L1447" s="26" t="n"/>
    </row>
    <row r="1448">
      <c r="A1448" s="11" t="n"/>
      <c r="B1448" s="11" t="n"/>
      <c r="C1448" s="10" t="n"/>
      <c r="D1448" s="11" t="n"/>
      <c r="E1448" s="10" t="n"/>
      <c r="F1448" s="22" t="n"/>
      <c r="G1448" s="24" t="n"/>
      <c r="H1448" s="23" t="n"/>
      <c r="I1448" s="25" t="n"/>
      <c r="J1448" s="10">
        <f>IF(D1448="","",IF(H1448="✓","完了",IF(G1448="","",IF(G1448&lt;TODAY(),"期限超過",IF(G1448=TODAY(),"今日まで","予定")))))</f>
        <v/>
      </c>
      <c r="K1448" s="22" t="n"/>
      <c r="L1448" s="26" t="n"/>
    </row>
    <row r="1449">
      <c r="A1449" s="11" t="n"/>
      <c r="B1449" s="11" t="n"/>
      <c r="C1449" s="10" t="n"/>
      <c r="D1449" s="11" t="n"/>
      <c r="E1449" s="10" t="n"/>
      <c r="F1449" s="22" t="n"/>
      <c r="G1449" s="24" t="n"/>
      <c r="H1449" s="23" t="n"/>
      <c r="I1449" s="25" t="n"/>
      <c r="J1449" s="10">
        <f>IF(D1449="","",IF(H1449="✓","完了",IF(G1449="","",IF(G1449&lt;TODAY(),"期限超過",IF(G1449=TODAY(),"今日まで","予定")))))</f>
        <v/>
      </c>
      <c r="K1449" s="22" t="n"/>
      <c r="L1449" s="26" t="n"/>
    </row>
    <row r="1450">
      <c r="A1450" s="11" t="n"/>
      <c r="B1450" s="11" t="n"/>
      <c r="C1450" s="10" t="n"/>
      <c r="D1450" s="11" t="n"/>
      <c r="E1450" s="10" t="n"/>
      <c r="F1450" s="22" t="n"/>
      <c r="G1450" s="24" t="n"/>
      <c r="H1450" s="23" t="n"/>
      <c r="I1450" s="25" t="n"/>
      <c r="J1450" s="10">
        <f>IF(D1450="","",IF(H1450="✓","完了",IF(G1450="","",IF(G1450&lt;TODAY(),"期限超過",IF(G1450=TODAY(),"今日まで","予定")))))</f>
        <v/>
      </c>
      <c r="K1450" s="22" t="n"/>
      <c r="L1450" s="26" t="n"/>
    </row>
    <row r="1451">
      <c r="A1451" s="11" t="n"/>
      <c r="B1451" s="11" t="n"/>
      <c r="C1451" s="10" t="n"/>
      <c r="D1451" s="11" t="n"/>
      <c r="E1451" s="10" t="n"/>
      <c r="F1451" s="22" t="n"/>
      <c r="G1451" s="24" t="n"/>
      <c r="H1451" s="23" t="n"/>
      <c r="I1451" s="25" t="n"/>
      <c r="J1451" s="10">
        <f>IF(D1451="","",IF(H1451="✓","完了",IF(G1451="","",IF(G1451&lt;TODAY(),"期限超過",IF(G1451=TODAY(),"今日まで","予定")))))</f>
        <v/>
      </c>
      <c r="K1451" s="22" t="n"/>
      <c r="L1451" s="26" t="n"/>
    </row>
    <row r="1452">
      <c r="A1452" s="11" t="n"/>
      <c r="B1452" s="11" t="n"/>
      <c r="C1452" s="10" t="n"/>
      <c r="D1452" s="11" t="n"/>
      <c r="E1452" s="10" t="n"/>
      <c r="F1452" s="22" t="n"/>
      <c r="G1452" s="24" t="n"/>
      <c r="H1452" s="23" t="n"/>
      <c r="I1452" s="25" t="n"/>
      <c r="J1452" s="10">
        <f>IF(D1452="","",IF(H1452="✓","完了",IF(G1452="","",IF(G1452&lt;TODAY(),"期限超過",IF(G1452=TODAY(),"今日まで","予定")))))</f>
        <v/>
      </c>
      <c r="K1452" s="22" t="n"/>
      <c r="L1452" s="26" t="n"/>
    </row>
    <row r="1453">
      <c r="A1453" s="11" t="n"/>
      <c r="B1453" s="11" t="n"/>
      <c r="C1453" s="10" t="n"/>
      <c r="D1453" s="11" t="n"/>
      <c r="E1453" s="10" t="n"/>
      <c r="F1453" s="22" t="n"/>
      <c r="G1453" s="24" t="n"/>
      <c r="H1453" s="23" t="n"/>
      <c r="I1453" s="25" t="n"/>
      <c r="J1453" s="10">
        <f>IF(D1453="","",IF(H1453="✓","完了",IF(G1453="","",IF(G1453&lt;TODAY(),"期限超過",IF(G1453=TODAY(),"今日まで","予定")))))</f>
        <v/>
      </c>
      <c r="K1453" s="22" t="n"/>
      <c r="L1453" s="26" t="n"/>
    </row>
    <row r="1454">
      <c r="A1454" s="11" t="n"/>
      <c r="B1454" s="11" t="n"/>
      <c r="C1454" s="10" t="n"/>
      <c r="D1454" s="11" t="n"/>
      <c r="E1454" s="10" t="n"/>
      <c r="F1454" s="22" t="n"/>
      <c r="G1454" s="24" t="n"/>
      <c r="H1454" s="23" t="n"/>
      <c r="I1454" s="25" t="n"/>
      <c r="J1454" s="10">
        <f>IF(D1454="","",IF(H1454="✓","完了",IF(G1454="","",IF(G1454&lt;TODAY(),"期限超過",IF(G1454=TODAY(),"今日まで","予定")))))</f>
        <v/>
      </c>
      <c r="K1454" s="22" t="n"/>
      <c r="L1454" s="26" t="n"/>
    </row>
    <row r="1455">
      <c r="A1455" s="11" t="n"/>
      <c r="B1455" s="11" t="n"/>
      <c r="C1455" s="10" t="n"/>
      <c r="D1455" s="11" t="n"/>
      <c r="E1455" s="10" t="n"/>
      <c r="F1455" s="22" t="n"/>
      <c r="G1455" s="24" t="n"/>
      <c r="H1455" s="23" t="n"/>
      <c r="I1455" s="25" t="n"/>
      <c r="J1455" s="10">
        <f>IF(D1455="","",IF(H1455="✓","完了",IF(G1455="","",IF(G1455&lt;TODAY(),"期限超過",IF(G1455=TODAY(),"今日まで","予定")))))</f>
        <v/>
      </c>
      <c r="K1455" s="22" t="n"/>
      <c r="L1455" s="26" t="n"/>
    </row>
    <row r="1456">
      <c r="A1456" s="11" t="n"/>
      <c r="B1456" s="11" t="n"/>
      <c r="C1456" s="10" t="n"/>
      <c r="D1456" s="11" t="n"/>
      <c r="E1456" s="10" t="n"/>
      <c r="F1456" s="22" t="n"/>
      <c r="G1456" s="24" t="n"/>
      <c r="H1456" s="23" t="n"/>
      <c r="I1456" s="25" t="n"/>
      <c r="J1456" s="10">
        <f>IF(D1456="","",IF(H1456="✓","完了",IF(G1456="","",IF(G1456&lt;TODAY(),"期限超過",IF(G1456=TODAY(),"今日まで","予定")))))</f>
        <v/>
      </c>
      <c r="K1456" s="22" t="n"/>
      <c r="L1456" s="26" t="n"/>
    </row>
    <row r="1457">
      <c r="A1457" s="11" t="n"/>
      <c r="B1457" s="11" t="n"/>
      <c r="C1457" s="10" t="n"/>
      <c r="D1457" s="11" t="n"/>
      <c r="E1457" s="10" t="n"/>
      <c r="F1457" s="22" t="n"/>
      <c r="G1457" s="24" t="n"/>
      <c r="H1457" s="23" t="n"/>
      <c r="I1457" s="25" t="n"/>
      <c r="J1457" s="10">
        <f>IF(D1457="","",IF(H1457="✓","完了",IF(G1457="","",IF(G1457&lt;TODAY(),"期限超過",IF(G1457=TODAY(),"今日まで","予定")))))</f>
        <v/>
      </c>
      <c r="K1457" s="22" t="n"/>
      <c r="L1457" s="26" t="n"/>
    </row>
    <row r="1458">
      <c r="A1458" s="11" t="n"/>
      <c r="B1458" s="11" t="n"/>
      <c r="C1458" s="10" t="n"/>
      <c r="D1458" s="11" t="n"/>
      <c r="E1458" s="10" t="n"/>
      <c r="F1458" s="22" t="n"/>
      <c r="G1458" s="24" t="n"/>
      <c r="H1458" s="23" t="n"/>
      <c r="I1458" s="25" t="n"/>
      <c r="J1458" s="10">
        <f>IF(D1458="","",IF(H1458="✓","完了",IF(G1458="","",IF(G1458&lt;TODAY(),"期限超過",IF(G1458=TODAY(),"今日まで","予定")))))</f>
        <v/>
      </c>
      <c r="K1458" s="22" t="n"/>
      <c r="L1458" s="26" t="n"/>
    </row>
    <row r="1459">
      <c r="A1459" s="11" t="n"/>
      <c r="B1459" s="11" t="n"/>
      <c r="C1459" s="10" t="n"/>
      <c r="D1459" s="11" t="n"/>
      <c r="E1459" s="10" t="n"/>
      <c r="F1459" s="22" t="n"/>
      <c r="G1459" s="24" t="n"/>
      <c r="H1459" s="23" t="n"/>
      <c r="I1459" s="25" t="n"/>
      <c r="J1459" s="10">
        <f>IF(D1459="","",IF(H1459="✓","完了",IF(G1459="","",IF(G1459&lt;TODAY(),"期限超過",IF(G1459=TODAY(),"今日まで","予定")))))</f>
        <v/>
      </c>
      <c r="K1459" s="22" t="n"/>
      <c r="L1459" s="26" t="n"/>
    </row>
    <row r="1460">
      <c r="A1460" s="11" t="n"/>
      <c r="B1460" s="11" t="n"/>
      <c r="C1460" s="10" t="n"/>
      <c r="D1460" s="11" t="n"/>
      <c r="E1460" s="10" t="n"/>
      <c r="F1460" s="22" t="n"/>
      <c r="G1460" s="24" t="n"/>
      <c r="H1460" s="23" t="n"/>
      <c r="I1460" s="25" t="n"/>
      <c r="J1460" s="10">
        <f>IF(D1460="","",IF(H1460="✓","完了",IF(G1460="","",IF(G1460&lt;TODAY(),"期限超過",IF(G1460=TODAY(),"今日まで","予定")))))</f>
        <v/>
      </c>
      <c r="K1460" s="22" t="n"/>
      <c r="L1460" s="26" t="n"/>
    </row>
    <row r="1461">
      <c r="A1461" s="11" t="n"/>
      <c r="B1461" s="11" t="n"/>
      <c r="C1461" s="10" t="n"/>
      <c r="D1461" s="11" t="n"/>
      <c r="E1461" s="10" t="n"/>
      <c r="F1461" s="22" t="n"/>
      <c r="G1461" s="24" t="n"/>
      <c r="H1461" s="23" t="n"/>
      <c r="I1461" s="25" t="n"/>
      <c r="J1461" s="10">
        <f>IF(D1461="","",IF(H1461="✓","完了",IF(G1461="","",IF(G1461&lt;TODAY(),"期限超過",IF(G1461=TODAY(),"今日まで","予定")))))</f>
        <v/>
      </c>
      <c r="K1461" s="22" t="n"/>
      <c r="L1461" s="26" t="n"/>
    </row>
    <row r="1462">
      <c r="A1462" s="11" t="n"/>
      <c r="B1462" s="11" t="n"/>
      <c r="C1462" s="10" t="n"/>
      <c r="D1462" s="11" t="n"/>
      <c r="E1462" s="10" t="n"/>
      <c r="F1462" s="22" t="n"/>
      <c r="G1462" s="24" t="n"/>
      <c r="H1462" s="23" t="n"/>
      <c r="I1462" s="25" t="n"/>
      <c r="J1462" s="10">
        <f>IF(D1462="","",IF(H1462="✓","完了",IF(G1462="","",IF(G1462&lt;TODAY(),"期限超過",IF(G1462=TODAY(),"今日まで","予定")))))</f>
        <v/>
      </c>
      <c r="K1462" s="22" t="n"/>
      <c r="L1462" s="26" t="n"/>
    </row>
    <row r="1463">
      <c r="A1463" s="11" t="n"/>
      <c r="B1463" s="11" t="n"/>
      <c r="C1463" s="10" t="n"/>
      <c r="D1463" s="11" t="n"/>
      <c r="E1463" s="10" t="n"/>
      <c r="F1463" s="22" t="n"/>
      <c r="G1463" s="24" t="n"/>
      <c r="H1463" s="23" t="n"/>
      <c r="I1463" s="25" t="n"/>
      <c r="J1463" s="10">
        <f>IF(D1463="","",IF(H1463="✓","完了",IF(G1463="","",IF(G1463&lt;TODAY(),"期限超過",IF(G1463=TODAY(),"今日まで","予定")))))</f>
        <v/>
      </c>
      <c r="K1463" s="22" t="n"/>
      <c r="L1463" s="26" t="n"/>
    </row>
    <row r="1464">
      <c r="A1464" s="11" t="n"/>
      <c r="B1464" s="11" t="n"/>
      <c r="C1464" s="10" t="n"/>
      <c r="D1464" s="11" t="n"/>
      <c r="E1464" s="10" t="n"/>
      <c r="F1464" s="22" t="n"/>
      <c r="G1464" s="24" t="n"/>
      <c r="H1464" s="23" t="n"/>
      <c r="I1464" s="25" t="n"/>
      <c r="J1464" s="10">
        <f>IF(D1464="","",IF(H1464="✓","完了",IF(G1464="","",IF(G1464&lt;TODAY(),"期限超過",IF(G1464=TODAY(),"今日まで","予定")))))</f>
        <v/>
      </c>
      <c r="K1464" s="22" t="n"/>
      <c r="L1464" s="26" t="n"/>
    </row>
    <row r="1465">
      <c r="A1465" s="11" t="n"/>
      <c r="B1465" s="11" t="n"/>
      <c r="C1465" s="10" t="n"/>
      <c r="D1465" s="11" t="n"/>
      <c r="E1465" s="10" t="n"/>
      <c r="F1465" s="22" t="n"/>
      <c r="G1465" s="24" t="n"/>
      <c r="H1465" s="23" t="n"/>
      <c r="I1465" s="25" t="n"/>
      <c r="J1465" s="10">
        <f>IF(D1465="","",IF(H1465="✓","完了",IF(G1465="","",IF(G1465&lt;TODAY(),"期限超過",IF(G1465=TODAY(),"今日まで","予定")))))</f>
        <v/>
      </c>
      <c r="K1465" s="22" t="n"/>
      <c r="L1465" s="26" t="n"/>
    </row>
    <row r="1466">
      <c r="A1466" s="11" t="n"/>
      <c r="B1466" s="11" t="n"/>
      <c r="C1466" s="10" t="n"/>
      <c r="D1466" s="11" t="n"/>
      <c r="E1466" s="10" t="n"/>
      <c r="F1466" s="22" t="n"/>
      <c r="G1466" s="24" t="n"/>
      <c r="H1466" s="23" t="n"/>
      <c r="I1466" s="25" t="n"/>
      <c r="J1466" s="10">
        <f>IF(D1466="","",IF(H1466="✓","完了",IF(G1466="","",IF(G1466&lt;TODAY(),"期限超過",IF(G1466=TODAY(),"今日まで","予定")))))</f>
        <v/>
      </c>
      <c r="K1466" s="22" t="n"/>
      <c r="L1466" s="26" t="n"/>
    </row>
    <row r="1467">
      <c r="A1467" s="11" t="n"/>
      <c r="B1467" s="11" t="n"/>
      <c r="C1467" s="10" t="n"/>
      <c r="D1467" s="11" t="n"/>
      <c r="E1467" s="10" t="n"/>
      <c r="F1467" s="22" t="n"/>
      <c r="G1467" s="24" t="n"/>
      <c r="H1467" s="23" t="n"/>
      <c r="I1467" s="25" t="n"/>
      <c r="J1467" s="10">
        <f>IF(D1467="","",IF(H1467="✓","完了",IF(G1467="","",IF(G1467&lt;TODAY(),"期限超過",IF(G1467=TODAY(),"今日まで","予定")))))</f>
        <v/>
      </c>
      <c r="K1467" s="22" t="n"/>
      <c r="L1467" s="26" t="n"/>
    </row>
    <row r="1468">
      <c r="A1468" s="11" t="n"/>
      <c r="B1468" s="11" t="n"/>
      <c r="C1468" s="10" t="n"/>
      <c r="D1468" s="11" t="n"/>
      <c r="E1468" s="10" t="n"/>
      <c r="F1468" s="22" t="n"/>
      <c r="G1468" s="24" t="n"/>
      <c r="H1468" s="23" t="n"/>
      <c r="I1468" s="25" t="n"/>
      <c r="J1468" s="10">
        <f>IF(D1468="","",IF(H1468="✓","完了",IF(G1468="","",IF(G1468&lt;TODAY(),"期限超過",IF(G1468=TODAY(),"今日まで","予定")))))</f>
        <v/>
      </c>
      <c r="K1468" s="22" t="n"/>
      <c r="L1468" s="26" t="n"/>
    </row>
    <row r="1469">
      <c r="A1469" s="11" t="n"/>
      <c r="B1469" s="11" t="n"/>
      <c r="C1469" s="10" t="n"/>
      <c r="D1469" s="11" t="n"/>
      <c r="E1469" s="10" t="n"/>
      <c r="F1469" s="22" t="n"/>
      <c r="G1469" s="24" t="n"/>
      <c r="H1469" s="23" t="n"/>
      <c r="I1469" s="25" t="n"/>
      <c r="J1469" s="10">
        <f>IF(D1469="","",IF(H1469="✓","完了",IF(G1469="","",IF(G1469&lt;TODAY(),"期限超過",IF(G1469=TODAY(),"今日まで","予定")))))</f>
        <v/>
      </c>
      <c r="K1469" s="22" t="n"/>
      <c r="L1469" s="26" t="n"/>
    </row>
    <row r="1470">
      <c r="A1470" s="11" t="n"/>
      <c r="B1470" s="11" t="n"/>
      <c r="C1470" s="10" t="n"/>
      <c r="D1470" s="11" t="n"/>
      <c r="E1470" s="10" t="n"/>
      <c r="F1470" s="22" t="n"/>
      <c r="G1470" s="24" t="n"/>
      <c r="H1470" s="23" t="n"/>
      <c r="I1470" s="25" t="n"/>
      <c r="J1470" s="10">
        <f>IF(D1470="","",IF(H1470="✓","完了",IF(G1470="","",IF(G1470&lt;TODAY(),"期限超過",IF(G1470=TODAY(),"今日まで","予定")))))</f>
        <v/>
      </c>
      <c r="K1470" s="22" t="n"/>
      <c r="L1470" s="26" t="n"/>
    </row>
    <row r="1471">
      <c r="A1471" s="11" t="n"/>
      <c r="B1471" s="11" t="n"/>
      <c r="C1471" s="10" t="n"/>
      <c r="D1471" s="11" t="n"/>
      <c r="E1471" s="10" t="n"/>
      <c r="F1471" s="22" t="n"/>
      <c r="G1471" s="24" t="n"/>
      <c r="H1471" s="23" t="n"/>
      <c r="I1471" s="25" t="n"/>
      <c r="J1471" s="10">
        <f>IF(D1471="","",IF(H1471="✓","完了",IF(G1471="","",IF(G1471&lt;TODAY(),"期限超過",IF(G1471=TODAY(),"今日まで","予定")))))</f>
        <v/>
      </c>
      <c r="K1471" s="22" t="n"/>
      <c r="L1471" s="26" t="n"/>
    </row>
    <row r="1472">
      <c r="A1472" s="11" t="n"/>
      <c r="B1472" s="11" t="n"/>
      <c r="C1472" s="10" t="n"/>
      <c r="D1472" s="11" t="n"/>
      <c r="E1472" s="10" t="n"/>
      <c r="F1472" s="22" t="n"/>
      <c r="G1472" s="24" t="n"/>
      <c r="H1472" s="23" t="n"/>
      <c r="I1472" s="25" t="n"/>
      <c r="J1472" s="10">
        <f>IF(D1472="","",IF(H1472="✓","完了",IF(G1472="","",IF(G1472&lt;TODAY(),"期限超過",IF(G1472=TODAY(),"今日まで","予定")))))</f>
        <v/>
      </c>
      <c r="K1472" s="22" t="n"/>
      <c r="L1472" s="26" t="n"/>
    </row>
    <row r="1473">
      <c r="A1473" s="11" t="n"/>
      <c r="B1473" s="11" t="n"/>
      <c r="C1473" s="10" t="n"/>
      <c r="D1473" s="11" t="n"/>
      <c r="E1473" s="10" t="n"/>
      <c r="F1473" s="22" t="n"/>
      <c r="G1473" s="24" t="n"/>
      <c r="H1473" s="23" t="n"/>
      <c r="I1473" s="25" t="n"/>
      <c r="J1473" s="10">
        <f>IF(D1473="","",IF(H1473="✓","完了",IF(G1473="","",IF(G1473&lt;TODAY(),"期限超過",IF(G1473=TODAY(),"今日まで","予定")))))</f>
        <v/>
      </c>
      <c r="K1473" s="22" t="n"/>
      <c r="L1473" s="26" t="n"/>
    </row>
    <row r="1474">
      <c r="A1474" s="11" t="n"/>
      <c r="B1474" s="11" t="n"/>
      <c r="C1474" s="10" t="n"/>
      <c r="D1474" s="11" t="n"/>
      <c r="E1474" s="10" t="n"/>
      <c r="F1474" s="22" t="n"/>
      <c r="G1474" s="24" t="n"/>
      <c r="H1474" s="23" t="n"/>
      <c r="I1474" s="25" t="n"/>
      <c r="J1474" s="10">
        <f>IF(D1474="","",IF(H1474="✓","完了",IF(G1474="","",IF(G1474&lt;TODAY(),"期限超過",IF(G1474=TODAY(),"今日まで","予定")))))</f>
        <v/>
      </c>
      <c r="K1474" s="22" t="n"/>
      <c r="L1474" s="26" t="n"/>
    </row>
    <row r="1475">
      <c r="A1475" s="11" t="n"/>
      <c r="B1475" s="11" t="n"/>
      <c r="C1475" s="10" t="n"/>
      <c r="D1475" s="11" t="n"/>
      <c r="E1475" s="10" t="n"/>
      <c r="F1475" s="22" t="n"/>
      <c r="G1475" s="24" t="n"/>
      <c r="H1475" s="23" t="n"/>
      <c r="I1475" s="25" t="n"/>
      <c r="J1475" s="10">
        <f>IF(D1475="","",IF(H1475="✓","完了",IF(G1475="","",IF(G1475&lt;TODAY(),"期限超過",IF(G1475=TODAY(),"今日まで","予定")))))</f>
        <v/>
      </c>
      <c r="K1475" s="22" t="n"/>
      <c r="L1475" s="26" t="n"/>
    </row>
    <row r="1476">
      <c r="A1476" s="11" t="n"/>
      <c r="B1476" s="11" t="n"/>
      <c r="C1476" s="10" t="n"/>
      <c r="D1476" s="11" t="n"/>
      <c r="E1476" s="10" t="n"/>
      <c r="F1476" s="22" t="n"/>
      <c r="G1476" s="24" t="n"/>
      <c r="H1476" s="23" t="n"/>
      <c r="I1476" s="25" t="n"/>
      <c r="J1476" s="10">
        <f>IF(D1476="","",IF(H1476="✓","完了",IF(G1476="","",IF(G1476&lt;TODAY(),"期限超過",IF(G1476=TODAY(),"今日まで","予定")))))</f>
        <v/>
      </c>
      <c r="K1476" s="22" t="n"/>
      <c r="L1476" s="26" t="n"/>
    </row>
    <row r="1477">
      <c r="A1477" s="11" t="n"/>
      <c r="B1477" s="11" t="n"/>
      <c r="C1477" s="10" t="n"/>
      <c r="D1477" s="11" t="n"/>
      <c r="E1477" s="10" t="n"/>
      <c r="F1477" s="22" t="n"/>
      <c r="G1477" s="24" t="n"/>
      <c r="H1477" s="23" t="n"/>
      <c r="I1477" s="25" t="n"/>
      <c r="J1477" s="10">
        <f>IF(D1477="","",IF(H1477="✓","完了",IF(G1477="","",IF(G1477&lt;TODAY(),"期限超過",IF(G1477=TODAY(),"今日まで","予定")))))</f>
        <v/>
      </c>
      <c r="K1477" s="22" t="n"/>
      <c r="L1477" s="26" t="n"/>
    </row>
    <row r="1478">
      <c r="A1478" s="11" t="n"/>
      <c r="B1478" s="11" t="n"/>
      <c r="C1478" s="10" t="n"/>
      <c r="D1478" s="11" t="n"/>
      <c r="E1478" s="10" t="n"/>
      <c r="F1478" s="22" t="n"/>
      <c r="G1478" s="24" t="n"/>
      <c r="H1478" s="23" t="n"/>
      <c r="I1478" s="25" t="n"/>
      <c r="J1478" s="10">
        <f>IF(D1478="","",IF(H1478="✓","完了",IF(G1478="","",IF(G1478&lt;TODAY(),"期限超過",IF(G1478=TODAY(),"今日まで","予定")))))</f>
        <v/>
      </c>
      <c r="K1478" s="22" t="n"/>
      <c r="L1478" s="26" t="n"/>
    </row>
    <row r="1479">
      <c r="A1479" s="11" t="n"/>
      <c r="B1479" s="11" t="n"/>
      <c r="C1479" s="10" t="n"/>
      <c r="D1479" s="11" t="n"/>
      <c r="E1479" s="10" t="n"/>
      <c r="F1479" s="22" t="n"/>
      <c r="G1479" s="24" t="n"/>
      <c r="H1479" s="23" t="n"/>
      <c r="I1479" s="25" t="n"/>
      <c r="J1479" s="10">
        <f>IF(D1479="","",IF(H1479="✓","完了",IF(G1479="","",IF(G1479&lt;TODAY(),"期限超過",IF(G1479=TODAY(),"今日まで","予定")))))</f>
        <v/>
      </c>
      <c r="K1479" s="22" t="n"/>
      <c r="L1479" s="26" t="n"/>
    </row>
    <row r="1480">
      <c r="A1480" s="11" t="n"/>
      <c r="B1480" s="11" t="n"/>
      <c r="C1480" s="10" t="n"/>
      <c r="D1480" s="11" t="n"/>
      <c r="E1480" s="10" t="n"/>
      <c r="F1480" s="22" t="n"/>
      <c r="G1480" s="24" t="n"/>
      <c r="H1480" s="23" t="n"/>
      <c r="I1480" s="25" t="n"/>
      <c r="J1480" s="10">
        <f>IF(D1480="","",IF(H1480="✓","完了",IF(G1480="","",IF(G1480&lt;TODAY(),"期限超過",IF(G1480=TODAY(),"今日まで","予定")))))</f>
        <v/>
      </c>
      <c r="K1480" s="22" t="n"/>
      <c r="L1480" s="26" t="n"/>
    </row>
    <row r="1481">
      <c r="A1481" s="11" t="n"/>
      <c r="B1481" s="11" t="n"/>
      <c r="C1481" s="10" t="n"/>
      <c r="D1481" s="11" t="n"/>
      <c r="E1481" s="10" t="n"/>
      <c r="F1481" s="22" t="n"/>
      <c r="G1481" s="24" t="n"/>
      <c r="H1481" s="23" t="n"/>
      <c r="I1481" s="25" t="n"/>
      <c r="J1481" s="10">
        <f>IF(D1481="","",IF(H1481="✓","完了",IF(G1481="","",IF(G1481&lt;TODAY(),"期限超過",IF(G1481=TODAY(),"今日まで","予定")))))</f>
        <v/>
      </c>
      <c r="K1481" s="22" t="n"/>
      <c r="L1481" s="26" t="n"/>
    </row>
    <row r="1482">
      <c r="A1482" s="11" t="n"/>
      <c r="B1482" s="11" t="n"/>
      <c r="C1482" s="10" t="n"/>
      <c r="D1482" s="11" t="n"/>
      <c r="E1482" s="10" t="n"/>
      <c r="F1482" s="22" t="n"/>
      <c r="G1482" s="24" t="n"/>
      <c r="H1482" s="23" t="n"/>
      <c r="I1482" s="25" t="n"/>
      <c r="J1482" s="10">
        <f>IF(D1482="","",IF(H1482="✓","完了",IF(G1482="","",IF(G1482&lt;TODAY(),"期限超過",IF(G1482=TODAY(),"今日まで","予定")))))</f>
        <v/>
      </c>
      <c r="K1482" s="22" t="n"/>
      <c r="L1482" s="26" t="n"/>
    </row>
    <row r="1483">
      <c r="A1483" s="11" t="n"/>
      <c r="B1483" s="11" t="n"/>
      <c r="C1483" s="10" t="n"/>
      <c r="D1483" s="11" t="n"/>
      <c r="E1483" s="10" t="n"/>
      <c r="F1483" s="22" t="n"/>
      <c r="G1483" s="24" t="n"/>
      <c r="H1483" s="23" t="n"/>
      <c r="I1483" s="25" t="n"/>
      <c r="J1483" s="10">
        <f>IF(D1483="","",IF(H1483="✓","完了",IF(G1483="","",IF(G1483&lt;TODAY(),"期限超過",IF(G1483=TODAY(),"今日まで","予定")))))</f>
        <v/>
      </c>
      <c r="K1483" s="22" t="n"/>
      <c r="L1483" s="26" t="n"/>
    </row>
    <row r="1484">
      <c r="A1484" s="11" t="n"/>
      <c r="B1484" s="11" t="n"/>
      <c r="C1484" s="10" t="n"/>
      <c r="D1484" s="11" t="n"/>
      <c r="E1484" s="10" t="n"/>
      <c r="F1484" s="22" t="n"/>
      <c r="G1484" s="24" t="n"/>
      <c r="H1484" s="23" t="n"/>
      <c r="I1484" s="25" t="n"/>
      <c r="J1484" s="10">
        <f>IF(D1484="","",IF(H1484="✓","完了",IF(G1484="","",IF(G1484&lt;TODAY(),"期限超過",IF(G1484=TODAY(),"今日まで","予定")))))</f>
        <v/>
      </c>
      <c r="K1484" s="22" t="n"/>
      <c r="L1484" s="26" t="n"/>
    </row>
    <row r="1485">
      <c r="A1485" s="11" t="n"/>
      <c r="B1485" s="11" t="n"/>
      <c r="C1485" s="10" t="n"/>
      <c r="D1485" s="11" t="n"/>
      <c r="E1485" s="10" t="n"/>
      <c r="F1485" s="22" t="n"/>
      <c r="G1485" s="24" t="n"/>
      <c r="H1485" s="23" t="n"/>
      <c r="I1485" s="25" t="n"/>
      <c r="J1485" s="10">
        <f>IF(D1485="","",IF(H1485="✓","完了",IF(G1485="","",IF(G1485&lt;TODAY(),"期限超過",IF(G1485=TODAY(),"今日まで","予定")))))</f>
        <v/>
      </c>
      <c r="K1485" s="22" t="n"/>
      <c r="L1485" s="26" t="n"/>
    </row>
    <row r="1486">
      <c r="A1486" s="11" t="n"/>
      <c r="B1486" s="11" t="n"/>
      <c r="C1486" s="10" t="n"/>
      <c r="D1486" s="11" t="n"/>
      <c r="E1486" s="10" t="n"/>
      <c r="F1486" s="22" t="n"/>
      <c r="G1486" s="24" t="n"/>
      <c r="H1486" s="23" t="n"/>
      <c r="I1486" s="25" t="n"/>
      <c r="J1486" s="10">
        <f>IF(D1486="","",IF(H1486="✓","完了",IF(G1486="","",IF(G1486&lt;TODAY(),"期限超過",IF(G1486=TODAY(),"今日まで","予定")))))</f>
        <v/>
      </c>
      <c r="K1486" s="22" t="n"/>
      <c r="L1486" s="26" t="n"/>
    </row>
    <row r="1487">
      <c r="A1487" s="11" t="n"/>
      <c r="B1487" s="11" t="n"/>
      <c r="C1487" s="10" t="n"/>
      <c r="D1487" s="11" t="n"/>
      <c r="E1487" s="10" t="n"/>
      <c r="F1487" s="22" t="n"/>
      <c r="G1487" s="24" t="n"/>
      <c r="H1487" s="23" t="n"/>
      <c r="I1487" s="25" t="n"/>
      <c r="J1487" s="10">
        <f>IF(D1487="","",IF(H1487="✓","完了",IF(G1487="","",IF(G1487&lt;TODAY(),"期限超過",IF(G1487=TODAY(),"今日まで","予定")))))</f>
        <v/>
      </c>
      <c r="K1487" s="22" t="n"/>
      <c r="L1487" s="26" t="n"/>
    </row>
    <row r="1488">
      <c r="A1488" s="11" t="n"/>
      <c r="B1488" s="11" t="n"/>
      <c r="C1488" s="10" t="n"/>
      <c r="D1488" s="11" t="n"/>
      <c r="E1488" s="10" t="n"/>
      <c r="F1488" s="22" t="n"/>
      <c r="G1488" s="24" t="n"/>
      <c r="H1488" s="23" t="n"/>
      <c r="I1488" s="25" t="n"/>
      <c r="J1488" s="10">
        <f>IF(D1488="","",IF(H1488="✓","完了",IF(G1488="","",IF(G1488&lt;TODAY(),"期限超過",IF(G1488=TODAY(),"今日まで","予定")))))</f>
        <v/>
      </c>
      <c r="K1488" s="22" t="n"/>
      <c r="L1488" s="26" t="n"/>
    </row>
    <row r="1489">
      <c r="A1489" s="11" t="n"/>
      <c r="B1489" s="11" t="n"/>
      <c r="C1489" s="10" t="n"/>
      <c r="D1489" s="11" t="n"/>
      <c r="E1489" s="10" t="n"/>
      <c r="F1489" s="22" t="n"/>
      <c r="G1489" s="24" t="n"/>
      <c r="H1489" s="23" t="n"/>
      <c r="I1489" s="25" t="n"/>
      <c r="J1489" s="10">
        <f>IF(D1489="","",IF(H1489="✓","完了",IF(G1489="","",IF(G1489&lt;TODAY(),"期限超過",IF(G1489=TODAY(),"今日まで","予定")))))</f>
        <v/>
      </c>
      <c r="K1489" s="22" t="n"/>
      <c r="L1489" s="26" t="n"/>
    </row>
    <row r="1490">
      <c r="A1490" s="11" t="n"/>
      <c r="B1490" s="11" t="n"/>
      <c r="C1490" s="10" t="n"/>
      <c r="D1490" s="11" t="n"/>
      <c r="E1490" s="10" t="n"/>
      <c r="F1490" s="22" t="n"/>
      <c r="G1490" s="24" t="n"/>
      <c r="H1490" s="23" t="n"/>
      <c r="I1490" s="25" t="n"/>
      <c r="J1490" s="10">
        <f>IF(D1490="","",IF(H1490="✓","完了",IF(G1490="","",IF(G1490&lt;TODAY(),"期限超過",IF(G1490=TODAY(),"今日まで","予定")))))</f>
        <v/>
      </c>
      <c r="K1490" s="22" t="n"/>
      <c r="L1490" s="26" t="n"/>
    </row>
    <row r="1491">
      <c r="A1491" s="11" t="n"/>
      <c r="B1491" s="11" t="n"/>
      <c r="C1491" s="10" t="n"/>
      <c r="D1491" s="11" t="n"/>
      <c r="E1491" s="10" t="n"/>
      <c r="F1491" s="22" t="n"/>
      <c r="G1491" s="24" t="n"/>
      <c r="H1491" s="23" t="n"/>
      <c r="I1491" s="25" t="n"/>
      <c r="J1491" s="10">
        <f>IF(D1491="","",IF(H1491="✓","完了",IF(G1491="","",IF(G1491&lt;TODAY(),"期限超過",IF(G1491=TODAY(),"今日まで","予定")))))</f>
        <v/>
      </c>
      <c r="K1491" s="22" t="n"/>
      <c r="L1491" s="26" t="n"/>
    </row>
    <row r="1492">
      <c r="A1492" s="11" t="n"/>
      <c r="B1492" s="11" t="n"/>
      <c r="C1492" s="10" t="n"/>
      <c r="D1492" s="11" t="n"/>
      <c r="E1492" s="10" t="n"/>
      <c r="F1492" s="22" t="n"/>
      <c r="G1492" s="24" t="n"/>
      <c r="H1492" s="23" t="n"/>
      <c r="I1492" s="25" t="n"/>
      <c r="J1492" s="10">
        <f>IF(D1492="","",IF(H1492="✓","完了",IF(G1492="","",IF(G1492&lt;TODAY(),"期限超過",IF(G1492=TODAY(),"今日まで","予定")))))</f>
        <v/>
      </c>
      <c r="K1492" s="22" t="n"/>
      <c r="L1492" s="26" t="n"/>
    </row>
    <row r="1493">
      <c r="A1493" s="11" t="n"/>
      <c r="B1493" s="11" t="n"/>
      <c r="C1493" s="10" t="n"/>
      <c r="D1493" s="11" t="n"/>
      <c r="E1493" s="10" t="n"/>
      <c r="F1493" s="22" t="n"/>
      <c r="G1493" s="24" t="n"/>
      <c r="H1493" s="23" t="n"/>
      <c r="I1493" s="25" t="n"/>
      <c r="J1493" s="10">
        <f>IF(D1493="","",IF(H1493="✓","完了",IF(G1493="","",IF(G1493&lt;TODAY(),"期限超過",IF(G1493=TODAY(),"今日まで","予定")))))</f>
        <v/>
      </c>
      <c r="K1493" s="22" t="n"/>
      <c r="L1493" s="26" t="n"/>
    </row>
    <row r="1494">
      <c r="A1494" s="11" t="n"/>
      <c r="B1494" s="11" t="n"/>
      <c r="C1494" s="10" t="n"/>
      <c r="D1494" s="11" t="n"/>
      <c r="E1494" s="10" t="n"/>
      <c r="F1494" s="22" t="n"/>
      <c r="G1494" s="24" t="n"/>
      <c r="H1494" s="23" t="n"/>
      <c r="I1494" s="25" t="n"/>
      <c r="J1494" s="10">
        <f>IF(D1494="","",IF(H1494="✓","完了",IF(G1494="","",IF(G1494&lt;TODAY(),"期限超過",IF(G1494=TODAY(),"今日まで","予定")))))</f>
        <v/>
      </c>
      <c r="K1494" s="22" t="n"/>
      <c r="L1494" s="26" t="n"/>
    </row>
    <row r="1495">
      <c r="A1495" s="11" t="n"/>
      <c r="B1495" s="11" t="n"/>
      <c r="C1495" s="10" t="n"/>
      <c r="D1495" s="11" t="n"/>
      <c r="E1495" s="10" t="n"/>
      <c r="F1495" s="22" t="n"/>
      <c r="G1495" s="24" t="n"/>
      <c r="H1495" s="23" t="n"/>
      <c r="I1495" s="25" t="n"/>
      <c r="J1495" s="10">
        <f>IF(D1495="","",IF(H1495="✓","完了",IF(G1495="","",IF(G1495&lt;TODAY(),"期限超過",IF(G1495=TODAY(),"今日まで","予定")))))</f>
        <v/>
      </c>
      <c r="K1495" s="22" t="n"/>
      <c r="L1495" s="26" t="n"/>
    </row>
    <row r="1496">
      <c r="A1496" s="11" t="n"/>
      <c r="B1496" s="11" t="n"/>
      <c r="C1496" s="10" t="n"/>
      <c r="D1496" s="11" t="n"/>
      <c r="E1496" s="10" t="n"/>
      <c r="F1496" s="22" t="n"/>
      <c r="G1496" s="24" t="n"/>
      <c r="H1496" s="23" t="n"/>
      <c r="I1496" s="25" t="n"/>
      <c r="J1496" s="10">
        <f>IF(D1496="","",IF(H1496="✓","完了",IF(G1496="","",IF(G1496&lt;TODAY(),"期限超過",IF(G1496=TODAY(),"今日まで","予定")))))</f>
        <v/>
      </c>
      <c r="K1496" s="22" t="n"/>
      <c r="L1496" s="26" t="n"/>
    </row>
    <row r="1497">
      <c r="A1497" s="11" t="n"/>
      <c r="B1497" s="11" t="n"/>
      <c r="C1497" s="10" t="n"/>
      <c r="D1497" s="11" t="n"/>
      <c r="E1497" s="10" t="n"/>
      <c r="F1497" s="22" t="n"/>
      <c r="G1497" s="24" t="n"/>
      <c r="H1497" s="23" t="n"/>
      <c r="I1497" s="25" t="n"/>
      <c r="J1497" s="10">
        <f>IF(D1497="","",IF(H1497="✓","完了",IF(G1497="","",IF(G1497&lt;TODAY(),"期限超過",IF(G1497=TODAY(),"今日まで","予定")))))</f>
        <v/>
      </c>
      <c r="K1497" s="22" t="n"/>
      <c r="L1497" s="26" t="n"/>
    </row>
    <row r="1498">
      <c r="A1498" s="11" t="n"/>
      <c r="B1498" s="11" t="n"/>
      <c r="C1498" s="10" t="n"/>
      <c r="D1498" s="11" t="n"/>
      <c r="E1498" s="10" t="n"/>
      <c r="F1498" s="22" t="n"/>
      <c r="G1498" s="24" t="n"/>
      <c r="H1498" s="23" t="n"/>
      <c r="I1498" s="25" t="n"/>
      <c r="J1498" s="10">
        <f>IF(D1498="","",IF(H1498="✓","完了",IF(G1498="","",IF(G1498&lt;TODAY(),"期限超過",IF(G1498=TODAY(),"今日まで","予定")))))</f>
        <v/>
      </c>
      <c r="K1498" s="22" t="n"/>
      <c r="L1498" s="26" t="n"/>
    </row>
    <row r="1499">
      <c r="A1499" s="11" t="n"/>
      <c r="B1499" s="11" t="n"/>
      <c r="C1499" s="10" t="n"/>
      <c r="D1499" s="11" t="n"/>
      <c r="E1499" s="10" t="n"/>
      <c r="F1499" s="22" t="n"/>
      <c r="G1499" s="24" t="n"/>
      <c r="H1499" s="23" t="n"/>
      <c r="I1499" s="25" t="n"/>
      <c r="J1499" s="10">
        <f>IF(D1499="","",IF(H1499="✓","完了",IF(G1499="","",IF(G1499&lt;TODAY(),"期限超過",IF(G1499=TODAY(),"今日まで","予定")))))</f>
        <v/>
      </c>
      <c r="K1499" s="22" t="n"/>
      <c r="L1499" s="26" t="n"/>
    </row>
    <row r="1500">
      <c r="A1500" s="11" t="n"/>
      <c r="B1500" s="11" t="n"/>
      <c r="C1500" s="10" t="n"/>
      <c r="D1500" s="11" t="n"/>
      <c r="E1500" s="10" t="n"/>
      <c r="F1500" s="22" t="n"/>
      <c r="G1500" s="24" t="n"/>
      <c r="H1500" s="23" t="n"/>
      <c r="I1500" s="25" t="n"/>
      <c r="J1500" s="10">
        <f>IF(D1500="","",IF(H1500="✓","完了",IF(G1500="","",IF(G1500&lt;TODAY(),"期限超過",IF(G1500=TODAY(),"今日まで","予定")))))</f>
        <v/>
      </c>
      <c r="K1500" s="22" t="n"/>
      <c r="L1500" s="26" t="n"/>
    </row>
    <row r="1501">
      <c r="A1501" s="11" t="n"/>
      <c r="B1501" s="11" t="n"/>
      <c r="C1501" s="10" t="n"/>
      <c r="D1501" s="11" t="n"/>
      <c r="E1501" s="10" t="n"/>
      <c r="F1501" s="22" t="n"/>
      <c r="G1501" s="24" t="n"/>
      <c r="H1501" s="23" t="n"/>
      <c r="I1501" s="25" t="n"/>
      <c r="J1501" s="10">
        <f>IF(D1501="","",IF(H1501="✓","完了",IF(G1501="","",IF(G1501&lt;TODAY(),"期限超過",IF(G1501=TODAY(),"今日まで","予定")))))</f>
        <v/>
      </c>
      <c r="K1501" s="22" t="n"/>
      <c r="L1501" s="26" t="n"/>
    </row>
    <row r="1502">
      <c r="A1502" s="11" t="n"/>
      <c r="B1502" s="11" t="n"/>
      <c r="C1502" s="10" t="n"/>
      <c r="D1502" s="11" t="n"/>
      <c r="E1502" s="10" t="n"/>
      <c r="F1502" s="22" t="n"/>
      <c r="G1502" s="24" t="n"/>
      <c r="H1502" s="23" t="n"/>
      <c r="I1502" s="25" t="n"/>
      <c r="J1502" s="10">
        <f>IF(D1502="","",IF(H1502="✓","完了",IF(G1502="","",IF(G1502&lt;TODAY(),"期限超過",IF(G1502=TODAY(),"今日まで","予定")))))</f>
        <v/>
      </c>
      <c r="K1502" s="22" t="n"/>
      <c r="L1502" s="26" t="n"/>
    </row>
    <row r="1503">
      <c r="A1503" s="11" t="n"/>
      <c r="B1503" s="11" t="n"/>
      <c r="C1503" s="10" t="n"/>
      <c r="D1503" s="11" t="n"/>
      <c r="E1503" s="10" t="n"/>
      <c r="F1503" s="22" t="n"/>
      <c r="G1503" s="24" t="n"/>
      <c r="H1503" s="23" t="n"/>
      <c r="I1503" s="25" t="n"/>
      <c r="J1503" s="10">
        <f>IF(D1503="","",IF(H1503="✓","完了",IF(G1503="","",IF(G1503&lt;TODAY(),"期限超過",IF(G1503=TODAY(),"今日まで","予定")))))</f>
        <v/>
      </c>
      <c r="K1503" s="22" t="n"/>
      <c r="L1503" s="26" t="n"/>
    </row>
    <row r="1504">
      <c r="A1504" s="11" t="n"/>
      <c r="B1504" s="11" t="n"/>
      <c r="C1504" s="10" t="n"/>
      <c r="D1504" s="11" t="n"/>
      <c r="E1504" s="10" t="n"/>
      <c r="F1504" s="22" t="n"/>
      <c r="G1504" s="24" t="n"/>
      <c r="H1504" s="23" t="n"/>
      <c r="I1504" s="25" t="n"/>
      <c r="J1504" s="10">
        <f>IF(D1504="","",IF(H1504="✓","完了",IF(G1504="","",IF(G1504&lt;TODAY(),"期限超過",IF(G1504=TODAY(),"今日まで","予定")))))</f>
        <v/>
      </c>
      <c r="K1504" s="22" t="n"/>
      <c r="L1504" s="26" t="n"/>
    </row>
    <row r="1505">
      <c r="A1505" s="11" t="n"/>
      <c r="B1505" s="11" t="n"/>
      <c r="C1505" s="10" t="n"/>
      <c r="D1505" s="11" t="n"/>
      <c r="E1505" s="10" t="n"/>
      <c r="F1505" s="22" t="n"/>
      <c r="G1505" s="24" t="n"/>
      <c r="H1505" s="23" t="n"/>
      <c r="I1505" s="25" t="n"/>
      <c r="J1505" s="10">
        <f>IF(D1505="","",IF(H1505="✓","完了",IF(G1505="","",IF(G1505&lt;TODAY(),"期限超過",IF(G1505=TODAY(),"今日まで","予定")))))</f>
        <v/>
      </c>
      <c r="K1505" s="22" t="n"/>
      <c r="L1505" s="26" t="n"/>
    </row>
    <row r="1506">
      <c r="A1506" s="11" t="n"/>
      <c r="B1506" s="11" t="n"/>
      <c r="C1506" s="10" t="n"/>
      <c r="D1506" s="11" t="n"/>
      <c r="E1506" s="10" t="n"/>
      <c r="F1506" s="22" t="n"/>
      <c r="G1506" s="24" t="n"/>
      <c r="H1506" s="23" t="n"/>
      <c r="I1506" s="25" t="n"/>
      <c r="J1506" s="10">
        <f>IF(D1506="","",IF(H1506="✓","完了",IF(G1506="","",IF(G1506&lt;TODAY(),"期限超過",IF(G1506=TODAY(),"今日まで","予定")))))</f>
        <v/>
      </c>
      <c r="K1506" s="22" t="n"/>
      <c r="L1506" s="26" t="n"/>
    </row>
    <row r="1507">
      <c r="A1507" s="11" t="n"/>
      <c r="B1507" s="11" t="n"/>
      <c r="C1507" s="10" t="n"/>
      <c r="D1507" s="11" t="n"/>
      <c r="E1507" s="10" t="n"/>
      <c r="F1507" s="22" t="n"/>
      <c r="G1507" s="24" t="n"/>
      <c r="H1507" s="23" t="n"/>
      <c r="I1507" s="25" t="n"/>
      <c r="J1507" s="10">
        <f>IF(D1507="","",IF(H1507="✓","完了",IF(G1507="","",IF(G1507&lt;TODAY(),"期限超過",IF(G1507=TODAY(),"今日まで","予定")))))</f>
        <v/>
      </c>
      <c r="K1507" s="22" t="n"/>
      <c r="L1507" s="26" t="n"/>
    </row>
    <row r="1508">
      <c r="A1508" s="11" t="n"/>
      <c r="B1508" s="11" t="n"/>
      <c r="C1508" s="10" t="n"/>
      <c r="D1508" s="11" t="n"/>
      <c r="E1508" s="10" t="n"/>
      <c r="F1508" s="22" t="n"/>
      <c r="G1508" s="24" t="n"/>
      <c r="H1508" s="23" t="n"/>
      <c r="I1508" s="25" t="n"/>
      <c r="J1508" s="10">
        <f>IF(D1508="","",IF(H1508="✓","完了",IF(G1508="","",IF(G1508&lt;TODAY(),"期限超過",IF(G1508=TODAY(),"今日まで","予定")))))</f>
        <v/>
      </c>
      <c r="K1508" s="22" t="n"/>
      <c r="L1508" s="26" t="n"/>
    </row>
    <row r="1509">
      <c r="A1509" s="11" t="n"/>
      <c r="B1509" s="11" t="n"/>
      <c r="C1509" s="10" t="n"/>
      <c r="D1509" s="11" t="n"/>
      <c r="E1509" s="10" t="n"/>
      <c r="F1509" s="22" t="n"/>
      <c r="G1509" s="24" t="n"/>
      <c r="H1509" s="23" t="n"/>
      <c r="I1509" s="25" t="n"/>
      <c r="J1509" s="10">
        <f>IF(D1509="","",IF(H1509="✓","完了",IF(G1509="","",IF(G1509&lt;TODAY(),"期限超過",IF(G1509=TODAY(),"今日まで","予定")))))</f>
        <v/>
      </c>
      <c r="K1509" s="22" t="n"/>
      <c r="L1509" s="26" t="n"/>
    </row>
    <row r="1510">
      <c r="A1510" s="11" t="n"/>
      <c r="B1510" s="11" t="n"/>
      <c r="C1510" s="10" t="n"/>
      <c r="D1510" s="11" t="n"/>
      <c r="E1510" s="10" t="n"/>
      <c r="F1510" s="22" t="n"/>
      <c r="G1510" s="24" t="n"/>
      <c r="H1510" s="23" t="n"/>
      <c r="I1510" s="25" t="n"/>
      <c r="J1510" s="10">
        <f>IF(D1510="","",IF(H1510="✓","完了",IF(G1510="","",IF(G1510&lt;TODAY(),"期限超過",IF(G1510=TODAY(),"今日まで","予定")))))</f>
        <v/>
      </c>
      <c r="K1510" s="22" t="n"/>
      <c r="L1510" s="26" t="n"/>
    </row>
    <row r="1511">
      <c r="A1511" s="11" t="n"/>
      <c r="B1511" s="11" t="n"/>
      <c r="C1511" s="10" t="n"/>
      <c r="D1511" s="11" t="n"/>
      <c r="E1511" s="10" t="n"/>
      <c r="F1511" s="22" t="n"/>
      <c r="G1511" s="24" t="n"/>
      <c r="H1511" s="23" t="n"/>
      <c r="I1511" s="25" t="n"/>
      <c r="J1511" s="10">
        <f>IF(D1511="","",IF(H1511="✓","完了",IF(G1511="","",IF(G1511&lt;TODAY(),"期限超過",IF(G1511=TODAY(),"今日まで","予定")))))</f>
        <v/>
      </c>
      <c r="K1511" s="22" t="n"/>
      <c r="L1511" s="26" t="n"/>
    </row>
    <row r="1512">
      <c r="A1512" s="11" t="n"/>
      <c r="B1512" s="11" t="n"/>
      <c r="C1512" s="10" t="n"/>
      <c r="D1512" s="11" t="n"/>
      <c r="E1512" s="10" t="n"/>
      <c r="F1512" s="22" t="n"/>
      <c r="G1512" s="24" t="n"/>
      <c r="H1512" s="23" t="n"/>
      <c r="I1512" s="25" t="n"/>
      <c r="J1512" s="10">
        <f>IF(D1512="","",IF(H1512="✓","完了",IF(G1512="","",IF(G1512&lt;TODAY(),"期限超過",IF(G1512=TODAY(),"今日まで","予定")))))</f>
        <v/>
      </c>
      <c r="K1512" s="22" t="n"/>
      <c r="L1512" s="26" t="n"/>
    </row>
    <row r="1513">
      <c r="A1513" s="11" t="n"/>
      <c r="B1513" s="11" t="n"/>
      <c r="C1513" s="10" t="n"/>
      <c r="D1513" s="11" t="n"/>
      <c r="E1513" s="10" t="n"/>
      <c r="F1513" s="22" t="n"/>
      <c r="G1513" s="24" t="n"/>
      <c r="H1513" s="23" t="n"/>
      <c r="I1513" s="25" t="n"/>
      <c r="J1513" s="10">
        <f>IF(D1513="","",IF(H1513="✓","完了",IF(G1513="","",IF(G1513&lt;TODAY(),"期限超過",IF(G1513=TODAY(),"今日まで","予定")))))</f>
        <v/>
      </c>
      <c r="K1513" s="22" t="n"/>
      <c r="L1513" s="26" t="n"/>
    </row>
    <row r="1514">
      <c r="A1514" s="11" t="n"/>
      <c r="B1514" s="11" t="n"/>
      <c r="C1514" s="10" t="n"/>
      <c r="D1514" s="11" t="n"/>
      <c r="E1514" s="10" t="n"/>
      <c r="F1514" s="22" t="n"/>
      <c r="G1514" s="24" t="n"/>
      <c r="H1514" s="23" t="n"/>
      <c r="I1514" s="25" t="n"/>
      <c r="J1514" s="10">
        <f>IF(D1514="","",IF(H1514="✓","完了",IF(G1514="","",IF(G1514&lt;TODAY(),"期限超過",IF(G1514=TODAY(),"今日まで","予定")))))</f>
        <v/>
      </c>
      <c r="K1514" s="22" t="n"/>
      <c r="L1514" s="26" t="n"/>
    </row>
    <row r="1515">
      <c r="A1515" s="11" t="n"/>
      <c r="B1515" s="11" t="n"/>
      <c r="C1515" s="10" t="n"/>
      <c r="D1515" s="11" t="n"/>
      <c r="E1515" s="10" t="n"/>
      <c r="F1515" s="22" t="n"/>
      <c r="G1515" s="24" t="n"/>
      <c r="H1515" s="23" t="n"/>
      <c r="I1515" s="25" t="n"/>
      <c r="J1515" s="10">
        <f>IF(D1515="","",IF(H1515="✓","完了",IF(G1515="","",IF(G1515&lt;TODAY(),"期限超過",IF(G1515=TODAY(),"今日まで","予定")))))</f>
        <v/>
      </c>
      <c r="K1515" s="22" t="n"/>
      <c r="L1515" s="26" t="n"/>
    </row>
    <row r="1516">
      <c r="A1516" s="11" t="n"/>
      <c r="B1516" s="11" t="n"/>
      <c r="C1516" s="10" t="n"/>
      <c r="D1516" s="11" t="n"/>
      <c r="E1516" s="10" t="n"/>
      <c r="F1516" s="22" t="n"/>
      <c r="G1516" s="24" t="n"/>
      <c r="H1516" s="23" t="n"/>
      <c r="I1516" s="25" t="n"/>
      <c r="J1516" s="10">
        <f>IF(D1516="","",IF(H1516="✓","完了",IF(G1516="","",IF(G1516&lt;TODAY(),"期限超過",IF(G1516=TODAY(),"今日まで","予定")))))</f>
        <v/>
      </c>
      <c r="K1516" s="22" t="n"/>
      <c r="L1516" s="26" t="n"/>
    </row>
    <row r="1517">
      <c r="A1517" s="11" t="n"/>
      <c r="B1517" s="11" t="n"/>
      <c r="C1517" s="10" t="n"/>
      <c r="D1517" s="11" t="n"/>
      <c r="E1517" s="10" t="n"/>
      <c r="F1517" s="22" t="n"/>
      <c r="G1517" s="24" t="n"/>
      <c r="H1517" s="23" t="n"/>
      <c r="I1517" s="25" t="n"/>
      <c r="J1517" s="10">
        <f>IF(D1517="","",IF(H1517="✓","完了",IF(G1517="","",IF(G1517&lt;TODAY(),"期限超過",IF(G1517=TODAY(),"今日まで","予定")))))</f>
        <v/>
      </c>
      <c r="K1517" s="22" t="n"/>
      <c r="L1517" s="26" t="n"/>
    </row>
    <row r="1518">
      <c r="A1518" s="11" t="n"/>
      <c r="B1518" s="11" t="n"/>
      <c r="C1518" s="10" t="n"/>
      <c r="D1518" s="11" t="n"/>
      <c r="E1518" s="10" t="n"/>
      <c r="F1518" s="22" t="n"/>
      <c r="G1518" s="24" t="n"/>
      <c r="H1518" s="23" t="n"/>
      <c r="I1518" s="25" t="n"/>
      <c r="J1518" s="10">
        <f>IF(D1518="","",IF(H1518="✓","完了",IF(G1518="","",IF(G1518&lt;TODAY(),"期限超過",IF(G1518=TODAY(),"今日まで","予定")))))</f>
        <v/>
      </c>
      <c r="K1518" s="22" t="n"/>
      <c r="L1518" s="26" t="n"/>
    </row>
    <row r="1519">
      <c r="A1519" s="11" t="n"/>
      <c r="B1519" s="11" t="n"/>
      <c r="C1519" s="10" t="n"/>
      <c r="D1519" s="11" t="n"/>
      <c r="E1519" s="10" t="n"/>
      <c r="F1519" s="22" t="n"/>
      <c r="G1519" s="24" t="n"/>
      <c r="H1519" s="23" t="n"/>
      <c r="I1519" s="25" t="n"/>
      <c r="J1519" s="10">
        <f>IF(D1519="","",IF(H1519="✓","完了",IF(G1519="","",IF(G1519&lt;TODAY(),"期限超過",IF(G1519=TODAY(),"今日まで","予定")))))</f>
        <v/>
      </c>
      <c r="K1519" s="22" t="n"/>
      <c r="L1519" s="26" t="n"/>
    </row>
    <row r="1520">
      <c r="A1520" s="11" t="n"/>
      <c r="B1520" s="11" t="n"/>
      <c r="C1520" s="10" t="n"/>
      <c r="D1520" s="11" t="n"/>
      <c r="E1520" s="10" t="n"/>
      <c r="F1520" s="22" t="n"/>
      <c r="G1520" s="24" t="n"/>
      <c r="H1520" s="23" t="n"/>
      <c r="I1520" s="25" t="n"/>
      <c r="J1520" s="10">
        <f>IF(D1520="","",IF(H1520="✓","完了",IF(G1520="","",IF(G1520&lt;TODAY(),"期限超過",IF(G1520=TODAY(),"今日まで","予定")))))</f>
        <v/>
      </c>
      <c r="K1520" s="22" t="n"/>
      <c r="L1520" s="26" t="n"/>
    </row>
    <row r="1521">
      <c r="A1521" s="11" t="n"/>
      <c r="B1521" s="11" t="n"/>
      <c r="C1521" s="10" t="n"/>
      <c r="D1521" s="11" t="n"/>
      <c r="E1521" s="10" t="n"/>
      <c r="F1521" s="22" t="n"/>
      <c r="G1521" s="24" t="n"/>
      <c r="H1521" s="23" t="n"/>
      <c r="I1521" s="25" t="n"/>
      <c r="J1521" s="10">
        <f>IF(D1521="","",IF(H1521="✓","完了",IF(G1521="","",IF(G1521&lt;TODAY(),"期限超過",IF(G1521=TODAY(),"今日まで","予定")))))</f>
        <v/>
      </c>
      <c r="K1521" s="22" t="n"/>
      <c r="L1521" s="26" t="n"/>
    </row>
    <row r="1522">
      <c r="A1522" s="11" t="n"/>
      <c r="B1522" s="11" t="n"/>
      <c r="C1522" s="10" t="n"/>
      <c r="D1522" s="11" t="n"/>
      <c r="E1522" s="10" t="n"/>
      <c r="F1522" s="22" t="n"/>
      <c r="G1522" s="24" t="n"/>
      <c r="H1522" s="23" t="n"/>
      <c r="I1522" s="25" t="n"/>
      <c r="J1522" s="10">
        <f>IF(D1522="","",IF(H1522="✓","完了",IF(G1522="","",IF(G1522&lt;TODAY(),"期限超過",IF(G1522=TODAY(),"今日まで","予定")))))</f>
        <v/>
      </c>
      <c r="K1522" s="22" t="n"/>
      <c r="L1522" s="26" t="n"/>
    </row>
    <row r="1523">
      <c r="A1523" s="11" t="n"/>
      <c r="B1523" s="11" t="n"/>
      <c r="C1523" s="10" t="n"/>
      <c r="D1523" s="11" t="n"/>
      <c r="E1523" s="10" t="n"/>
      <c r="F1523" s="22" t="n"/>
      <c r="G1523" s="24" t="n"/>
      <c r="H1523" s="23" t="n"/>
      <c r="I1523" s="25" t="n"/>
      <c r="J1523" s="10">
        <f>IF(D1523="","",IF(H1523="✓","完了",IF(G1523="","",IF(G1523&lt;TODAY(),"期限超過",IF(G1523=TODAY(),"今日まで","予定")))))</f>
        <v/>
      </c>
      <c r="K1523" s="22" t="n"/>
      <c r="L1523" s="26" t="n"/>
    </row>
    <row r="1524">
      <c r="A1524" s="11" t="n"/>
      <c r="B1524" s="11" t="n"/>
      <c r="C1524" s="10" t="n"/>
      <c r="D1524" s="11" t="n"/>
      <c r="E1524" s="10" t="n"/>
      <c r="F1524" s="22" t="n"/>
      <c r="G1524" s="24" t="n"/>
      <c r="H1524" s="23" t="n"/>
      <c r="I1524" s="25" t="n"/>
      <c r="J1524" s="10">
        <f>IF(D1524="","",IF(H1524="✓","完了",IF(G1524="","",IF(G1524&lt;TODAY(),"期限超過",IF(G1524=TODAY(),"今日まで","予定")))))</f>
        <v/>
      </c>
      <c r="K1524" s="22" t="n"/>
      <c r="L1524" s="26" t="n"/>
    </row>
    <row r="1525">
      <c r="A1525" s="11" t="n"/>
      <c r="B1525" s="11" t="n"/>
      <c r="C1525" s="10" t="n"/>
      <c r="D1525" s="11" t="n"/>
      <c r="E1525" s="10" t="n"/>
      <c r="F1525" s="22" t="n"/>
      <c r="G1525" s="24" t="n"/>
      <c r="H1525" s="23" t="n"/>
      <c r="I1525" s="25" t="n"/>
      <c r="J1525" s="10">
        <f>IF(D1525="","",IF(H1525="✓","完了",IF(G1525="","",IF(G1525&lt;TODAY(),"期限超過",IF(G1525=TODAY(),"今日まで","予定")))))</f>
        <v/>
      </c>
      <c r="K1525" s="22" t="n"/>
      <c r="L1525" s="26" t="n"/>
    </row>
    <row r="1526">
      <c r="A1526" s="11" t="n"/>
      <c r="B1526" s="11" t="n"/>
      <c r="C1526" s="10" t="n"/>
      <c r="D1526" s="11" t="n"/>
      <c r="E1526" s="10" t="n"/>
      <c r="F1526" s="22" t="n"/>
      <c r="G1526" s="24" t="n"/>
      <c r="H1526" s="23" t="n"/>
      <c r="I1526" s="25" t="n"/>
      <c r="J1526" s="10">
        <f>IF(D1526="","",IF(H1526="✓","完了",IF(G1526="","",IF(G1526&lt;TODAY(),"期限超過",IF(G1526=TODAY(),"今日まで","予定")))))</f>
        <v/>
      </c>
      <c r="K1526" s="22" t="n"/>
      <c r="L1526" s="26" t="n"/>
    </row>
    <row r="1527">
      <c r="A1527" s="11" t="n"/>
      <c r="B1527" s="11" t="n"/>
      <c r="C1527" s="10" t="n"/>
      <c r="D1527" s="11" t="n"/>
      <c r="E1527" s="10" t="n"/>
      <c r="F1527" s="22" t="n"/>
      <c r="G1527" s="24" t="n"/>
      <c r="H1527" s="23" t="n"/>
      <c r="I1527" s="25" t="n"/>
      <c r="J1527" s="10">
        <f>IF(D1527="","",IF(H1527="✓","完了",IF(G1527="","",IF(G1527&lt;TODAY(),"期限超過",IF(G1527=TODAY(),"今日まで","予定")))))</f>
        <v/>
      </c>
      <c r="K1527" s="22" t="n"/>
      <c r="L1527" s="26" t="n"/>
    </row>
    <row r="1528">
      <c r="A1528" s="11" t="n"/>
      <c r="B1528" s="11" t="n"/>
      <c r="C1528" s="10" t="n"/>
      <c r="D1528" s="11" t="n"/>
      <c r="E1528" s="10" t="n"/>
      <c r="F1528" s="22" t="n"/>
      <c r="G1528" s="24" t="n"/>
      <c r="H1528" s="23" t="n"/>
      <c r="I1528" s="25" t="n"/>
      <c r="J1528" s="10">
        <f>IF(D1528="","",IF(H1528="✓","完了",IF(G1528="","",IF(G1528&lt;TODAY(),"期限超過",IF(G1528=TODAY(),"今日まで","予定")))))</f>
        <v/>
      </c>
      <c r="K1528" s="22" t="n"/>
      <c r="L1528" s="26" t="n"/>
    </row>
    <row r="1529">
      <c r="A1529" s="11" t="n"/>
      <c r="B1529" s="11" t="n"/>
      <c r="C1529" s="10" t="n"/>
      <c r="D1529" s="11" t="n"/>
      <c r="E1529" s="10" t="n"/>
      <c r="F1529" s="22" t="n"/>
      <c r="G1529" s="24" t="n"/>
      <c r="H1529" s="23" t="n"/>
      <c r="I1529" s="25" t="n"/>
      <c r="J1529" s="10">
        <f>IF(D1529="","",IF(H1529="✓","完了",IF(G1529="","",IF(G1529&lt;TODAY(),"期限超過",IF(G1529=TODAY(),"今日まで","予定")))))</f>
        <v/>
      </c>
      <c r="K1529" s="22" t="n"/>
      <c r="L1529" s="26" t="n"/>
    </row>
    <row r="1530">
      <c r="A1530" s="11" t="n"/>
      <c r="B1530" s="11" t="n"/>
      <c r="C1530" s="10" t="n"/>
      <c r="D1530" s="11" t="n"/>
      <c r="E1530" s="10" t="n"/>
      <c r="F1530" s="22" t="n"/>
      <c r="G1530" s="24" t="n"/>
      <c r="H1530" s="23" t="n"/>
      <c r="I1530" s="25" t="n"/>
      <c r="J1530" s="10">
        <f>IF(D1530="","",IF(H1530="✓","完了",IF(G1530="","",IF(G1530&lt;TODAY(),"期限超過",IF(G1530=TODAY(),"今日まで","予定")))))</f>
        <v/>
      </c>
      <c r="K1530" s="22" t="n"/>
      <c r="L1530" s="26" t="n"/>
    </row>
    <row r="1531">
      <c r="A1531" s="11" t="n"/>
      <c r="B1531" s="11" t="n"/>
      <c r="C1531" s="10" t="n"/>
      <c r="D1531" s="11" t="n"/>
      <c r="E1531" s="10" t="n"/>
      <c r="F1531" s="22" t="n"/>
      <c r="G1531" s="24" t="n"/>
      <c r="H1531" s="23" t="n"/>
      <c r="I1531" s="25" t="n"/>
      <c r="J1531" s="10">
        <f>IF(D1531="","",IF(H1531="✓","完了",IF(G1531="","",IF(G1531&lt;TODAY(),"期限超過",IF(G1531=TODAY(),"今日まで","予定")))))</f>
        <v/>
      </c>
      <c r="K1531" s="22" t="n"/>
      <c r="L1531" s="26" t="n"/>
    </row>
    <row r="1532">
      <c r="A1532" s="11" t="n"/>
      <c r="B1532" s="11" t="n"/>
      <c r="C1532" s="10" t="n"/>
      <c r="D1532" s="11" t="n"/>
      <c r="E1532" s="10" t="n"/>
      <c r="F1532" s="22" t="n"/>
      <c r="G1532" s="24" t="n"/>
      <c r="H1532" s="23" t="n"/>
      <c r="I1532" s="25" t="n"/>
      <c r="J1532" s="10">
        <f>IF(D1532="","",IF(H1532="✓","完了",IF(G1532="","",IF(G1532&lt;TODAY(),"期限超過",IF(G1532=TODAY(),"今日まで","予定")))))</f>
        <v/>
      </c>
      <c r="K1532" s="22" t="n"/>
      <c r="L1532" s="26" t="n"/>
    </row>
    <row r="1533">
      <c r="A1533" s="11" t="n"/>
      <c r="B1533" s="11" t="n"/>
      <c r="C1533" s="10" t="n"/>
      <c r="D1533" s="11" t="n"/>
      <c r="E1533" s="10" t="n"/>
      <c r="F1533" s="22" t="n"/>
      <c r="G1533" s="24" t="n"/>
      <c r="H1533" s="23" t="n"/>
      <c r="I1533" s="25" t="n"/>
      <c r="J1533" s="10">
        <f>IF(D1533="","",IF(H1533="✓","完了",IF(G1533="","",IF(G1533&lt;TODAY(),"期限超過",IF(G1533=TODAY(),"今日まで","予定")))))</f>
        <v/>
      </c>
      <c r="K1533" s="22" t="n"/>
      <c r="L1533" s="26" t="n"/>
    </row>
    <row r="1534">
      <c r="A1534" s="11" t="n"/>
      <c r="B1534" s="11" t="n"/>
      <c r="C1534" s="10" t="n"/>
      <c r="D1534" s="11" t="n"/>
      <c r="E1534" s="10" t="n"/>
      <c r="F1534" s="22" t="n"/>
      <c r="G1534" s="24" t="n"/>
      <c r="H1534" s="23" t="n"/>
      <c r="I1534" s="25" t="n"/>
      <c r="J1534" s="10">
        <f>IF(D1534="","",IF(H1534="✓","完了",IF(G1534="","",IF(G1534&lt;TODAY(),"期限超過",IF(G1534=TODAY(),"今日まで","予定")))))</f>
        <v/>
      </c>
      <c r="K1534" s="22" t="n"/>
      <c r="L1534" s="26" t="n"/>
    </row>
    <row r="1535">
      <c r="A1535" s="11" t="n"/>
      <c r="B1535" s="11" t="n"/>
      <c r="C1535" s="10" t="n"/>
      <c r="D1535" s="11" t="n"/>
      <c r="E1535" s="10" t="n"/>
      <c r="F1535" s="22" t="n"/>
      <c r="G1535" s="24" t="n"/>
      <c r="H1535" s="23" t="n"/>
      <c r="I1535" s="25" t="n"/>
      <c r="J1535" s="10">
        <f>IF(D1535="","",IF(H1535="✓","完了",IF(G1535="","",IF(G1535&lt;TODAY(),"期限超過",IF(G1535=TODAY(),"今日まで","予定")))))</f>
        <v/>
      </c>
      <c r="K1535" s="22" t="n"/>
      <c r="L1535" s="26" t="n"/>
    </row>
    <row r="1536">
      <c r="A1536" s="11" t="n"/>
      <c r="B1536" s="11" t="n"/>
      <c r="C1536" s="10" t="n"/>
      <c r="D1536" s="11" t="n"/>
      <c r="E1536" s="10" t="n"/>
      <c r="F1536" s="22" t="n"/>
      <c r="G1536" s="24" t="n"/>
      <c r="H1536" s="23" t="n"/>
      <c r="I1536" s="25" t="n"/>
      <c r="J1536" s="10">
        <f>IF(D1536="","",IF(H1536="✓","完了",IF(G1536="","",IF(G1536&lt;TODAY(),"期限超過",IF(G1536=TODAY(),"今日まで","予定")))))</f>
        <v/>
      </c>
      <c r="K1536" s="22" t="n"/>
      <c r="L1536" s="26" t="n"/>
    </row>
    <row r="1537">
      <c r="A1537" s="11" t="n"/>
      <c r="B1537" s="11" t="n"/>
      <c r="C1537" s="10" t="n"/>
      <c r="D1537" s="11" t="n"/>
      <c r="E1537" s="10" t="n"/>
      <c r="F1537" s="22" t="n"/>
      <c r="G1537" s="24" t="n"/>
      <c r="H1537" s="23" t="n"/>
      <c r="I1537" s="25" t="n"/>
      <c r="J1537" s="10">
        <f>IF(D1537="","",IF(H1537="✓","完了",IF(G1537="","",IF(G1537&lt;TODAY(),"期限超過",IF(G1537=TODAY(),"今日まで","予定")))))</f>
        <v/>
      </c>
      <c r="K1537" s="22" t="n"/>
      <c r="L1537" s="26" t="n"/>
    </row>
    <row r="1538">
      <c r="A1538" s="11" t="n"/>
      <c r="B1538" s="11" t="n"/>
      <c r="C1538" s="10" t="n"/>
      <c r="D1538" s="11" t="n"/>
      <c r="E1538" s="10" t="n"/>
      <c r="F1538" s="22" t="n"/>
      <c r="G1538" s="24" t="n"/>
      <c r="H1538" s="23" t="n"/>
      <c r="I1538" s="25" t="n"/>
      <c r="J1538" s="10">
        <f>IF(D1538="","",IF(H1538="✓","完了",IF(G1538="","",IF(G1538&lt;TODAY(),"期限超過",IF(G1538=TODAY(),"今日まで","予定")))))</f>
        <v/>
      </c>
      <c r="K1538" s="22" t="n"/>
      <c r="L1538" s="26" t="n"/>
    </row>
    <row r="1539">
      <c r="A1539" s="11" t="n"/>
      <c r="B1539" s="11" t="n"/>
      <c r="C1539" s="10" t="n"/>
      <c r="D1539" s="11" t="n"/>
      <c r="E1539" s="10" t="n"/>
      <c r="F1539" s="22" t="n"/>
      <c r="G1539" s="24" t="n"/>
      <c r="H1539" s="23" t="n"/>
      <c r="I1539" s="25" t="n"/>
      <c r="J1539" s="10">
        <f>IF(D1539="","",IF(H1539="✓","完了",IF(G1539="","",IF(G1539&lt;TODAY(),"期限超過",IF(G1539=TODAY(),"今日まで","予定")))))</f>
        <v/>
      </c>
      <c r="K1539" s="22" t="n"/>
      <c r="L1539" s="26" t="n"/>
    </row>
    <row r="1540">
      <c r="A1540" s="11" t="n"/>
      <c r="B1540" s="11" t="n"/>
      <c r="C1540" s="10" t="n"/>
      <c r="D1540" s="11" t="n"/>
      <c r="E1540" s="10" t="n"/>
      <c r="F1540" s="22" t="n"/>
      <c r="G1540" s="24" t="n"/>
      <c r="H1540" s="23" t="n"/>
      <c r="I1540" s="25" t="n"/>
      <c r="J1540" s="10">
        <f>IF(D1540="","",IF(H1540="✓","完了",IF(G1540="","",IF(G1540&lt;TODAY(),"期限超過",IF(G1540=TODAY(),"今日まで","予定")))))</f>
        <v/>
      </c>
      <c r="K1540" s="22" t="n"/>
      <c r="L1540" s="26" t="n"/>
    </row>
    <row r="1541">
      <c r="A1541" s="11" t="n"/>
      <c r="B1541" s="11" t="n"/>
      <c r="C1541" s="10" t="n"/>
      <c r="D1541" s="11" t="n"/>
      <c r="E1541" s="10" t="n"/>
      <c r="F1541" s="22" t="n"/>
      <c r="G1541" s="24" t="n"/>
      <c r="H1541" s="23" t="n"/>
      <c r="I1541" s="25" t="n"/>
      <c r="J1541" s="10">
        <f>IF(D1541="","",IF(H1541="✓","完了",IF(G1541="","",IF(G1541&lt;TODAY(),"期限超過",IF(G1541=TODAY(),"今日まで","予定")))))</f>
        <v/>
      </c>
      <c r="K1541" s="22" t="n"/>
      <c r="L1541" s="26" t="n"/>
    </row>
    <row r="1542">
      <c r="A1542" s="11" t="n"/>
      <c r="B1542" s="11" t="n"/>
      <c r="C1542" s="10" t="n"/>
      <c r="D1542" s="11" t="n"/>
      <c r="E1542" s="10" t="n"/>
      <c r="F1542" s="22" t="n"/>
      <c r="G1542" s="24" t="n"/>
      <c r="H1542" s="23" t="n"/>
      <c r="I1542" s="25" t="n"/>
      <c r="J1542" s="10">
        <f>IF(D1542="","",IF(H1542="✓","完了",IF(G1542="","",IF(G1542&lt;TODAY(),"期限超過",IF(G1542=TODAY(),"今日まで","予定")))))</f>
        <v/>
      </c>
      <c r="K1542" s="22" t="n"/>
      <c r="L1542" s="26" t="n"/>
    </row>
    <row r="1543">
      <c r="A1543" s="11" t="n"/>
      <c r="B1543" s="11" t="n"/>
      <c r="C1543" s="10" t="n"/>
      <c r="D1543" s="11" t="n"/>
      <c r="E1543" s="10" t="n"/>
      <c r="F1543" s="22" t="n"/>
      <c r="G1543" s="24" t="n"/>
      <c r="H1543" s="23" t="n"/>
      <c r="I1543" s="25" t="n"/>
      <c r="J1543" s="10">
        <f>IF(D1543="","",IF(H1543="✓","完了",IF(G1543="","",IF(G1543&lt;TODAY(),"期限超過",IF(G1543=TODAY(),"今日まで","予定")))))</f>
        <v/>
      </c>
      <c r="K1543" s="22" t="n"/>
      <c r="L1543" s="26" t="n"/>
    </row>
    <row r="1544">
      <c r="A1544" s="11" t="n"/>
      <c r="B1544" s="11" t="n"/>
      <c r="C1544" s="10" t="n"/>
      <c r="D1544" s="11" t="n"/>
      <c r="E1544" s="10" t="n"/>
      <c r="F1544" s="22" t="n"/>
      <c r="G1544" s="24" t="n"/>
      <c r="H1544" s="23" t="n"/>
      <c r="I1544" s="25" t="n"/>
      <c r="J1544" s="10">
        <f>IF(D1544="","",IF(H1544="✓","完了",IF(G1544="","",IF(G1544&lt;TODAY(),"期限超過",IF(G1544=TODAY(),"今日まで","予定")))))</f>
        <v/>
      </c>
      <c r="K1544" s="22" t="n"/>
      <c r="L1544" s="26" t="n"/>
    </row>
    <row r="1545">
      <c r="A1545" s="11" t="n"/>
      <c r="B1545" s="11" t="n"/>
      <c r="C1545" s="10" t="n"/>
      <c r="D1545" s="11" t="n"/>
      <c r="E1545" s="10" t="n"/>
      <c r="F1545" s="22" t="n"/>
      <c r="G1545" s="24" t="n"/>
      <c r="H1545" s="23" t="n"/>
      <c r="I1545" s="25" t="n"/>
      <c r="J1545" s="10">
        <f>IF(D1545="","",IF(H1545="✓","完了",IF(G1545="","",IF(G1545&lt;TODAY(),"期限超過",IF(G1545=TODAY(),"今日まで","予定")))))</f>
        <v/>
      </c>
      <c r="K1545" s="22" t="n"/>
      <c r="L1545" s="26" t="n"/>
    </row>
    <row r="1546">
      <c r="A1546" s="11" t="n"/>
      <c r="B1546" s="11" t="n"/>
      <c r="C1546" s="10" t="n"/>
      <c r="D1546" s="11" t="n"/>
      <c r="E1546" s="10" t="n"/>
      <c r="F1546" s="22" t="n"/>
      <c r="G1546" s="24" t="n"/>
      <c r="H1546" s="23" t="n"/>
      <c r="I1546" s="25" t="n"/>
      <c r="J1546" s="10">
        <f>IF(D1546="","",IF(H1546="✓","完了",IF(G1546="","",IF(G1546&lt;TODAY(),"期限超過",IF(G1546=TODAY(),"今日まで","予定")))))</f>
        <v/>
      </c>
      <c r="K1546" s="22" t="n"/>
      <c r="L1546" s="26" t="n"/>
    </row>
    <row r="1547">
      <c r="A1547" s="11" t="n"/>
      <c r="B1547" s="11" t="n"/>
      <c r="C1547" s="10" t="n"/>
      <c r="D1547" s="11" t="n"/>
      <c r="E1547" s="10" t="n"/>
      <c r="F1547" s="22" t="n"/>
      <c r="G1547" s="24" t="n"/>
      <c r="H1547" s="23" t="n"/>
      <c r="I1547" s="25" t="n"/>
      <c r="J1547" s="10">
        <f>IF(D1547="","",IF(H1547="✓","完了",IF(G1547="","",IF(G1547&lt;TODAY(),"期限超過",IF(G1547=TODAY(),"今日まで","予定")))))</f>
        <v/>
      </c>
      <c r="K1547" s="22" t="n"/>
      <c r="L1547" s="26" t="n"/>
    </row>
    <row r="1548">
      <c r="A1548" s="11" t="n"/>
      <c r="B1548" s="11" t="n"/>
      <c r="C1548" s="10" t="n"/>
      <c r="D1548" s="11" t="n"/>
      <c r="E1548" s="10" t="n"/>
      <c r="F1548" s="22" t="n"/>
      <c r="G1548" s="24" t="n"/>
      <c r="H1548" s="23" t="n"/>
      <c r="I1548" s="25" t="n"/>
      <c r="J1548" s="10">
        <f>IF(D1548="","",IF(H1548="✓","完了",IF(G1548="","",IF(G1548&lt;TODAY(),"期限超過",IF(G1548=TODAY(),"今日まで","予定")))))</f>
        <v/>
      </c>
      <c r="K1548" s="22" t="n"/>
      <c r="L1548" s="26" t="n"/>
    </row>
    <row r="1549">
      <c r="A1549" s="11" t="n"/>
      <c r="B1549" s="11" t="n"/>
      <c r="C1549" s="10" t="n"/>
      <c r="D1549" s="11" t="n"/>
      <c r="E1549" s="10" t="n"/>
      <c r="F1549" s="22" t="n"/>
      <c r="G1549" s="24" t="n"/>
      <c r="H1549" s="23" t="n"/>
      <c r="I1549" s="25" t="n"/>
      <c r="J1549" s="10">
        <f>IF(D1549="","",IF(H1549="✓","完了",IF(G1549="","",IF(G1549&lt;TODAY(),"期限超過",IF(G1549=TODAY(),"今日まで","予定")))))</f>
        <v/>
      </c>
      <c r="K1549" s="22" t="n"/>
      <c r="L1549" s="26" t="n"/>
    </row>
    <row r="1550">
      <c r="A1550" s="11" t="n"/>
      <c r="B1550" s="11" t="n"/>
      <c r="C1550" s="10" t="n"/>
      <c r="D1550" s="11" t="n"/>
      <c r="E1550" s="10" t="n"/>
      <c r="F1550" s="22" t="n"/>
      <c r="G1550" s="24" t="n"/>
      <c r="H1550" s="23" t="n"/>
      <c r="I1550" s="25" t="n"/>
      <c r="J1550" s="10">
        <f>IF(D1550="","",IF(H1550="✓","完了",IF(G1550="","",IF(G1550&lt;TODAY(),"期限超過",IF(G1550=TODAY(),"今日まで","予定")))))</f>
        <v/>
      </c>
      <c r="K1550" s="22" t="n"/>
      <c r="L1550" s="26" t="n"/>
    </row>
    <row r="1551">
      <c r="A1551" s="11" t="n"/>
      <c r="B1551" s="11" t="n"/>
      <c r="C1551" s="10" t="n"/>
      <c r="D1551" s="11" t="n"/>
      <c r="E1551" s="10" t="n"/>
      <c r="F1551" s="22" t="n"/>
      <c r="G1551" s="24" t="n"/>
      <c r="H1551" s="23" t="n"/>
      <c r="I1551" s="25" t="n"/>
      <c r="J1551" s="10">
        <f>IF(D1551="","",IF(H1551="✓","完了",IF(G1551="","",IF(G1551&lt;TODAY(),"期限超過",IF(G1551=TODAY(),"今日まで","予定")))))</f>
        <v/>
      </c>
      <c r="K1551" s="22" t="n"/>
      <c r="L1551" s="26" t="n"/>
    </row>
    <row r="1552">
      <c r="A1552" s="11" t="n"/>
      <c r="B1552" s="11" t="n"/>
      <c r="C1552" s="10" t="n"/>
      <c r="D1552" s="11" t="n"/>
      <c r="E1552" s="10" t="n"/>
      <c r="F1552" s="22" t="n"/>
      <c r="G1552" s="24" t="n"/>
      <c r="H1552" s="23" t="n"/>
      <c r="I1552" s="25" t="n"/>
      <c r="J1552" s="10">
        <f>IF(D1552="","",IF(H1552="✓","完了",IF(G1552="","",IF(G1552&lt;TODAY(),"期限超過",IF(G1552=TODAY(),"今日まで","予定")))))</f>
        <v/>
      </c>
      <c r="K1552" s="22" t="n"/>
      <c r="L1552" s="26" t="n"/>
    </row>
    <row r="1553">
      <c r="A1553" s="11" t="n"/>
      <c r="B1553" s="11" t="n"/>
      <c r="C1553" s="10" t="n"/>
      <c r="D1553" s="11" t="n"/>
      <c r="E1553" s="10" t="n"/>
      <c r="F1553" s="22" t="n"/>
      <c r="G1553" s="24" t="n"/>
      <c r="H1553" s="23" t="n"/>
      <c r="I1553" s="25" t="n"/>
      <c r="J1553" s="10">
        <f>IF(D1553="","",IF(H1553="✓","完了",IF(G1553="","",IF(G1553&lt;TODAY(),"期限超過",IF(G1553=TODAY(),"今日まで","予定")))))</f>
        <v/>
      </c>
      <c r="K1553" s="22" t="n"/>
      <c r="L1553" s="26" t="n"/>
    </row>
    <row r="1554">
      <c r="A1554" s="11" t="n"/>
      <c r="B1554" s="11" t="n"/>
      <c r="C1554" s="10" t="n"/>
      <c r="D1554" s="11" t="n"/>
      <c r="E1554" s="10" t="n"/>
      <c r="F1554" s="22" t="n"/>
      <c r="G1554" s="24" t="n"/>
      <c r="H1554" s="23" t="n"/>
      <c r="I1554" s="25" t="n"/>
      <c r="J1554" s="10">
        <f>IF(D1554="","",IF(H1554="✓","完了",IF(G1554="","",IF(G1554&lt;TODAY(),"期限超過",IF(G1554=TODAY(),"今日まで","予定")))))</f>
        <v/>
      </c>
      <c r="K1554" s="22" t="n"/>
      <c r="L1554" s="26" t="n"/>
    </row>
    <row r="1555">
      <c r="A1555" s="11" t="n"/>
      <c r="B1555" s="11" t="n"/>
      <c r="C1555" s="10" t="n"/>
      <c r="D1555" s="11" t="n"/>
      <c r="E1555" s="10" t="n"/>
      <c r="F1555" s="22" t="n"/>
      <c r="G1555" s="24" t="n"/>
      <c r="H1555" s="23" t="n"/>
      <c r="I1555" s="25" t="n"/>
      <c r="J1555" s="10">
        <f>IF(D1555="","",IF(H1555="✓","完了",IF(G1555="","",IF(G1555&lt;TODAY(),"期限超過",IF(G1555=TODAY(),"今日まで","予定")))))</f>
        <v/>
      </c>
      <c r="K1555" s="22" t="n"/>
      <c r="L1555" s="26" t="n"/>
    </row>
    <row r="1556">
      <c r="A1556" s="11" t="n"/>
      <c r="B1556" s="11" t="n"/>
      <c r="C1556" s="10" t="n"/>
      <c r="D1556" s="11" t="n"/>
      <c r="E1556" s="10" t="n"/>
      <c r="F1556" s="22" t="n"/>
      <c r="G1556" s="24" t="n"/>
      <c r="H1556" s="23" t="n"/>
      <c r="I1556" s="25" t="n"/>
      <c r="J1556" s="10">
        <f>IF(D1556="","",IF(H1556="✓","完了",IF(G1556="","",IF(G1556&lt;TODAY(),"期限超過",IF(G1556=TODAY(),"今日まで","予定")))))</f>
        <v/>
      </c>
      <c r="K1556" s="22" t="n"/>
      <c r="L1556" s="26" t="n"/>
    </row>
    <row r="1557">
      <c r="A1557" s="11" t="n"/>
      <c r="B1557" s="11" t="n"/>
      <c r="C1557" s="10" t="n"/>
      <c r="D1557" s="11" t="n"/>
      <c r="E1557" s="10" t="n"/>
      <c r="F1557" s="22" t="n"/>
      <c r="G1557" s="24" t="n"/>
      <c r="H1557" s="23" t="n"/>
      <c r="I1557" s="25" t="n"/>
      <c r="J1557" s="10">
        <f>IF(D1557="","",IF(H1557="✓","完了",IF(G1557="","",IF(G1557&lt;TODAY(),"期限超過",IF(G1557=TODAY(),"今日まで","予定")))))</f>
        <v/>
      </c>
      <c r="K1557" s="22" t="n"/>
      <c r="L1557" s="26" t="n"/>
    </row>
    <row r="1558">
      <c r="A1558" s="11" t="n"/>
      <c r="B1558" s="11" t="n"/>
      <c r="C1558" s="10" t="n"/>
      <c r="D1558" s="11" t="n"/>
      <c r="E1558" s="10" t="n"/>
      <c r="F1558" s="22" t="n"/>
      <c r="G1558" s="24" t="n"/>
      <c r="H1558" s="23" t="n"/>
      <c r="I1558" s="25" t="n"/>
      <c r="J1558" s="10">
        <f>IF(D1558="","",IF(H1558="✓","完了",IF(G1558="","",IF(G1558&lt;TODAY(),"期限超過",IF(G1558=TODAY(),"今日まで","予定")))))</f>
        <v/>
      </c>
      <c r="K1558" s="22" t="n"/>
      <c r="L1558" s="26" t="n"/>
    </row>
    <row r="1559">
      <c r="A1559" s="11" t="n"/>
      <c r="B1559" s="11" t="n"/>
      <c r="C1559" s="10" t="n"/>
      <c r="D1559" s="11" t="n"/>
      <c r="E1559" s="10" t="n"/>
      <c r="F1559" s="22" t="n"/>
      <c r="G1559" s="24" t="n"/>
      <c r="H1559" s="23" t="n"/>
      <c r="I1559" s="25" t="n"/>
      <c r="J1559" s="10">
        <f>IF(D1559="","",IF(H1559="✓","完了",IF(G1559="","",IF(G1559&lt;TODAY(),"期限超過",IF(G1559=TODAY(),"今日まで","予定")))))</f>
        <v/>
      </c>
      <c r="K1559" s="22" t="n"/>
      <c r="L1559" s="26" t="n"/>
    </row>
    <row r="1560">
      <c r="A1560" s="11" t="n"/>
      <c r="B1560" s="11" t="n"/>
      <c r="C1560" s="10" t="n"/>
      <c r="D1560" s="11" t="n"/>
      <c r="E1560" s="10" t="n"/>
      <c r="F1560" s="22" t="n"/>
      <c r="G1560" s="24" t="n"/>
      <c r="H1560" s="23" t="n"/>
      <c r="I1560" s="25" t="n"/>
      <c r="J1560" s="10">
        <f>IF(D1560="","",IF(H1560="✓","完了",IF(G1560="","",IF(G1560&lt;TODAY(),"期限超過",IF(G1560=TODAY(),"今日まで","予定")))))</f>
        <v/>
      </c>
      <c r="K1560" s="22" t="n"/>
      <c r="L1560" s="26" t="n"/>
    </row>
    <row r="1561">
      <c r="A1561" s="11" t="n"/>
      <c r="B1561" s="11" t="n"/>
      <c r="C1561" s="10" t="n"/>
      <c r="D1561" s="11" t="n"/>
      <c r="E1561" s="10" t="n"/>
      <c r="F1561" s="22" t="n"/>
      <c r="G1561" s="24" t="n"/>
      <c r="H1561" s="23" t="n"/>
      <c r="I1561" s="25" t="n"/>
      <c r="J1561" s="10">
        <f>IF(D1561="","",IF(H1561="✓","完了",IF(G1561="","",IF(G1561&lt;TODAY(),"期限超過",IF(G1561=TODAY(),"今日まで","予定")))))</f>
        <v/>
      </c>
      <c r="K1561" s="22" t="n"/>
      <c r="L1561" s="26" t="n"/>
    </row>
    <row r="1562">
      <c r="A1562" s="11" t="n"/>
      <c r="B1562" s="11" t="n"/>
      <c r="C1562" s="10" t="n"/>
      <c r="D1562" s="11" t="n"/>
      <c r="E1562" s="10" t="n"/>
      <c r="F1562" s="22" t="n"/>
      <c r="G1562" s="24" t="n"/>
      <c r="H1562" s="23" t="n"/>
      <c r="I1562" s="25" t="n"/>
      <c r="J1562" s="10">
        <f>IF(D1562="","",IF(H1562="✓","完了",IF(G1562="","",IF(G1562&lt;TODAY(),"期限超過",IF(G1562=TODAY(),"今日まで","予定")))))</f>
        <v/>
      </c>
      <c r="K1562" s="22" t="n"/>
      <c r="L1562" s="26" t="n"/>
    </row>
    <row r="1563">
      <c r="A1563" s="11" t="n"/>
      <c r="B1563" s="11" t="n"/>
      <c r="C1563" s="10" t="n"/>
      <c r="D1563" s="11" t="n"/>
      <c r="E1563" s="10" t="n"/>
      <c r="F1563" s="22" t="n"/>
      <c r="G1563" s="24" t="n"/>
      <c r="H1563" s="23" t="n"/>
      <c r="I1563" s="25" t="n"/>
      <c r="J1563" s="10">
        <f>IF(D1563="","",IF(H1563="✓","完了",IF(G1563="","",IF(G1563&lt;TODAY(),"期限超過",IF(G1563=TODAY(),"今日まで","予定")))))</f>
        <v/>
      </c>
      <c r="K1563" s="22" t="n"/>
      <c r="L1563" s="26" t="n"/>
    </row>
    <row r="1564">
      <c r="A1564" s="11" t="n"/>
      <c r="B1564" s="11" t="n"/>
      <c r="C1564" s="10" t="n"/>
      <c r="D1564" s="11" t="n"/>
      <c r="E1564" s="10" t="n"/>
      <c r="F1564" s="22" t="n"/>
      <c r="G1564" s="24" t="n"/>
      <c r="H1564" s="23" t="n"/>
      <c r="I1564" s="25" t="n"/>
      <c r="J1564" s="10">
        <f>IF(D1564="","",IF(H1564="✓","完了",IF(G1564="","",IF(G1564&lt;TODAY(),"期限超過",IF(G1564=TODAY(),"今日まで","予定")))))</f>
        <v/>
      </c>
      <c r="K1564" s="22" t="n"/>
      <c r="L1564" s="26" t="n"/>
    </row>
    <row r="1565">
      <c r="A1565" s="11" t="n"/>
      <c r="B1565" s="11" t="n"/>
      <c r="C1565" s="10" t="n"/>
      <c r="D1565" s="11" t="n"/>
      <c r="E1565" s="10" t="n"/>
      <c r="F1565" s="22" t="n"/>
      <c r="G1565" s="24" t="n"/>
      <c r="H1565" s="23" t="n"/>
      <c r="I1565" s="25" t="n"/>
      <c r="J1565" s="10">
        <f>IF(D1565="","",IF(H1565="✓","完了",IF(G1565="","",IF(G1565&lt;TODAY(),"期限超過",IF(G1565=TODAY(),"今日まで","予定")))))</f>
        <v/>
      </c>
      <c r="K1565" s="22" t="n"/>
      <c r="L1565" s="26" t="n"/>
    </row>
    <row r="1566">
      <c r="A1566" s="11" t="n"/>
      <c r="B1566" s="11" t="n"/>
      <c r="C1566" s="10" t="n"/>
      <c r="D1566" s="11" t="n"/>
      <c r="E1566" s="10" t="n"/>
      <c r="F1566" s="22" t="n"/>
      <c r="G1566" s="24" t="n"/>
      <c r="H1566" s="23" t="n"/>
      <c r="I1566" s="25" t="n"/>
      <c r="J1566" s="10">
        <f>IF(D1566="","",IF(H1566="✓","完了",IF(G1566="","",IF(G1566&lt;TODAY(),"期限超過",IF(G1566=TODAY(),"今日まで","予定")))))</f>
        <v/>
      </c>
      <c r="K1566" s="22" t="n"/>
      <c r="L1566" s="26" t="n"/>
    </row>
    <row r="1567">
      <c r="A1567" s="11" t="n"/>
      <c r="B1567" s="11" t="n"/>
      <c r="C1567" s="10" t="n"/>
      <c r="D1567" s="11" t="n"/>
      <c r="E1567" s="10" t="n"/>
      <c r="F1567" s="22" t="n"/>
      <c r="G1567" s="24" t="n"/>
      <c r="H1567" s="23" t="n"/>
      <c r="I1567" s="25" t="n"/>
      <c r="J1567" s="10">
        <f>IF(D1567="","",IF(H1567="✓","完了",IF(G1567="","",IF(G1567&lt;TODAY(),"期限超過",IF(G1567=TODAY(),"今日まで","予定")))))</f>
        <v/>
      </c>
      <c r="K1567" s="22" t="n"/>
      <c r="L1567" s="26" t="n"/>
    </row>
    <row r="1568">
      <c r="A1568" s="11" t="n"/>
      <c r="B1568" s="11" t="n"/>
      <c r="C1568" s="10" t="n"/>
      <c r="D1568" s="11" t="n"/>
      <c r="E1568" s="10" t="n"/>
      <c r="F1568" s="22" t="n"/>
      <c r="G1568" s="24" t="n"/>
      <c r="H1568" s="23" t="n"/>
      <c r="I1568" s="25" t="n"/>
      <c r="J1568" s="10">
        <f>IF(D1568="","",IF(H1568="✓","完了",IF(G1568="","",IF(G1568&lt;TODAY(),"期限超過",IF(G1568=TODAY(),"今日まで","予定")))))</f>
        <v/>
      </c>
      <c r="K1568" s="22" t="n"/>
      <c r="L1568" s="26" t="n"/>
    </row>
    <row r="1569">
      <c r="A1569" s="11" t="n"/>
      <c r="B1569" s="11" t="n"/>
      <c r="C1569" s="10" t="n"/>
      <c r="D1569" s="11" t="n"/>
      <c r="E1569" s="10" t="n"/>
      <c r="F1569" s="22" t="n"/>
      <c r="G1569" s="24" t="n"/>
      <c r="H1569" s="23" t="n"/>
      <c r="I1569" s="25" t="n"/>
      <c r="J1569" s="10">
        <f>IF(D1569="","",IF(H1569="✓","完了",IF(G1569="","",IF(G1569&lt;TODAY(),"期限超過",IF(G1569=TODAY(),"今日まで","予定")))))</f>
        <v/>
      </c>
      <c r="K1569" s="22" t="n"/>
      <c r="L1569" s="26" t="n"/>
    </row>
    <row r="1570">
      <c r="A1570" s="11" t="n"/>
      <c r="B1570" s="11" t="n"/>
      <c r="C1570" s="10" t="n"/>
      <c r="D1570" s="11" t="n"/>
      <c r="E1570" s="10" t="n"/>
      <c r="F1570" s="22" t="n"/>
      <c r="G1570" s="24" t="n"/>
      <c r="H1570" s="23" t="n"/>
      <c r="I1570" s="25" t="n"/>
      <c r="J1570" s="10">
        <f>IF(D1570="","",IF(H1570="✓","完了",IF(G1570="","",IF(G1570&lt;TODAY(),"期限超過",IF(G1570=TODAY(),"今日まで","予定")))))</f>
        <v/>
      </c>
      <c r="K1570" s="22" t="n"/>
      <c r="L1570" s="26" t="n"/>
    </row>
    <row r="1571">
      <c r="A1571" s="11" t="n"/>
      <c r="B1571" s="11" t="n"/>
      <c r="C1571" s="10" t="n"/>
      <c r="D1571" s="11" t="n"/>
      <c r="E1571" s="10" t="n"/>
      <c r="F1571" s="22" t="n"/>
      <c r="G1571" s="24" t="n"/>
      <c r="H1571" s="23" t="n"/>
      <c r="I1571" s="25" t="n"/>
      <c r="J1571" s="10">
        <f>IF(D1571="","",IF(H1571="✓","完了",IF(G1571="","",IF(G1571&lt;TODAY(),"期限超過",IF(G1571=TODAY(),"今日まで","予定")))))</f>
        <v/>
      </c>
      <c r="K1571" s="22" t="n"/>
      <c r="L1571" s="26" t="n"/>
    </row>
    <row r="1572">
      <c r="A1572" s="11" t="n"/>
      <c r="B1572" s="11" t="n"/>
      <c r="C1572" s="10" t="n"/>
      <c r="D1572" s="11" t="n"/>
      <c r="E1572" s="10" t="n"/>
      <c r="F1572" s="22" t="n"/>
      <c r="G1572" s="24" t="n"/>
      <c r="H1572" s="23" t="n"/>
      <c r="I1572" s="25" t="n"/>
      <c r="J1572" s="10">
        <f>IF(D1572="","",IF(H1572="✓","完了",IF(G1572="","",IF(G1572&lt;TODAY(),"期限超過",IF(G1572=TODAY(),"今日まで","予定")))))</f>
        <v/>
      </c>
      <c r="K1572" s="22" t="n"/>
      <c r="L1572" s="26" t="n"/>
    </row>
    <row r="1573">
      <c r="A1573" s="11" t="n"/>
      <c r="B1573" s="11" t="n"/>
      <c r="C1573" s="10" t="n"/>
      <c r="D1573" s="11" t="n"/>
      <c r="E1573" s="10" t="n"/>
      <c r="F1573" s="22" t="n"/>
      <c r="G1573" s="24" t="n"/>
      <c r="H1573" s="23" t="n"/>
      <c r="I1573" s="25" t="n"/>
      <c r="J1573" s="10">
        <f>IF(D1573="","",IF(H1573="✓","完了",IF(G1573="","",IF(G1573&lt;TODAY(),"期限超過",IF(G1573=TODAY(),"今日まで","予定")))))</f>
        <v/>
      </c>
      <c r="K1573" s="22" t="n"/>
      <c r="L1573" s="26" t="n"/>
    </row>
    <row r="1574">
      <c r="A1574" s="11" t="n"/>
      <c r="B1574" s="11" t="n"/>
      <c r="C1574" s="10" t="n"/>
      <c r="D1574" s="11" t="n"/>
      <c r="E1574" s="10" t="n"/>
      <c r="F1574" s="22" t="n"/>
      <c r="G1574" s="24" t="n"/>
      <c r="H1574" s="23" t="n"/>
      <c r="I1574" s="25" t="n"/>
      <c r="J1574" s="10">
        <f>IF(D1574="","",IF(H1574="✓","完了",IF(G1574="","",IF(G1574&lt;TODAY(),"期限超過",IF(G1574=TODAY(),"今日まで","予定")))))</f>
        <v/>
      </c>
      <c r="K1574" s="22" t="n"/>
      <c r="L1574" s="26" t="n"/>
    </row>
    <row r="1575">
      <c r="A1575" s="11" t="n"/>
      <c r="B1575" s="11" t="n"/>
      <c r="C1575" s="10" t="n"/>
      <c r="D1575" s="11" t="n"/>
      <c r="E1575" s="10" t="n"/>
      <c r="F1575" s="22" t="n"/>
      <c r="G1575" s="24" t="n"/>
      <c r="H1575" s="23" t="n"/>
      <c r="I1575" s="25" t="n"/>
      <c r="J1575" s="10">
        <f>IF(D1575="","",IF(H1575="✓","完了",IF(G1575="","",IF(G1575&lt;TODAY(),"期限超過",IF(G1575=TODAY(),"今日まで","予定")))))</f>
        <v/>
      </c>
      <c r="K1575" s="22" t="n"/>
      <c r="L1575" s="26" t="n"/>
    </row>
    <row r="1576">
      <c r="A1576" s="11" t="n"/>
      <c r="B1576" s="11" t="n"/>
      <c r="C1576" s="10" t="n"/>
      <c r="D1576" s="11" t="n"/>
      <c r="E1576" s="10" t="n"/>
      <c r="F1576" s="22" t="n"/>
      <c r="G1576" s="24" t="n"/>
      <c r="H1576" s="23" t="n"/>
      <c r="I1576" s="25" t="n"/>
      <c r="J1576" s="10">
        <f>IF(D1576="","",IF(H1576="✓","完了",IF(G1576="","",IF(G1576&lt;TODAY(),"期限超過",IF(G1576=TODAY(),"今日まで","予定")))))</f>
        <v/>
      </c>
      <c r="K1576" s="22" t="n"/>
      <c r="L1576" s="26" t="n"/>
    </row>
    <row r="1577">
      <c r="A1577" s="11" t="n"/>
      <c r="B1577" s="11" t="n"/>
      <c r="C1577" s="10" t="n"/>
      <c r="D1577" s="11" t="n"/>
      <c r="E1577" s="10" t="n"/>
      <c r="F1577" s="22" t="n"/>
      <c r="G1577" s="24" t="n"/>
      <c r="H1577" s="23" t="n"/>
      <c r="I1577" s="25" t="n"/>
      <c r="J1577" s="10">
        <f>IF(D1577="","",IF(H1577="✓","完了",IF(G1577="","",IF(G1577&lt;TODAY(),"期限超過",IF(G1577=TODAY(),"今日まで","予定")))))</f>
        <v/>
      </c>
      <c r="K1577" s="22" t="n"/>
      <c r="L1577" s="26" t="n"/>
    </row>
    <row r="1578">
      <c r="A1578" s="11" t="n"/>
      <c r="B1578" s="11" t="n"/>
      <c r="C1578" s="10" t="n"/>
      <c r="D1578" s="11" t="n"/>
      <c r="E1578" s="10" t="n"/>
      <c r="F1578" s="22" t="n"/>
      <c r="G1578" s="24" t="n"/>
      <c r="H1578" s="23" t="n"/>
      <c r="I1578" s="25" t="n"/>
      <c r="J1578" s="10">
        <f>IF(D1578="","",IF(H1578="✓","完了",IF(G1578="","",IF(G1578&lt;TODAY(),"期限超過",IF(G1578=TODAY(),"今日まで","予定")))))</f>
        <v/>
      </c>
      <c r="K1578" s="22" t="n"/>
      <c r="L1578" s="26" t="n"/>
    </row>
    <row r="1579">
      <c r="A1579" s="11" t="n"/>
      <c r="B1579" s="11" t="n"/>
      <c r="C1579" s="10" t="n"/>
      <c r="D1579" s="11" t="n"/>
      <c r="E1579" s="10" t="n"/>
      <c r="F1579" s="22" t="n"/>
      <c r="G1579" s="24" t="n"/>
      <c r="H1579" s="23" t="n"/>
      <c r="I1579" s="25" t="n"/>
      <c r="J1579" s="10">
        <f>IF(D1579="","",IF(H1579="✓","完了",IF(G1579="","",IF(G1579&lt;TODAY(),"期限超過",IF(G1579=TODAY(),"今日まで","予定")))))</f>
        <v/>
      </c>
      <c r="K1579" s="22" t="n"/>
      <c r="L1579" s="26" t="n"/>
    </row>
    <row r="1580">
      <c r="A1580" s="11" t="n"/>
      <c r="B1580" s="11" t="n"/>
      <c r="C1580" s="10" t="n"/>
      <c r="D1580" s="11" t="n"/>
      <c r="E1580" s="10" t="n"/>
      <c r="F1580" s="22" t="n"/>
      <c r="G1580" s="24" t="n"/>
      <c r="H1580" s="23" t="n"/>
      <c r="I1580" s="25" t="n"/>
      <c r="J1580" s="10">
        <f>IF(D1580="","",IF(H1580="✓","完了",IF(G1580="","",IF(G1580&lt;TODAY(),"期限超過",IF(G1580=TODAY(),"今日まで","予定")))))</f>
        <v/>
      </c>
      <c r="K1580" s="22" t="n"/>
      <c r="L1580" s="26" t="n"/>
    </row>
    <row r="1581">
      <c r="A1581" s="11" t="n"/>
      <c r="B1581" s="11" t="n"/>
      <c r="C1581" s="10" t="n"/>
      <c r="D1581" s="11" t="n"/>
      <c r="E1581" s="10" t="n"/>
      <c r="F1581" s="22" t="n"/>
      <c r="G1581" s="24" t="n"/>
      <c r="H1581" s="23" t="n"/>
      <c r="I1581" s="25" t="n"/>
      <c r="J1581" s="10">
        <f>IF(D1581="","",IF(H1581="✓","完了",IF(G1581="","",IF(G1581&lt;TODAY(),"期限超過",IF(G1581=TODAY(),"今日まで","予定")))))</f>
        <v/>
      </c>
      <c r="K1581" s="22" t="n"/>
      <c r="L1581" s="26" t="n"/>
    </row>
    <row r="1582">
      <c r="A1582" s="11" t="n"/>
      <c r="B1582" s="11" t="n"/>
      <c r="C1582" s="10" t="n"/>
      <c r="D1582" s="11" t="n"/>
      <c r="E1582" s="10" t="n"/>
      <c r="F1582" s="22" t="n"/>
      <c r="G1582" s="24" t="n"/>
      <c r="H1582" s="23" t="n"/>
      <c r="I1582" s="25" t="n"/>
      <c r="J1582" s="10">
        <f>IF(D1582="","",IF(H1582="✓","完了",IF(G1582="","",IF(G1582&lt;TODAY(),"期限超過",IF(G1582=TODAY(),"今日まで","予定")))))</f>
        <v/>
      </c>
      <c r="K1582" s="22" t="n"/>
      <c r="L1582" s="26" t="n"/>
    </row>
    <row r="1583">
      <c r="A1583" s="11" t="n"/>
      <c r="B1583" s="11" t="n"/>
      <c r="C1583" s="10" t="n"/>
      <c r="D1583" s="11" t="n"/>
      <c r="E1583" s="10" t="n"/>
      <c r="F1583" s="22" t="n"/>
      <c r="G1583" s="24" t="n"/>
      <c r="H1583" s="23" t="n"/>
      <c r="I1583" s="25" t="n"/>
      <c r="J1583" s="10">
        <f>IF(D1583="","",IF(H1583="✓","完了",IF(G1583="","",IF(G1583&lt;TODAY(),"期限超過",IF(G1583=TODAY(),"今日まで","予定")))))</f>
        <v/>
      </c>
      <c r="K1583" s="22" t="n"/>
      <c r="L1583" s="26" t="n"/>
    </row>
    <row r="1584">
      <c r="A1584" s="11" t="n"/>
      <c r="B1584" s="11" t="n"/>
      <c r="C1584" s="10" t="n"/>
      <c r="D1584" s="11" t="n"/>
      <c r="E1584" s="10" t="n"/>
      <c r="F1584" s="22" t="n"/>
      <c r="G1584" s="24" t="n"/>
      <c r="H1584" s="23" t="n"/>
      <c r="I1584" s="25" t="n"/>
      <c r="J1584" s="10">
        <f>IF(D1584="","",IF(H1584="✓","完了",IF(G1584="","",IF(G1584&lt;TODAY(),"期限超過",IF(G1584=TODAY(),"今日まで","予定")))))</f>
        <v/>
      </c>
      <c r="K1584" s="22" t="n"/>
      <c r="L1584" s="26" t="n"/>
    </row>
    <row r="1585">
      <c r="A1585" s="11" t="n"/>
      <c r="B1585" s="11" t="n"/>
      <c r="C1585" s="10" t="n"/>
      <c r="D1585" s="11" t="n"/>
      <c r="E1585" s="10" t="n"/>
      <c r="F1585" s="22" t="n"/>
      <c r="G1585" s="24" t="n"/>
      <c r="H1585" s="23" t="n"/>
      <c r="I1585" s="25" t="n"/>
      <c r="J1585" s="10">
        <f>IF(D1585="","",IF(H1585="✓","完了",IF(G1585="","",IF(G1585&lt;TODAY(),"期限超過",IF(G1585=TODAY(),"今日まで","予定")))))</f>
        <v/>
      </c>
      <c r="K1585" s="22" t="n"/>
      <c r="L1585" s="26" t="n"/>
    </row>
    <row r="1586">
      <c r="A1586" s="11" t="n"/>
      <c r="B1586" s="11" t="n"/>
      <c r="C1586" s="10" t="n"/>
      <c r="D1586" s="11" t="n"/>
      <c r="E1586" s="10" t="n"/>
      <c r="F1586" s="22" t="n"/>
      <c r="G1586" s="24" t="n"/>
      <c r="H1586" s="23" t="n"/>
      <c r="I1586" s="25" t="n"/>
      <c r="J1586" s="10">
        <f>IF(D1586="","",IF(H1586="✓","完了",IF(G1586="","",IF(G1586&lt;TODAY(),"期限超過",IF(G1586=TODAY(),"今日まで","予定")))))</f>
        <v/>
      </c>
      <c r="K1586" s="22" t="n"/>
      <c r="L1586" s="26" t="n"/>
    </row>
    <row r="1587">
      <c r="A1587" s="11" t="n"/>
      <c r="B1587" s="11" t="n"/>
      <c r="C1587" s="10" t="n"/>
      <c r="D1587" s="11" t="n"/>
      <c r="E1587" s="10" t="n"/>
      <c r="F1587" s="22" t="n"/>
      <c r="G1587" s="24" t="n"/>
      <c r="H1587" s="23" t="n"/>
      <c r="I1587" s="25" t="n"/>
      <c r="J1587" s="10">
        <f>IF(D1587="","",IF(H1587="✓","完了",IF(G1587="","",IF(G1587&lt;TODAY(),"期限超過",IF(G1587=TODAY(),"今日まで","予定")))))</f>
        <v/>
      </c>
      <c r="K1587" s="22" t="n"/>
      <c r="L1587" s="26" t="n"/>
    </row>
    <row r="1588">
      <c r="A1588" s="11" t="n"/>
      <c r="B1588" s="11" t="n"/>
      <c r="C1588" s="10" t="n"/>
      <c r="D1588" s="11" t="n"/>
      <c r="E1588" s="10" t="n"/>
      <c r="F1588" s="22" t="n"/>
      <c r="G1588" s="24" t="n"/>
      <c r="H1588" s="23" t="n"/>
      <c r="I1588" s="25" t="n"/>
      <c r="J1588" s="10">
        <f>IF(D1588="","",IF(H1588="✓","完了",IF(G1588="","",IF(G1588&lt;TODAY(),"期限超過",IF(G1588=TODAY(),"今日まで","予定")))))</f>
        <v/>
      </c>
      <c r="K1588" s="22" t="n"/>
      <c r="L1588" s="26" t="n"/>
    </row>
    <row r="1589">
      <c r="A1589" s="11" t="n"/>
      <c r="B1589" s="11" t="n"/>
      <c r="C1589" s="10" t="n"/>
      <c r="D1589" s="11" t="n"/>
      <c r="E1589" s="10" t="n"/>
      <c r="F1589" s="22" t="n"/>
      <c r="G1589" s="24" t="n"/>
      <c r="H1589" s="23" t="n"/>
      <c r="I1589" s="25" t="n"/>
      <c r="J1589" s="10">
        <f>IF(D1589="","",IF(H1589="✓","完了",IF(G1589="","",IF(G1589&lt;TODAY(),"期限超過",IF(G1589=TODAY(),"今日まで","予定")))))</f>
        <v/>
      </c>
      <c r="K1589" s="22" t="n"/>
      <c r="L1589" s="26" t="n"/>
    </row>
    <row r="1590">
      <c r="A1590" s="11" t="n"/>
      <c r="B1590" s="11" t="n"/>
      <c r="C1590" s="10" t="n"/>
      <c r="D1590" s="11" t="n"/>
      <c r="E1590" s="10" t="n"/>
      <c r="F1590" s="22" t="n"/>
      <c r="G1590" s="24" t="n"/>
      <c r="H1590" s="23" t="n"/>
      <c r="I1590" s="25" t="n"/>
      <c r="J1590" s="10">
        <f>IF(D1590="","",IF(H1590="✓","完了",IF(G1590="","",IF(G1590&lt;TODAY(),"期限超過",IF(G1590=TODAY(),"今日まで","予定")))))</f>
        <v/>
      </c>
      <c r="K1590" s="22" t="n"/>
      <c r="L1590" s="26" t="n"/>
    </row>
    <row r="1591">
      <c r="A1591" s="11" t="n"/>
      <c r="B1591" s="11" t="n"/>
      <c r="C1591" s="10" t="n"/>
      <c r="D1591" s="11" t="n"/>
      <c r="E1591" s="10" t="n"/>
      <c r="F1591" s="22" t="n"/>
      <c r="G1591" s="24" t="n"/>
      <c r="H1591" s="23" t="n"/>
      <c r="I1591" s="25" t="n"/>
      <c r="J1591" s="10">
        <f>IF(D1591="","",IF(H1591="✓","完了",IF(G1591="","",IF(G1591&lt;TODAY(),"期限超過",IF(G1591=TODAY(),"今日まで","予定")))))</f>
        <v/>
      </c>
      <c r="K1591" s="22" t="n"/>
      <c r="L1591" s="26" t="n"/>
    </row>
    <row r="1592">
      <c r="A1592" s="11" t="n"/>
      <c r="B1592" s="11" t="n"/>
      <c r="C1592" s="10" t="n"/>
      <c r="D1592" s="11" t="n"/>
      <c r="E1592" s="10" t="n"/>
      <c r="F1592" s="22" t="n"/>
      <c r="G1592" s="24" t="n"/>
      <c r="H1592" s="23" t="n"/>
      <c r="I1592" s="25" t="n"/>
      <c r="J1592" s="10">
        <f>IF(D1592="","",IF(H1592="✓","完了",IF(G1592="","",IF(G1592&lt;TODAY(),"期限超過",IF(G1592=TODAY(),"今日まで","予定")))))</f>
        <v/>
      </c>
      <c r="K1592" s="22" t="n"/>
      <c r="L1592" s="26" t="n"/>
    </row>
    <row r="1593">
      <c r="A1593" s="11" t="n"/>
      <c r="B1593" s="11" t="n"/>
      <c r="C1593" s="10" t="n"/>
      <c r="D1593" s="11" t="n"/>
      <c r="E1593" s="10" t="n"/>
      <c r="F1593" s="22" t="n"/>
      <c r="G1593" s="24" t="n"/>
      <c r="H1593" s="23" t="n"/>
      <c r="I1593" s="25" t="n"/>
      <c r="J1593" s="10">
        <f>IF(D1593="","",IF(H1593="✓","完了",IF(G1593="","",IF(G1593&lt;TODAY(),"期限超過",IF(G1593=TODAY(),"今日まで","予定")))))</f>
        <v/>
      </c>
      <c r="K1593" s="22" t="n"/>
      <c r="L1593" s="26" t="n"/>
    </row>
    <row r="1594">
      <c r="A1594" s="11" t="n"/>
      <c r="B1594" s="11" t="n"/>
      <c r="C1594" s="10" t="n"/>
      <c r="D1594" s="11" t="n"/>
      <c r="E1594" s="10" t="n"/>
      <c r="F1594" s="22" t="n"/>
      <c r="G1594" s="24" t="n"/>
      <c r="H1594" s="23" t="n"/>
      <c r="I1594" s="25" t="n"/>
      <c r="J1594" s="10">
        <f>IF(D1594="","",IF(H1594="✓","完了",IF(G1594="","",IF(G1594&lt;TODAY(),"期限超過",IF(G1594=TODAY(),"今日まで","予定")))))</f>
        <v/>
      </c>
      <c r="K1594" s="22" t="n"/>
      <c r="L1594" s="26" t="n"/>
    </row>
    <row r="1595">
      <c r="A1595" s="11" t="n"/>
      <c r="B1595" s="11" t="n"/>
      <c r="C1595" s="10" t="n"/>
      <c r="D1595" s="11" t="n"/>
      <c r="E1595" s="10" t="n"/>
      <c r="F1595" s="22" t="n"/>
      <c r="G1595" s="24" t="n"/>
      <c r="H1595" s="23" t="n"/>
      <c r="I1595" s="25" t="n"/>
      <c r="J1595" s="10">
        <f>IF(D1595="","",IF(H1595="✓","完了",IF(G1595="","",IF(G1595&lt;TODAY(),"期限超過",IF(G1595=TODAY(),"今日まで","予定")))))</f>
        <v/>
      </c>
      <c r="K1595" s="22" t="n"/>
      <c r="L1595" s="26" t="n"/>
    </row>
    <row r="1596">
      <c r="A1596" s="11" t="n"/>
      <c r="B1596" s="11" t="n"/>
      <c r="C1596" s="10" t="n"/>
      <c r="D1596" s="11" t="n"/>
      <c r="E1596" s="10" t="n"/>
      <c r="F1596" s="22" t="n"/>
      <c r="G1596" s="24" t="n"/>
      <c r="H1596" s="23" t="n"/>
      <c r="I1596" s="25" t="n"/>
      <c r="J1596" s="10">
        <f>IF(D1596="","",IF(H1596="✓","完了",IF(G1596="","",IF(G1596&lt;TODAY(),"期限超過",IF(G1596=TODAY(),"今日まで","予定")))))</f>
        <v/>
      </c>
      <c r="K1596" s="22" t="n"/>
      <c r="L1596" s="26" t="n"/>
    </row>
    <row r="1597">
      <c r="A1597" s="11" t="n"/>
      <c r="B1597" s="11" t="n"/>
      <c r="C1597" s="10" t="n"/>
      <c r="D1597" s="11" t="n"/>
      <c r="E1597" s="10" t="n"/>
      <c r="F1597" s="22" t="n"/>
      <c r="G1597" s="24" t="n"/>
      <c r="H1597" s="23" t="n"/>
      <c r="I1597" s="25" t="n"/>
      <c r="J1597" s="10">
        <f>IF(D1597="","",IF(H1597="✓","完了",IF(G1597="","",IF(G1597&lt;TODAY(),"期限超過",IF(G1597=TODAY(),"今日まで","予定")))))</f>
        <v/>
      </c>
      <c r="K1597" s="22" t="n"/>
      <c r="L1597" s="26" t="n"/>
    </row>
    <row r="1598">
      <c r="A1598" s="11" t="n"/>
      <c r="B1598" s="11" t="n"/>
      <c r="C1598" s="10" t="n"/>
      <c r="D1598" s="11" t="n"/>
      <c r="E1598" s="10" t="n"/>
      <c r="F1598" s="22" t="n"/>
      <c r="G1598" s="24" t="n"/>
      <c r="H1598" s="23" t="n"/>
      <c r="I1598" s="25" t="n"/>
      <c r="J1598" s="10">
        <f>IF(D1598="","",IF(H1598="✓","完了",IF(G1598="","",IF(G1598&lt;TODAY(),"期限超過",IF(G1598=TODAY(),"今日まで","予定")))))</f>
        <v/>
      </c>
      <c r="K1598" s="22" t="n"/>
      <c r="L1598" s="26" t="n"/>
    </row>
    <row r="1599">
      <c r="A1599" s="11" t="n"/>
      <c r="B1599" s="11" t="n"/>
      <c r="C1599" s="10" t="n"/>
      <c r="D1599" s="11" t="n"/>
      <c r="E1599" s="10" t="n"/>
      <c r="F1599" s="22" t="n"/>
      <c r="G1599" s="24" t="n"/>
      <c r="H1599" s="23" t="n"/>
      <c r="I1599" s="25" t="n"/>
      <c r="J1599" s="10">
        <f>IF(D1599="","",IF(H1599="✓","完了",IF(G1599="","",IF(G1599&lt;TODAY(),"期限超過",IF(G1599=TODAY(),"今日まで","予定")))))</f>
        <v/>
      </c>
      <c r="K1599" s="22" t="n"/>
      <c r="L1599" s="26" t="n"/>
    </row>
    <row r="1600">
      <c r="A1600" s="11" t="n"/>
      <c r="B1600" s="11" t="n"/>
      <c r="C1600" s="10" t="n"/>
      <c r="D1600" s="11" t="n"/>
      <c r="E1600" s="10" t="n"/>
      <c r="F1600" s="22" t="n"/>
      <c r="G1600" s="24" t="n"/>
      <c r="H1600" s="23" t="n"/>
      <c r="I1600" s="25" t="n"/>
      <c r="J1600" s="10">
        <f>IF(D1600="","",IF(H1600="✓","完了",IF(G1600="","",IF(G1600&lt;TODAY(),"期限超過",IF(G1600=TODAY(),"今日まで","予定")))))</f>
        <v/>
      </c>
      <c r="K1600" s="22" t="n"/>
      <c r="L1600" s="26" t="n"/>
    </row>
    <row r="1601">
      <c r="A1601" s="11" t="n"/>
      <c r="B1601" s="11" t="n"/>
      <c r="C1601" s="10" t="n"/>
      <c r="D1601" s="11" t="n"/>
      <c r="E1601" s="10" t="n"/>
      <c r="F1601" s="22" t="n"/>
      <c r="G1601" s="24" t="n"/>
      <c r="H1601" s="23" t="n"/>
      <c r="I1601" s="25" t="n"/>
      <c r="J1601" s="10">
        <f>IF(D1601="","",IF(H1601="✓","完了",IF(G1601="","",IF(G1601&lt;TODAY(),"期限超過",IF(G1601=TODAY(),"今日まで","予定")))))</f>
        <v/>
      </c>
      <c r="K1601" s="22" t="n"/>
      <c r="L1601" s="26" t="n"/>
    </row>
    <row r="1602">
      <c r="A1602" s="11" t="n"/>
      <c r="B1602" s="11" t="n"/>
      <c r="C1602" s="10" t="n"/>
      <c r="D1602" s="11" t="n"/>
      <c r="E1602" s="10" t="n"/>
      <c r="F1602" s="22" t="n"/>
      <c r="G1602" s="24" t="n"/>
      <c r="H1602" s="23" t="n"/>
      <c r="I1602" s="25" t="n"/>
      <c r="J1602" s="10">
        <f>IF(D1602="","",IF(H1602="✓","完了",IF(G1602="","",IF(G1602&lt;TODAY(),"期限超過",IF(G1602=TODAY(),"今日まで","予定")))))</f>
        <v/>
      </c>
      <c r="K1602" s="22" t="n"/>
      <c r="L1602" s="26" t="n"/>
    </row>
    <row r="1603">
      <c r="A1603" s="11" t="n"/>
      <c r="B1603" s="11" t="n"/>
      <c r="C1603" s="10" t="n"/>
      <c r="D1603" s="11" t="n"/>
      <c r="E1603" s="10" t="n"/>
      <c r="F1603" s="22" t="n"/>
      <c r="G1603" s="24" t="n"/>
      <c r="H1603" s="23" t="n"/>
      <c r="I1603" s="25" t="n"/>
      <c r="J1603" s="10">
        <f>IF(D1603="","",IF(H1603="✓","完了",IF(G1603="","",IF(G1603&lt;TODAY(),"期限超過",IF(G1603=TODAY(),"今日まで","予定")))))</f>
        <v/>
      </c>
      <c r="K1603" s="22" t="n"/>
      <c r="L1603" s="26" t="n"/>
    </row>
    <row r="1604">
      <c r="A1604" s="11" t="n"/>
      <c r="B1604" s="11" t="n"/>
      <c r="C1604" s="10" t="n"/>
      <c r="D1604" s="11" t="n"/>
      <c r="E1604" s="10" t="n"/>
      <c r="F1604" s="22" t="n"/>
      <c r="G1604" s="24" t="n"/>
      <c r="H1604" s="23" t="n"/>
      <c r="I1604" s="25" t="n"/>
      <c r="J1604" s="10">
        <f>IF(D1604="","",IF(H1604="✓","完了",IF(G1604="","",IF(G1604&lt;TODAY(),"期限超過",IF(G1604=TODAY(),"今日まで","予定")))))</f>
        <v/>
      </c>
      <c r="K1604" s="22" t="n"/>
      <c r="L1604" s="26" t="n"/>
    </row>
    <row r="1605">
      <c r="A1605" s="11" t="n"/>
      <c r="B1605" s="11" t="n"/>
      <c r="C1605" s="10" t="n"/>
      <c r="D1605" s="11" t="n"/>
      <c r="E1605" s="10" t="n"/>
      <c r="F1605" s="22" t="n"/>
      <c r="G1605" s="24" t="n"/>
      <c r="H1605" s="23" t="n"/>
      <c r="I1605" s="25" t="n"/>
      <c r="J1605" s="10">
        <f>IF(D1605="","",IF(H1605="✓","完了",IF(G1605="","",IF(G1605&lt;TODAY(),"期限超過",IF(G1605=TODAY(),"今日まで","予定")))))</f>
        <v/>
      </c>
      <c r="K1605" s="22" t="n"/>
      <c r="L1605" s="26" t="n"/>
    </row>
    <row r="1606">
      <c r="A1606" s="11" t="n"/>
      <c r="B1606" s="11" t="n"/>
      <c r="C1606" s="10" t="n"/>
      <c r="D1606" s="11" t="n"/>
      <c r="E1606" s="10" t="n"/>
      <c r="F1606" s="22" t="n"/>
      <c r="G1606" s="24" t="n"/>
      <c r="H1606" s="23" t="n"/>
      <c r="I1606" s="25" t="n"/>
      <c r="J1606" s="10">
        <f>IF(D1606="","",IF(H1606="✓","完了",IF(G1606="","",IF(G1606&lt;TODAY(),"期限超過",IF(G1606=TODAY(),"今日まで","予定")))))</f>
        <v/>
      </c>
      <c r="K1606" s="22" t="n"/>
      <c r="L1606" s="26" t="n"/>
    </row>
    <row r="1607">
      <c r="A1607" s="11" t="n"/>
      <c r="B1607" s="11" t="n"/>
      <c r="C1607" s="10" t="n"/>
      <c r="D1607" s="11" t="n"/>
      <c r="E1607" s="10" t="n"/>
      <c r="F1607" s="22" t="n"/>
      <c r="G1607" s="24" t="n"/>
      <c r="H1607" s="23" t="n"/>
      <c r="I1607" s="25" t="n"/>
      <c r="J1607" s="10">
        <f>IF(D1607="","",IF(H1607="✓","完了",IF(G1607="","",IF(G1607&lt;TODAY(),"期限超過",IF(G1607=TODAY(),"今日まで","予定")))))</f>
        <v/>
      </c>
      <c r="K1607" s="22" t="n"/>
      <c r="L1607" s="26" t="n"/>
    </row>
    <row r="1608">
      <c r="A1608" s="11" t="n"/>
      <c r="B1608" s="11" t="n"/>
      <c r="C1608" s="10" t="n"/>
      <c r="D1608" s="11" t="n"/>
      <c r="E1608" s="10" t="n"/>
      <c r="F1608" s="22" t="n"/>
      <c r="G1608" s="24" t="n"/>
      <c r="H1608" s="23" t="n"/>
      <c r="I1608" s="25" t="n"/>
      <c r="J1608" s="10">
        <f>IF(D1608="","",IF(H1608="✓","完了",IF(G1608="","",IF(G1608&lt;TODAY(),"期限超過",IF(G1608=TODAY(),"今日まで","予定")))))</f>
        <v/>
      </c>
      <c r="K1608" s="22" t="n"/>
      <c r="L1608" s="26" t="n"/>
    </row>
    <row r="1609">
      <c r="A1609" s="11" t="n"/>
      <c r="B1609" s="11" t="n"/>
      <c r="C1609" s="10" t="n"/>
      <c r="D1609" s="11" t="n"/>
      <c r="E1609" s="10" t="n"/>
      <c r="F1609" s="22" t="n"/>
      <c r="G1609" s="24" t="n"/>
      <c r="H1609" s="23" t="n"/>
      <c r="I1609" s="25" t="n"/>
      <c r="J1609" s="10">
        <f>IF(D1609="","",IF(H1609="✓","完了",IF(G1609="","",IF(G1609&lt;TODAY(),"期限超過",IF(G1609=TODAY(),"今日まで","予定")))))</f>
        <v/>
      </c>
      <c r="K1609" s="22" t="n"/>
      <c r="L1609" s="26" t="n"/>
    </row>
    <row r="1610">
      <c r="A1610" s="11" t="n"/>
      <c r="B1610" s="11" t="n"/>
      <c r="C1610" s="10" t="n"/>
      <c r="D1610" s="11" t="n"/>
      <c r="E1610" s="10" t="n"/>
      <c r="F1610" s="22" t="n"/>
      <c r="G1610" s="24" t="n"/>
      <c r="H1610" s="23" t="n"/>
      <c r="I1610" s="25" t="n"/>
      <c r="J1610" s="10">
        <f>IF(D1610="","",IF(H1610="✓","完了",IF(G1610="","",IF(G1610&lt;TODAY(),"期限超過",IF(G1610=TODAY(),"今日まで","予定")))))</f>
        <v/>
      </c>
      <c r="K1610" s="22" t="n"/>
      <c r="L1610" s="26" t="n"/>
    </row>
    <row r="1611">
      <c r="A1611" s="11" t="n"/>
      <c r="B1611" s="11" t="n"/>
      <c r="C1611" s="10" t="n"/>
      <c r="D1611" s="11" t="n"/>
      <c r="E1611" s="10" t="n"/>
      <c r="F1611" s="22" t="n"/>
      <c r="G1611" s="24" t="n"/>
      <c r="H1611" s="23" t="n"/>
      <c r="I1611" s="25" t="n"/>
      <c r="J1611" s="10">
        <f>IF(D1611="","",IF(H1611="✓","完了",IF(G1611="","",IF(G1611&lt;TODAY(),"期限超過",IF(G1611=TODAY(),"今日まで","予定")))))</f>
        <v/>
      </c>
      <c r="K1611" s="22" t="n"/>
      <c r="L1611" s="26" t="n"/>
    </row>
    <row r="1612">
      <c r="A1612" s="11" t="n"/>
      <c r="B1612" s="11" t="n"/>
      <c r="C1612" s="10" t="n"/>
      <c r="D1612" s="11" t="n"/>
      <c r="E1612" s="10" t="n"/>
      <c r="F1612" s="22" t="n"/>
      <c r="G1612" s="24" t="n"/>
      <c r="H1612" s="23" t="n"/>
      <c r="I1612" s="25" t="n"/>
      <c r="J1612" s="10">
        <f>IF(D1612="","",IF(H1612="✓","完了",IF(G1612="","",IF(G1612&lt;TODAY(),"期限超過",IF(G1612=TODAY(),"今日まで","予定")))))</f>
        <v/>
      </c>
      <c r="K1612" s="22" t="n"/>
      <c r="L1612" s="26" t="n"/>
    </row>
    <row r="1613">
      <c r="A1613" s="11" t="n"/>
      <c r="B1613" s="11" t="n"/>
      <c r="C1613" s="10" t="n"/>
      <c r="D1613" s="11" t="n"/>
      <c r="E1613" s="10" t="n"/>
      <c r="F1613" s="22" t="n"/>
      <c r="G1613" s="24" t="n"/>
      <c r="H1613" s="23" t="n"/>
      <c r="I1613" s="25" t="n"/>
      <c r="J1613" s="10">
        <f>IF(D1613="","",IF(H1613="✓","完了",IF(G1613="","",IF(G1613&lt;TODAY(),"期限超過",IF(G1613=TODAY(),"今日まで","予定")))))</f>
        <v/>
      </c>
      <c r="K1613" s="22" t="n"/>
      <c r="L1613" s="26" t="n"/>
    </row>
    <row r="1614">
      <c r="A1614" s="11" t="n"/>
      <c r="B1614" s="11" t="n"/>
      <c r="C1614" s="10" t="n"/>
      <c r="D1614" s="11" t="n"/>
      <c r="E1614" s="10" t="n"/>
      <c r="F1614" s="22" t="n"/>
      <c r="G1614" s="24" t="n"/>
      <c r="H1614" s="23" t="n"/>
      <c r="I1614" s="25" t="n"/>
      <c r="J1614" s="10">
        <f>IF(D1614="","",IF(H1614="✓","完了",IF(G1614="","",IF(G1614&lt;TODAY(),"期限超過",IF(G1614=TODAY(),"今日まで","予定")))))</f>
        <v/>
      </c>
      <c r="K1614" s="22" t="n"/>
      <c r="L1614" s="26" t="n"/>
    </row>
    <row r="1615">
      <c r="A1615" s="11" t="n"/>
      <c r="B1615" s="11" t="n"/>
      <c r="C1615" s="10" t="n"/>
      <c r="D1615" s="11" t="n"/>
      <c r="E1615" s="10" t="n"/>
      <c r="F1615" s="22" t="n"/>
      <c r="G1615" s="24" t="n"/>
      <c r="H1615" s="23" t="n"/>
      <c r="I1615" s="25" t="n"/>
      <c r="J1615" s="10">
        <f>IF(D1615="","",IF(H1615="✓","完了",IF(G1615="","",IF(G1615&lt;TODAY(),"期限超過",IF(G1615=TODAY(),"今日まで","予定")))))</f>
        <v/>
      </c>
      <c r="K1615" s="22" t="n"/>
      <c r="L1615" s="26" t="n"/>
    </row>
    <row r="1616">
      <c r="A1616" s="11" t="n"/>
      <c r="B1616" s="11" t="n"/>
      <c r="C1616" s="10" t="n"/>
      <c r="D1616" s="11" t="n"/>
      <c r="E1616" s="10" t="n"/>
      <c r="F1616" s="22" t="n"/>
      <c r="G1616" s="24" t="n"/>
      <c r="H1616" s="23" t="n"/>
      <c r="I1616" s="25" t="n"/>
      <c r="J1616" s="10">
        <f>IF(D1616="","",IF(H1616="✓","完了",IF(G1616="","",IF(G1616&lt;TODAY(),"期限超過",IF(G1616=TODAY(),"今日まで","予定")))))</f>
        <v/>
      </c>
      <c r="K1616" s="22" t="n"/>
      <c r="L1616" s="26" t="n"/>
    </row>
    <row r="1617">
      <c r="A1617" s="11" t="n"/>
      <c r="B1617" s="11" t="n"/>
      <c r="C1617" s="10" t="n"/>
      <c r="D1617" s="11" t="n"/>
      <c r="E1617" s="10" t="n"/>
      <c r="F1617" s="22" t="n"/>
      <c r="G1617" s="24" t="n"/>
      <c r="H1617" s="23" t="n"/>
      <c r="I1617" s="25" t="n"/>
      <c r="J1617" s="10">
        <f>IF(D1617="","",IF(H1617="✓","完了",IF(G1617="","",IF(G1617&lt;TODAY(),"期限超過",IF(G1617=TODAY(),"今日まで","予定")))))</f>
        <v/>
      </c>
      <c r="K1617" s="22" t="n"/>
      <c r="L1617" s="26" t="n"/>
    </row>
    <row r="1618">
      <c r="A1618" s="11" t="n"/>
      <c r="B1618" s="11" t="n"/>
      <c r="C1618" s="10" t="n"/>
      <c r="D1618" s="11" t="n"/>
      <c r="E1618" s="10" t="n"/>
      <c r="F1618" s="22" t="n"/>
      <c r="G1618" s="24" t="n"/>
      <c r="H1618" s="23" t="n"/>
      <c r="I1618" s="25" t="n"/>
      <c r="J1618" s="10">
        <f>IF(D1618="","",IF(H1618="✓","完了",IF(G1618="","",IF(G1618&lt;TODAY(),"期限超過",IF(G1618=TODAY(),"今日まで","予定")))))</f>
        <v/>
      </c>
      <c r="K1618" s="22" t="n"/>
      <c r="L1618" s="26" t="n"/>
    </row>
    <row r="1619">
      <c r="A1619" s="11" t="n"/>
      <c r="B1619" s="11" t="n"/>
      <c r="C1619" s="10" t="n"/>
      <c r="D1619" s="11" t="n"/>
      <c r="E1619" s="10" t="n"/>
      <c r="F1619" s="22" t="n"/>
      <c r="G1619" s="24" t="n"/>
      <c r="H1619" s="23" t="n"/>
      <c r="I1619" s="25" t="n"/>
      <c r="J1619" s="10">
        <f>IF(D1619="","",IF(H1619="✓","完了",IF(G1619="","",IF(G1619&lt;TODAY(),"期限超過",IF(G1619=TODAY(),"今日まで","予定")))))</f>
        <v/>
      </c>
      <c r="K1619" s="22" t="n"/>
      <c r="L1619" s="26" t="n"/>
    </row>
    <row r="1620">
      <c r="A1620" s="11" t="n"/>
      <c r="B1620" s="11" t="n"/>
      <c r="C1620" s="10" t="n"/>
      <c r="D1620" s="11" t="n"/>
      <c r="E1620" s="10" t="n"/>
      <c r="F1620" s="22" t="n"/>
      <c r="G1620" s="24" t="n"/>
      <c r="H1620" s="23" t="n"/>
      <c r="I1620" s="25" t="n"/>
      <c r="J1620" s="10">
        <f>IF(D1620="","",IF(H1620="✓","完了",IF(G1620="","",IF(G1620&lt;TODAY(),"期限超過",IF(G1620=TODAY(),"今日まで","予定")))))</f>
        <v/>
      </c>
      <c r="K1620" s="22" t="n"/>
      <c r="L1620" s="26" t="n"/>
    </row>
    <row r="1621">
      <c r="A1621" s="11" t="n"/>
      <c r="B1621" s="11" t="n"/>
      <c r="C1621" s="10" t="n"/>
      <c r="D1621" s="11" t="n"/>
      <c r="E1621" s="10" t="n"/>
      <c r="F1621" s="22" t="n"/>
      <c r="G1621" s="24" t="n"/>
      <c r="H1621" s="23" t="n"/>
      <c r="I1621" s="25" t="n"/>
      <c r="J1621" s="10">
        <f>IF(D1621="","",IF(H1621="✓","完了",IF(G1621="","",IF(G1621&lt;TODAY(),"期限超過",IF(G1621=TODAY(),"今日まで","予定")))))</f>
        <v/>
      </c>
      <c r="K1621" s="22" t="n"/>
      <c r="L1621" s="26" t="n"/>
    </row>
    <row r="1622">
      <c r="A1622" s="11" t="n"/>
      <c r="B1622" s="11" t="n"/>
      <c r="C1622" s="10" t="n"/>
      <c r="D1622" s="11" t="n"/>
      <c r="E1622" s="10" t="n"/>
      <c r="F1622" s="22" t="n"/>
      <c r="G1622" s="24" t="n"/>
      <c r="H1622" s="23" t="n"/>
      <c r="I1622" s="25" t="n"/>
      <c r="J1622" s="10">
        <f>IF(D1622="","",IF(H1622="✓","完了",IF(G1622="","",IF(G1622&lt;TODAY(),"期限超過",IF(G1622=TODAY(),"今日まで","予定")))))</f>
        <v/>
      </c>
      <c r="K1622" s="22" t="n"/>
      <c r="L1622" s="26" t="n"/>
    </row>
    <row r="1623">
      <c r="A1623" s="11" t="n"/>
      <c r="B1623" s="11" t="n"/>
      <c r="C1623" s="10" t="n"/>
      <c r="D1623" s="11" t="n"/>
      <c r="E1623" s="10" t="n"/>
      <c r="F1623" s="22" t="n"/>
      <c r="G1623" s="24" t="n"/>
      <c r="H1623" s="23" t="n"/>
      <c r="I1623" s="25" t="n"/>
      <c r="J1623" s="10">
        <f>IF(D1623="","",IF(H1623="✓","完了",IF(G1623="","",IF(G1623&lt;TODAY(),"期限超過",IF(G1623=TODAY(),"今日まで","予定")))))</f>
        <v/>
      </c>
      <c r="K1623" s="22" t="n"/>
      <c r="L1623" s="26" t="n"/>
    </row>
    <row r="1624">
      <c r="A1624" s="11" t="n"/>
      <c r="B1624" s="11" t="n"/>
      <c r="C1624" s="10" t="n"/>
      <c r="D1624" s="11" t="n"/>
      <c r="E1624" s="10" t="n"/>
      <c r="F1624" s="22" t="n"/>
      <c r="G1624" s="24" t="n"/>
      <c r="H1624" s="23" t="n"/>
      <c r="I1624" s="25" t="n"/>
      <c r="J1624" s="10">
        <f>IF(D1624="","",IF(H1624="✓","完了",IF(G1624="","",IF(G1624&lt;TODAY(),"期限超過",IF(G1624=TODAY(),"今日まで","予定")))))</f>
        <v/>
      </c>
      <c r="K1624" s="22" t="n"/>
      <c r="L1624" s="26" t="n"/>
    </row>
    <row r="1625">
      <c r="A1625" s="11" t="n"/>
      <c r="B1625" s="11" t="n"/>
      <c r="C1625" s="10" t="n"/>
      <c r="D1625" s="11" t="n"/>
      <c r="E1625" s="10" t="n"/>
      <c r="F1625" s="22" t="n"/>
      <c r="G1625" s="24" t="n"/>
      <c r="H1625" s="23" t="n"/>
      <c r="I1625" s="25" t="n"/>
      <c r="J1625" s="10">
        <f>IF(D1625="","",IF(H1625="✓","完了",IF(G1625="","",IF(G1625&lt;TODAY(),"期限超過",IF(G1625=TODAY(),"今日まで","予定")))))</f>
        <v/>
      </c>
      <c r="K1625" s="22" t="n"/>
      <c r="L1625" s="26" t="n"/>
    </row>
    <row r="1626">
      <c r="A1626" s="11" t="n"/>
      <c r="B1626" s="11" t="n"/>
      <c r="C1626" s="10" t="n"/>
      <c r="D1626" s="11" t="n"/>
      <c r="E1626" s="10" t="n"/>
      <c r="F1626" s="22" t="n"/>
      <c r="G1626" s="24" t="n"/>
      <c r="H1626" s="23" t="n"/>
      <c r="I1626" s="25" t="n"/>
      <c r="J1626" s="10">
        <f>IF(D1626="","",IF(H1626="✓","完了",IF(G1626="","",IF(G1626&lt;TODAY(),"期限超過",IF(G1626=TODAY(),"今日まで","予定")))))</f>
        <v/>
      </c>
      <c r="K1626" s="22" t="n"/>
      <c r="L1626" s="26" t="n"/>
    </row>
    <row r="1627">
      <c r="A1627" s="11" t="n"/>
      <c r="B1627" s="11" t="n"/>
      <c r="C1627" s="10" t="n"/>
      <c r="D1627" s="11" t="n"/>
      <c r="E1627" s="10" t="n"/>
      <c r="F1627" s="22" t="n"/>
      <c r="G1627" s="24" t="n"/>
      <c r="H1627" s="23" t="n"/>
      <c r="I1627" s="25" t="n"/>
      <c r="J1627" s="10">
        <f>IF(D1627="","",IF(H1627="✓","完了",IF(G1627="","",IF(G1627&lt;TODAY(),"期限超過",IF(G1627=TODAY(),"今日まで","予定")))))</f>
        <v/>
      </c>
      <c r="K1627" s="22" t="n"/>
      <c r="L1627" s="26" t="n"/>
    </row>
    <row r="1628">
      <c r="A1628" s="11" t="n"/>
      <c r="B1628" s="11" t="n"/>
      <c r="C1628" s="10" t="n"/>
      <c r="D1628" s="11" t="n"/>
      <c r="E1628" s="10" t="n"/>
      <c r="F1628" s="22" t="n"/>
      <c r="G1628" s="24" t="n"/>
      <c r="H1628" s="23" t="n"/>
      <c r="I1628" s="25" t="n"/>
      <c r="J1628" s="10">
        <f>IF(D1628="","",IF(H1628="✓","完了",IF(G1628="","",IF(G1628&lt;TODAY(),"期限超過",IF(G1628=TODAY(),"今日まで","予定")))))</f>
        <v/>
      </c>
      <c r="K1628" s="22" t="n"/>
      <c r="L1628" s="26" t="n"/>
    </row>
    <row r="1629">
      <c r="A1629" s="11" t="n"/>
      <c r="B1629" s="11" t="n"/>
      <c r="C1629" s="10" t="n"/>
      <c r="D1629" s="11" t="n"/>
      <c r="E1629" s="10" t="n"/>
      <c r="F1629" s="22" t="n"/>
      <c r="G1629" s="24" t="n"/>
      <c r="H1629" s="23" t="n"/>
      <c r="I1629" s="25" t="n"/>
      <c r="J1629" s="10">
        <f>IF(D1629="","",IF(H1629="✓","完了",IF(G1629="","",IF(G1629&lt;TODAY(),"期限超過",IF(G1629=TODAY(),"今日まで","予定")))))</f>
        <v/>
      </c>
      <c r="K1629" s="22" t="n"/>
      <c r="L1629" s="26" t="n"/>
    </row>
    <row r="1630">
      <c r="A1630" s="11" t="n"/>
      <c r="B1630" s="11" t="n"/>
      <c r="C1630" s="10" t="n"/>
      <c r="D1630" s="11" t="n"/>
      <c r="E1630" s="10" t="n"/>
      <c r="F1630" s="22" t="n"/>
      <c r="G1630" s="24" t="n"/>
      <c r="H1630" s="23" t="n"/>
      <c r="I1630" s="25" t="n"/>
      <c r="J1630" s="10">
        <f>IF(D1630="","",IF(H1630="✓","完了",IF(G1630="","",IF(G1630&lt;TODAY(),"期限超過",IF(G1630=TODAY(),"今日まで","予定")))))</f>
        <v/>
      </c>
      <c r="K1630" s="22" t="n"/>
      <c r="L1630" s="26" t="n"/>
    </row>
    <row r="1631">
      <c r="A1631" s="11" t="n"/>
      <c r="B1631" s="11" t="n"/>
      <c r="C1631" s="10" t="n"/>
      <c r="D1631" s="11" t="n"/>
      <c r="E1631" s="10" t="n"/>
      <c r="F1631" s="22" t="n"/>
      <c r="G1631" s="24" t="n"/>
      <c r="H1631" s="23" t="n"/>
      <c r="I1631" s="25" t="n"/>
      <c r="J1631" s="10">
        <f>IF(D1631="","",IF(H1631="✓","完了",IF(G1631="","",IF(G1631&lt;TODAY(),"期限超過",IF(G1631=TODAY(),"今日まで","予定")))))</f>
        <v/>
      </c>
      <c r="K1631" s="22" t="n"/>
      <c r="L1631" s="26" t="n"/>
    </row>
    <row r="1632">
      <c r="A1632" s="11" t="n"/>
      <c r="B1632" s="11" t="n"/>
      <c r="C1632" s="10" t="n"/>
      <c r="D1632" s="11" t="n"/>
      <c r="E1632" s="10" t="n"/>
      <c r="F1632" s="22" t="n"/>
      <c r="G1632" s="24" t="n"/>
      <c r="H1632" s="23" t="n"/>
      <c r="I1632" s="25" t="n"/>
      <c r="J1632" s="10">
        <f>IF(D1632="","",IF(H1632="✓","完了",IF(G1632="","",IF(G1632&lt;TODAY(),"期限超過",IF(G1632=TODAY(),"今日まで","予定")))))</f>
        <v/>
      </c>
      <c r="K1632" s="22" t="n"/>
      <c r="L1632" s="26" t="n"/>
    </row>
    <row r="1633">
      <c r="A1633" s="11" t="n"/>
      <c r="B1633" s="11" t="n"/>
      <c r="C1633" s="10" t="n"/>
      <c r="D1633" s="11" t="n"/>
      <c r="E1633" s="10" t="n"/>
      <c r="F1633" s="22" t="n"/>
      <c r="G1633" s="24" t="n"/>
      <c r="H1633" s="23" t="n"/>
      <c r="I1633" s="25" t="n"/>
      <c r="J1633" s="10">
        <f>IF(D1633="","",IF(H1633="✓","完了",IF(G1633="","",IF(G1633&lt;TODAY(),"期限超過",IF(G1633=TODAY(),"今日まで","予定")))))</f>
        <v/>
      </c>
      <c r="K1633" s="22" t="n"/>
      <c r="L1633" s="26" t="n"/>
    </row>
    <row r="1634">
      <c r="A1634" s="11" t="n"/>
      <c r="B1634" s="11" t="n"/>
      <c r="C1634" s="10" t="n"/>
      <c r="D1634" s="11" t="n"/>
      <c r="E1634" s="10" t="n"/>
      <c r="F1634" s="22" t="n"/>
      <c r="G1634" s="24" t="n"/>
      <c r="H1634" s="23" t="n"/>
      <c r="I1634" s="25" t="n"/>
      <c r="J1634" s="10">
        <f>IF(D1634="","",IF(H1634="✓","完了",IF(G1634="","",IF(G1634&lt;TODAY(),"期限超過",IF(G1634=TODAY(),"今日まで","予定")))))</f>
        <v/>
      </c>
      <c r="K1634" s="22" t="n"/>
      <c r="L1634" s="26" t="n"/>
    </row>
    <row r="1635">
      <c r="A1635" s="11" t="n"/>
      <c r="B1635" s="11" t="n"/>
      <c r="C1635" s="10" t="n"/>
      <c r="D1635" s="11" t="n"/>
      <c r="E1635" s="10" t="n"/>
      <c r="F1635" s="22" t="n"/>
      <c r="G1635" s="24" t="n"/>
      <c r="H1635" s="23" t="n"/>
      <c r="I1635" s="25" t="n"/>
      <c r="J1635" s="10">
        <f>IF(D1635="","",IF(H1635="✓","完了",IF(G1635="","",IF(G1635&lt;TODAY(),"期限超過",IF(G1635=TODAY(),"今日まで","予定")))))</f>
        <v/>
      </c>
      <c r="K1635" s="22" t="n"/>
      <c r="L1635" s="26" t="n"/>
    </row>
    <row r="1636">
      <c r="A1636" s="11" t="n"/>
      <c r="B1636" s="11" t="n"/>
      <c r="C1636" s="10" t="n"/>
      <c r="D1636" s="11" t="n"/>
      <c r="E1636" s="10" t="n"/>
      <c r="F1636" s="22" t="n"/>
      <c r="G1636" s="24" t="n"/>
      <c r="H1636" s="23" t="n"/>
      <c r="I1636" s="25" t="n"/>
      <c r="J1636" s="10">
        <f>IF(D1636="","",IF(H1636="✓","完了",IF(G1636="","",IF(G1636&lt;TODAY(),"期限超過",IF(G1636=TODAY(),"今日まで","予定")))))</f>
        <v/>
      </c>
      <c r="K1636" s="22" t="n"/>
      <c r="L1636" s="26" t="n"/>
    </row>
    <row r="1637">
      <c r="A1637" s="11" t="n"/>
      <c r="B1637" s="11" t="n"/>
      <c r="C1637" s="10" t="n"/>
      <c r="D1637" s="11" t="n"/>
      <c r="E1637" s="10" t="n"/>
      <c r="F1637" s="22" t="n"/>
      <c r="G1637" s="24" t="n"/>
      <c r="H1637" s="23" t="n"/>
      <c r="I1637" s="25" t="n"/>
      <c r="J1637" s="10">
        <f>IF(D1637="","",IF(H1637="✓","完了",IF(G1637="","",IF(G1637&lt;TODAY(),"期限超過",IF(G1637=TODAY(),"今日まで","予定")))))</f>
        <v/>
      </c>
      <c r="K1637" s="22" t="n"/>
      <c r="L1637" s="26" t="n"/>
    </row>
    <row r="1638">
      <c r="A1638" s="11" t="n"/>
      <c r="B1638" s="11" t="n"/>
      <c r="C1638" s="10" t="n"/>
      <c r="D1638" s="11" t="n"/>
      <c r="E1638" s="10" t="n"/>
      <c r="F1638" s="22" t="n"/>
      <c r="G1638" s="24" t="n"/>
      <c r="H1638" s="23" t="n"/>
      <c r="I1638" s="25" t="n"/>
      <c r="J1638" s="10">
        <f>IF(D1638="","",IF(H1638="✓","完了",IF(G1638="","",IF(G1638&lt;TODAY(),"期限超過",IF(G1638=TODAY(),"今日まで","予定")))))</f>
        <v/>
      </c>
      <c r="K1638" s="22" t="n"/>
      <c r="L1638" s="26" t="n"/>
    </row>
    <row r="1639">
      <c r="A1639" s="11" t="n"/>
      <c r="B1639" s="11" t="n"/>
      <c r="C1639" s="10" t="n"/>
      <c r="D1639" s="11" t="n"/>
      <c r="E1639" s="10" t="n"/>
      <c r="F1639" s="22" t="n"/>
      <c r="G1639" s="24" t="n"/>
      <c r="H1639" s="23" t="n"/>
      <c r="I1639" s="25" t="n"/>
      <c r="J1639" s="10">
        <f>IF(D1639="","",IF(H1639="✓","完了",IF(G1639="","",IF(G1639&lt;TODAY(),"期限超過",IF(G1639=TODAY(),"今日まで","予定")))))</f>
        <v/>
      </c>
      <c r="K1639" s="22" t="n"/>
      <c r="L1639" s="26" t="n"/>
    </row>
    <row r="1640">
      <c r="A1640" s="11" t="n"/>
      <c r="B1640" s="11" t="n"/>
      <c r="C1640" s="10" t="n"/>
      <c r="D1640" s="11" t="n"/>
      <c r="E1640" s="10" t="n"/>
      <c r="F1640" s="22" t="n"/>
      <c r="G1640" s="24" t="n"/>
      <c r="H1640" s="23" t="n"/>
      <c r="I1640" s="25" t="n"/>
      <c r="J1640" s="10">
        <f>IF(D1640="","",IF(H1640="✓","完了",IF(G1640="","",IF(G1640&lt;TODAY(),"期限超過",IF(G1640=TODAY(),"今日まで","予定")))))</f>
        <v/>
      </c>
      <c r="K1640" s="22" t="n"/>
      <c r="L1640" s="26" t="n"/>
    </row>
    <row r="1641">
      <c r="A1641" s="11" t="n"/>
      <c r="B1641" s="11" t="n"/>
      <c r="C1641" s="10" t="n"/>
      <c r="D1641" s="11" t="n"/>
      <c r="E1641" s="10" t="n"/>
      <c r="F1641" s="22" t="n"/>
      <c r="G1641" s="24" t="n"/>
      <c r="H1641" s="23" t="n"/>
      <c r="I1641" s="25" t="n"/>
      <c r="J1641" s="10">
        <f>IF(D1641="","",IF(H1641="✓","完了",IF(G1641="","",IF(G1641&lt;TODAY(),"期限超過",IF(G1641=TODAY(),"今日まで","予定")))))</f>
        <v/>
      </c>
      <c r="K1641" s="22" t="n"/>
      <c r="L1641" s="26" t="n"/>
    </row>
    <row r="1642">
      <c r="A1642" s="11" t="n"/>
      <c r="B1642" s="11" t="n"/>
      <c r="C1642" s="10" t="n"/>
      <c r="D1642" s="11" t="n"/>
      <c r="E1642" s="10" t="n"/>
      <c r="F1642" s="22" t="n"/>
      <c r="G1642" s="24" t="n"/>
      <c r="H1642" s="23" t="n"/>
      <c r="I1642" s="25" t="n"/>
      <c r="J1642" s="10">
        <f>IF(D1642="","",IF(H1642="✓","完了",IF(G1642="","",IF(G1642&lt;TODAY(),"期限超過",IF(G1642=TODAY(),"今日まで","予定")))))</f>
        <v/>
      </c>
      <c r="K1642" s="22" t="n"/>
      <c r="L1642" s="26" t="n"/>
    </row>
    <row r="1643">
      <c r="A1643" s="11" t="n"/>
      <c r="B1643" s="11" t="n"/>
      <c r="C1643" s="10" t="n"/>
      <c r="D1643" s="11" t="n"/>
      <c r="E1643" s="10" t="n"/>
      <c r="F1643" s="22" t="n"/>
      <c r="G1643" s="24" t="n"/>
      <c r="H1643" s="23" t="n"/>
      <c r="I1643" s="25" t="n"/>
      <c r="J1643" s="10">
        <f>IF(D1643="","",IF(H1643="✓","完了",IF(G1643="","",IF(G1643&lt;TODAY(),"期限超過",IF(G1643=TODAY(),"今日まで","予定")))))</f>
        <v/>
      </c>
      <c r="K1643" s="22" t="n"/>
      <c r="L1643" s="26" t="n"/>
    </row>
    <row r="1644">
      <c r="A1644" s="11" t="n"/>
      <c r="B1644" s="11" t="n"/>
      <c r="C1644" s="10" t="n"/>
      <c r="D1644" s="11" t="n"/>
      <c r="E1644" s="10" t="n"/>
      <c r="F1644" s="22" t="n"/>
      <c r="G1644" s="24" t="n"/>
      <c r="H1644" s="23" t="n"/>
      <c r="I1644" s="25" t="n"/>
      <c r="J1644" s="10">
        <f>IF(D1644="","",IF(H1644="✓","完了",IF(G1644="","",IF(G1644&lt;TODAY(),"期限超過",IF(G1644=TODAY(),"今日まで","予定")))))</f>
        <v/>
      </c>
      <c r="K1644" s="22" t="n"/>
      <c r="L1644" s="26" t="n"/>
    </row>
    <row r="1645">
      <c r="A1645" s="11" t="n"/>
      <c r="B1645" s="11" t="n"/>
      <c r="C1645" s="10" t="n"/>
      <c r="D1645" s="11" t="n"/>
      <c r="E1645" s="10" t="n"/>
      <c r="F1645" s="22" t="n"/>
      <c r="G1645" s="24" t="n"/>
      <c r="H1645" s="23" t="n"/>
      <c r="I1645" s="25" t="n"/>
      <c r="J1645" s="10">
        <f>IF(D1645="","",IF(H1645="✓","完了",IF(G1645="","",IF(G1645&lt;TODAY(),"期限超過",IF(G1645=TODAY(),"今日まで","予定")))))</f>
        <v/>
      </c>
      <c r="K1645" s="22" t="n"/>
      <c r="L1645" s="26" t="n"/>
    </row>
    <row r="1646">
      <c r="A1646" s="11" t="n"/>
      <c r="B1646" s="11" t="n"/>
      <c r="C1646" s="10" t="n"/>
      <c r="D1646" s="11" t="n"/>
      <c r="E1646" s="10" t="n"/>
      <c r="F1646" s="22" t="n"/>
      <c r="G1646" s="24" t="n"/>
      <c r="H1646" s="23" t="n"/>
      <c r="I1646" s="25" t="n"/>
      <c r="J1646" s="10">
        <f>IF(D1646="","",IF(H1646="✓","完了",IF(G1646="","",IF(G1646&lt;TODAY(),"期限超過",IF(G1646=TODAY(),"今日まで","予定")))))</f>
        <v/>
      </c>
      <c r="K1646" s="22" t="n"/>
      <c r="L1646" s="26" t="n"/>
    </row>
    <row r="1647">
      <c r="A1647" s="11" t="n"/>
      <c r="B1647" s="11" t="n"/>
      <c r="C1647" s="10" t="n"/>
      <c r="D1647" s="11" t="n"/>
      <c r="E1647" s="10" t="n"/>
      <c r="F1647" s="22" t="n"/>
      <c r="G1647" s="24" t="n"/>
      <c r="H1647" s="23" t="n"/>
      <c r="I1647" s="25" t="n"/>
      <c r="J1647" s="10">
        <f>IF(D1647="","",IF(H1647="✓","完了",IF(G1647="","",IF(G1647&lt;TODAY(),"期限超過",IF(G1647=TODAY(),"今日まで","予定")))))</f>
        <v/>
      </c>
      <c r="K1647" s="22" t="n"/>
      <c r="L1647" s="26" t="n"/>
    </row>
    <row r="1648">
      <c r="A1648" s="11" t="n"/>
      <c r="B1648" s="11" t="n"/>
      <c r="C1648" s="10" t="n"/>
      <c r="D1648" s="11" t="n"/>
      <c r="E1648" s="10" t="n"/>
      <c r="F1648" s="22" t="n"/>
      <c r="G1648" s="24" t="n"/>
      <c r="H1648" s="23" t="n"/>
      <c r="I1648" s="25" t="n"/>
      <c r="J1648" s="10">
        <f>IF(D1648="","",IF(H1648="✓","完了",IF(G1648="","",IF(G1648&lt;TODAY(),"期限超過",IF(G1648=TODAY(),"今日まで","予定")))))</f>
        <v/>
      </c>
      <c r="K1648" s="22" t="n"/>
      <c r="L1648" s="26" t="n"/>
    </row>
    <row r="1649">
      <c r="A1649" s="11" t="n"/>
      <c r="B1649" s="11" t="n"/>
      <c r="C1649" s="10" t="n"/>
      <c r="D1649" s="11" t="n"/>
      <c r="E1649" s="10" t="n"/>
      <c r="F1649" s="22" t="n"/>
      <c r="G1649" s="24" t="n"/>
      <c r="H1649" s="23" t="n"/>
      <c r="I1649" s="25" t="n"/>
      <c r="J1649" s="10">
        <f>IF(D1649="","",IF(H1649="✓","完了",IF(G1649="","",IF(G1649&lt;TODAY(),"期限超過",IF(G1649=TODAY(),"今日まで","予定")))))</f>
        <v/>
      </c>
      <c r="K1649" s="22" t="n"/>
      <c r="L1649" s="26" t="n"/>
    </row>
    <row r="1650">
      <c r="A1650" s="11" t="n"/>
      <c r="B1650" s="11" t="n"/>
      <c r="C1650" s="10" t="n"/>
      <c r="D1650" s="11" t="n"/>
      <c r="E1650" s="10" t="n"/>
      <c r="F1650" s="22" t="n"/>
      <c r="G1650" s="24" t="n"/>
      <c r="H1650" s="23" t="n"/>
      <c r="I1650" s="25" t="n"/>
      <c r="J1650" s="10">
        <f>IF(D1650="","",IF(H1650="✓","完了",IF(G1650="","",IF(G1650&lt;TODAY(),"期限超過",IF(G1650=TODAY(),"今日まで","予定")))))</f>
        <v/>
      </c>
      <c r="K1650" s="22" t="n"/>
      <c r="L1650" s="26" t="n"/>
    </row>
    <row r="1651">
      <c r="A1651" s="11" t="n"/>
      <c r="B1651" s="11" t="n"/>
      <c r="C1651" s="10" t="n"/>
      <c r="D1651" s="11" t="n"/>
      <c r="E1651" s="10" t="n"/>
      <c r="F1651" s="22" t="n"/>
      <c r="G1651" s="24" t="n"/>
      <c r="H1651" s="23" t="n"/>
      <c r="I1651" s="25" t="n"/>
      <c r="J1651" s="10">
        <f>IF(D1651="","",IF(H1651="✓","完了",IF(G1651="","",IF(G1651&lt;TODAY(),"期限超過",IF(G1651=TODAY(),"今日まで","予定")))))</f>
        <v/>
      </c>
      <c r="K1651" s="22" t="n"/>
      <c r="L1651" s="26" t="n"/>
    </row>
    <row r="1652">
      <c r="A1652" s="11" t="n"/>
      <c r="B1652" s="11" t="n"/>
      <c r="C1652" s="10" t="n"/>
      <c r="D1652" s="11" t="n"/>
      <c r="E1652" s="10" t="n"/>
      <c r="F1652" s="22" t="n"/>
      <c r="G1652" s="24" t="n"/>
      <c r="H1652" s="23" t="n"/>
      <c r="I1652" s="25" t="n"/>
      <c r="J1652" s="10">
        <f>IF(D1652="","",IF(H1652="✓","完了",IF(G1652="","",IF(G1652&lt;TODAY(),"期限超過",IF(G1652=TODAY(),"今日まで","予定")))))</f>
        <v/>
      </c>
      <c r="K1652" s="22" t="n"/>
      <c r="L1652" s="26" t="n"/>
    </row>
    <row r="1653">
      <c r="A1653" s="11" t="n"/>
      <c r="B1653" s="11" t="n"/>
      <c r="C1653" s="10" t="n"/>
      <c r="D1653" s="11" t="n"/>
      <c r="E1653" s="10" t="n"/>
      <c r="F1653" s="22" t="n"/>
      <c r="G1653" s="24" t="n"/>
      <c r="H1653" s="23" t="n"/>
      <c r="I1653" s="25" t="n"/>
      <c r="J1653" s="10">
        <f>IF(D1653="","",IF(H1653="✓","完了",IF(G1653="","",IF(G1653&lt;TODAY(),"期限超過",IF(G1653=TODAY(),"今日まで","予定")))))</f>
        <v/>
      </c>
      <c r="K1653" s="22" t="n"/>
      <c r="L1653" s="26" t="n"/>
    </row>
    <row r="1654">
      <c r="A1654" s="11" t="n"/>
      <c r="B1654" s="11" t="n"/>
      <c r="C1654" s="10" t="n"/>
      <c r="D1654" s="11" t="n"/>
      <c r="E1654" s="10" t="n"/>
      <c r="F1654" s="22" t="n"/>
      <c r="G1654" s="24" t="n"/>
      <c r="H1654" s="23" t="n"/>
      <c r="I1654" s="25" t="n"/>
      <c r="J1654" s="10">
        <f>IF(D1654="","",IF(H1654="✓","完了",IF(G1654="","",IF(G1654&lt;TODAY(),"期限超過",IF(G1654=TODAY(),"今日まで","予定")))))</f>
        <v/>
      </c>
      <c r="K1654" s="22" t="n"/>
      <c r="L1654" s="26" t="n"/>
    </row>
    <row r="1655">
      <c r="A1655" s="11" t="n"/>
      <c r="B1655" s="11" t="n"/>
      <c r="C1655" s="10" t="n"/>
      <c r="D1655" s="11" t="n"/>
      <c r="E1655" s="10" t="n"/>
      <c r="F1655" s="22" t="n"/>
      <c r="G1655" s="24" t="n"/>
      <c r="H1655" s="23" t="n"/>
      <c r="I1655" s="25" t="n"/>
      <c r="J1655" s="10">
        <f>IF(D1655="","",IF(H1655="✓","完了",IF(G1655="","",IF(G1655&lt;TODAY(),"期限超過",IF(G1655=TODAY(),"今日まで","予定")))))</f>
        <v/>
      </c>
      <c r="K1655" s="22" t="n"/>
      <c r="L1655" s="26" t="n"/>
    </row>
    <row r="1656">
      <c r="A1656" s="11" t="n"/>
      <c r="B1656" s="11" t="n"/>
      <c r="C1656" s="10" t="n"/>
      <c r="D1656" s="11" t="n"/>
      <c r="E1656" s="10" t="n"/>
      <c r="F1656" s="22" t="n"/>
      <c r="G1656" s="24" t="n"/>
      <c r="H1656" s="23" t="n"/>
      <c r="I1656" s="25" t="n"/>
      <c r="J1656" s="10">
        <f>IF(D1656="","",IF(H1656="✓","完了",IF(G1656="","",IF(G1656&lt;TODAY(),"期限超過",IF(G1656=TODAY(),"今日まで","予定")))))</f>
        <v/>
      </c>
      <c r="K1656" s="22" t="n"/>
      <c r="L1656" s="26" t="n"/>
    </row>
    <row r="1657">
      <c r="A1657" s="11" t="n"/>
      <c r="B1657" s="11" t="n"/>
      <c r="C1657" s="10" t="n"/>
      <c r="D1657" s="11" t="n"/>
      <c r="E1657" s="10" t="n"/>
      <c r="F1657" s="22" t="n"/>
      <c r="G1657" s="24" t="n"/>
      <c r="H1657" s="23" t="n"/>
      <c r="I1657" s="25" t="n"/>
      <c r="J1657" s="10">
        <f>IF(D1657="","",IF(H1657="✓","完了",IF(G1657="","",IF(G1657&lt;TODAY(),"期限超過",IF(G1657=TODAY(),"今日まで","予定")))))</f>
        <v/>
      </c>
      <c r="K1657" s="22" t="n"/>
      <c r="L1657" s="26" t="n"/>
    </row>
    <row r="1658">
      <c r="A1658" s="11" t="n"/>
      <c r="B1658" s="11" t="n"/>
      <c r="C1658" s="10" t="n"/>
      <c r="D1658" s="11" t="n"/>
      <c r="E1658" s="10" t="n"/>
      <c r="F1658" s="22" t="n"/>
      <c r="G1658" s="24" t="n"/>
      <c r="H1658" s="23" t="n"/>
      <c r="I1658" s="25" t="n"/>
      <c r="J1658" s="10">
        <f>IF(D1658="","",IF(H1658="✓","完了",IF(G1658="","",IF(G1658&lt;TODAY(),"期限超過",IF(G1658=TODAY(),"今日まで","予定")))))</f>
        <v/>
      </c>
      <c r="K1658" s="22" t="n"/>
      <c r="L1658" s="26" t="n"/>
    </row>
    <row r="1659">
      <c r="A1659" s="11" t="n"/>
      <c r="B1659" s="11" t="n"/>
      <c r="C1659" s="10" t="n"/>
      <c r="D1659" s="11" t="n"/>
      <c r="E1659" s="10" t="n"/>
      <c r="F1659" s="22" t="n"/>
      <c r="G1659" s="24" t="n"/>
      <c r="H1659" s="23" t="n"/>
      <c r="I1659" s="25" t="n"/>
      <c r="J1659" s="10">
        <f>IF(D1659="","",IF(H1659="✓","完了",IF(G1659="","",IF(G1659&lt;TODAY(),"期限超過",IF(G1659=TODAY(),"今日まで","予定")))))</f>
        <v/>
      </c>
      <c r="K1659" s="22" t="n"/>
      <c r="L1659" s="26" t="n"/>
    </row>
    <row r="1660">
      <c r="A1660" s="11" t="n"/>
      <c r="B1660" s="11" t="n"/>
      <c r="C1660" s="10" t="n"/>
      <c r="D1660" s="11" t="n"/>
      <c r="E1660" s="10" t="n"/>
      <c r="F1660" s="22" t="n"/>
      <c r="G1660" s="24" t="n"/>
      <c r="H1660" s="23" t="n"/>
      <c r="I1660" s="25" t="n"/>
      <c r="J1660" s="10">
        <f>IF(D1660="","",IF(H1660="✓","完了",IF(G1660="","",IF(G1660&lt;TODAY(),"期限超過",IF(G1660=TODAY(),"今日まで","予定")))))</f>
        <v/>
      </c>
      <c r="K1660" s="22" t="n"/>
      <c r="L1660" s="26" t="n"/>
    </row>
    <row r="1661">
      <c r="A1661" s="11" t="n"/>
      <c r="B1661" s="11" t="n"/>
      <c r="C1661" s="10" t="n"/>
      <c r="D1661" s="11" t="n"/>
      <c r="E1661" s="10" t="n"/>
      <c r="F1661" s="22" t="n"/>
      <c r="G1661" s="24" t="n"/>
      <c r="H1661" s="23" t="n"/>
      <c r="I1661" s="25" t="n"/>
      <c r="J1661" s="10">
        <f>IF(D1661="","",IF(H1661="✓","完了",IF(G1661="","",IF(G1661&lt;TODAY(),"期限超過",IF(G1661=TODAY(),"今日まで","予定")))))</f>
        <v/>
      </c>
      <c r="K1661" s="22" t="n"/>
      <c r="L1661" s="26" t="n"/>
    </row>
    <row r="1662">
      <c r="A1662" s="11" t="n"/>
      <c r="B1662" s="11" t="n"/>
      <c r="C1662" s="10" t="n"/>
      <c r="D1662" s="11" t="n"/>
      <c r="E1662" s="10" t="n"/>
      <c r="F1662" s="22" t="n"/>
      <c r="G1662" s="24" t="n"/>
      <c r="H1662" s="23" t="n"/>
      <c r="I1662" s="25" t="n"/>
      <c r="J1662" s="10">
        <f>IF(D1662="","",IF(H1662="✓","完了",IF(G1662="","",IF(G1662&lt;TODAY(),"期限超過",IF(G1662=TODAY(),"今日まで","予定")))))</f>
        <v/>
      </c>
      <c r="K1662" s="22" t="n"/>
      <c r="L1662" s="26" t="n"/>
    </row>
    <row r="1663">
      <c r="A1663" s="11" t="n"/>
      <c r="B1663" s="11" t="n"/>
      <c r="C1663" s="10" t="n"/>
      <c r="D1663" s="11" t="n"/>
      <c r="E1663" s="10" t="n"/>
      <c r="F1663" s="22" t="n"/>
      <c r="G1663" s="24" t="n"/>
      <c r="H1663" s="23" t="n"/>
      <c r="I1663" s="25" t="n"/>
      <c r="J1663" s="10">
        <f>IF(D1663="","",IF(H1663="✓","完了",IF(G1663="","",IF(G1663&lt;TODAY(),"期限超過",IF(G1663=TODAY(),"今日まで","予定")))))</f>
        <v/>
      </c>
      <c r="K1663" s="22" t="n"/>
      <c r="L1663" s="26" t="n"/>
    </row>
    <row r="1664">
      <c r="A1664" s="11" t="n"/>
      <c r="B1664" s="11" t="n"/>
      <c r="C1664" s="10" t="n"/>
      <c r="D1664" s="11" t="n"/>
      <c r="E1664" s="10" t="n"/>
      <c r="F1664" s="22" t="n"/>
      <c r="G1664" s="24" t="n"/>
      <c r="H1664" s="23" t="n"/>
      <c r="I1664" s="25" t="n"/>
      <c r="J1664" s="10">
        <f>IF(D1664="","",IF(H1664="✓","完了",IF(G1664="","",IF(G1664&lt;TODAY(),"期限超過",IF(G1664=TODAY(),"今日まで","予定")))))</f>
        <v/>
      </c>
      <c r="K1664" s="22" t="n"/>
      <c r="L1664" s="26" t="n"/>
    </row>
    <row r="1665">
      <c r="A1665" s="11" t="n"/>
      <c r="B1665" s="11" t="n"/>
      <c r="C1665" s="10" t="n"/>
      <c r="D1665" s="11" t="n"/>
      <c r="E1665" s="10" t="n"/>
      <c r="F1665" s="22" t="n"/>
      <c r="G1665" s="24" t="n"/>
      <c r="H1665" s="23" t="n"/>
      <c r="I1665" s="25" t="n"/>
      <c r="J1665" s="10">
        <f>IF(D1665="","",IF(H1665="✓","完了",IF(G1665="","",IF(G1665&lt;TODAY(),"期限超過",IF(G1665=TODAY(),"今日まで","予定")))))</f>
        <v/>
      </c>
      <c r="K1665" s="22" t="n"/>
      <c r="L1665" s="26" t="n"/>
    </row>
    <row r="1666">
      <c r="A1666" s="11" t="n"/>
      <c r="B1666" s="11" t="n"/>
      <c r="C1666" s="10" t="n"/>
      <c r="D1666" s="11" t="n"/>
      <c r="E1666" s="10" t="n"/>
      <c r="F1666" s="22" t="n"/>
      <c r="G1666" s="24" t="n"/>
      <c r="H1666" s="23" t="n"/>
      <c r="I1666" s="25" t="n"/>
      <c r="J1666" s="10">
        <f>IF(D1666="","",IF(H1666="✓","完了",IF(G1666="","",IF(G1666&lt;TODAY(),"期限超過",IF(G1666=TODAY(),"今日まで","予定")))))</f>
        <v/>
      </c>
      <c r="K1666" s="22" t="n"/>
      <c r="L1666" s="26" t="n"/>
    </row>
    <row r="1667">
      <c r="A1667" s="11" t="n"/>
      <c r="B1667" s="11" t="n"/>
      <c r="C1667" s="10" t="n"/>
      <c r="D1667" s="11" t="n"/>
      <c r="E1667" s="10" t="n"/>
      <c r="F1667" s="22" t="n"/>
      <c r="G1667" s="24" t="n"/>
      <c r="H1667" s="23" t="n"/>
      <c r="I1667" s="25" t="n"/>
      <c r="J1667" s="10">
        <f>IF(D1667="","",IF(H1667="✓","完了",IF(G1667="","",IF(G1667&lt;TODAY(),"期限超過",IF(G1667=TODAY(),"今日まで","予定")))))</f>
        <v/>
      </c>
      <c r="K1667" s="22" t="n"/>
      <c r="L1667" s="26" t="n"/>
    </row>
    <row r="1668">
      <c r="A1668" s="11" t="n"/>
      <c r="B1668" s="11" t="n"/>
      <c r="C1668" s="10" t="n"/>
      <c r="D1668" s="11" t="n"/>
      <c r="E1668" s="10" t="n"/>
      <c r="F1668" s="22" t="n"/>
      <c r="G1668" s="24" t="n"/>
      <c r="H1668" s="23" t="n"/>
      <c r="I1668" s="25" t="n"/>
      <c r="J1668" s="10">
        <f>IF(D1668="","",IF(H1668="✓","完了",IF(G1668="","",IF(G1668&lt;TODAY(),"期限超過",IF(G1668=TODAY(),"今日まで","予定")))))</f>
        <v/>
      </c>
      <c r="K1668" s="22" t="n"/>
      <c r="L1668" s="26" t="n"/>
    </row>
    <row r="1669">
      <c r="A1669" s="11" t="n"/>
      <c r="B1669" s="11" t="n"/>
      <c r="C1669" s="10" t="n"/>
      <c r="D1669" s="11" t="n"/>
      <c r="E1669" s="10" t="n"/>
      <c r="F1669" s="22" t="n"/>
      <c r="G1669" s="24" t="n"/>
      <c r="H1669" s="23" t="n"/>
      <c r="I1669" s="25" t="n"/>
      <c r="J1669" s="10">
        <f>IF(D1669="","",IF(H1669="✓","完了",IF(G1669="","",IF(G1669&lt;TODAY(),"期限超過",IF(G1669=TODAY(),"今日まで","予定")))))</f>
        <v/>
      </c>
      <c r="K1669" s="22" t="n"/>
      <c r="L1669" s="26" t="n"/>
    </row>
    <row r="1670">
      <c r="A1670" s="11" t="n"/>
      <c r="B1670" s="11" t="n"/>
      <c r="C1670" s="10" t="n"/>
      <c r="D1670" s="11" t="n"/>
      <c r="E1670" s="10" t="n"/>
      <c r="F1670" s="22" t="n"/>
      <c r="G1670" s="24" t="n"/>
      <c r="H1670" s="23" t="n"/>
      <c r="I1670" s="25" t="n"/>
      <c r="J1670" s="10">
        <f>IF(D1670="","",IF(H1670="✓","完了",IF(G1670="","",IF(G1670&lt;TODAY(),"期限超過",IF(G1670=TODAY(),"今日まで","予定")))))</f>
        <v/>
      </c>
      <c r="K1670" s="22" t="n"/>
      <c r="L1670" s="26" t="n"/>
    </row>
    <row r="1671">
      <c r="A1671" s="11" t="n"/>
      <c r="B1671" s="11" t="n"/>
      <c r="C1671" s="10" t="n"/>
      <c r="D1671" s="11" t="n"/>
      <c r="E1671" s="10" t="n"/>
      <c r="F1671" s="22" t="n"/>
      <c r="G1671" s="24" t="n"/>
      <c r="H1671" s="23" t="n"/>
      <c r="I1671" s="25" t="n"/>
      <c r="J1671" s="10">
        <f>IF(D1671="","",IF(H1671="✓","完了",IF(G1671="","",IF(G1671&lt;TODAY(),"期限超過",IF(G1671=TODAY(),"今日まで","予定")))))</f>
        <v/>
      </c>
      <c r="K1671" s="22" t="n"/>
      <c r="L1671" s="26" t="n"/>
    </row>
    <row r="1672">
      <c r="A1672" s="11" t="n"/>
      <c r="B1672" s="11" t="n"/>
      <c r="C1672" s="10" t="n"/>
      <c r="D1672" s="11" t="n"/>
      <c r="E1672" s="10" t="n"/>
      <c r="F1672" s="22" t="n"/>
      <c r="G1672" s="24" t="n"/>
      <c r="H1672" s="23" t="n"/>
      <c r="I1672" s="25" t="n"/>
      <c r="J1672" s="10">
        <f>IF(D1672="","",IF(H1672="✓","完了",IF(G1672="","",IF(G1672&lt;TODAY(),"期限超過",IF(G1672=TODAY(),"今日まで","予定")))))</f>
        <v/>
      </c>
      <c r="K1672" s="22" t="n"/>
      <c r="L1672" s="26" t="n"/>
    </row>
    <row r="1673">
      <c r="A1673" s="11" t="n"/>
      <c r="B1673" s="11" t="n"/>
      <c r="C1673" s="10" t="n"/>
      <c r="D1673" s="11" t="n"/>
      <c r="E1673" s="10" t="n"/>
      <c r="F1673" s="22" t="n"/>
      <c r="G1673" s="24" t="n"/>
      <c r="H1673" s="23" t="n"/>
      <c r="I1673" s="25" t="n"/>
      <c r="J1673" s="10">
        <f>IF(D1673="","",IF(H1673="✓","完了",IF(G1673="","",IF(G1673&lt;TODAY(),"期限超過",IF(G1673=TODAY(),"今日まで","予定")))))</f>
        <v/>
      </c>
      <c r="K1673" s="22" t="n"/>
      <c r="L1673" s="26" t="n"/>
    </row>
    <row r="1674">
      <c r="A1674" s="11" t="n"/>
      <c r="B1674" s="11" t="n"/>
      <c r="C1674" s="10" t="n"/>
      <c r="D1674" s="11" t="n"/>
      <c r="E1674" s="10" t="n"/>
      <c r="F1674" s="22" t="n"/>
      <c r="G1674" s="24" t="n"/>
      <c r="H1674" s="23" t="n"/>
      <c r="I1674" s="25" t="n"/>
      <c r="J1674" s="10">
        <f>IF(D1674="","",IF(H1674="✓","完了",IF(G1674="","",IF(G1674&lt;TODAY(),"期限超過",IF(G1674=TODAY(),"今日まで","予定")))))</f>
        <v/>
      </c>
      <c r="K1674" s="22" t="n"/>
      <c r="L1674" s="26" t="n"/>
    </row>
    <row r="1675">
      <c r="A1675" s="11" t="n"/>
      <c r="B1675" s="11" t="n"/>
      <c r="C1675" s="10" t="n"/>
      <c r="D1675" s="11" t="n"/>
      <c r="E1675" s="10" t="n"/>
      <c r="F1675" s="22" t="n"/>
      <c r="G1675" s="24" t="n"/>
      <c r="H1675" s="23" t="n"/>
      <c r="I1675" s="25" t="n"/>
      <c r="J1675" s="10">
        <f>IF(D1675="","",IF(H1675="✓","完了",IF(G1675="","",IF(G1675&lt;TODAY(),"期限超過",IF(G1675=TODAY(),"今日まで","予定")))))</f>
        <v/>
      </c>
      <c r="K1675" s="22" t="n"/>
      <c r="L1675" s="26" t="n"/>
    </row>
    <row r="1676">
      <c r="A1676" s="11" t="n"/>
      <c r="B1676" s="11" t="n"/>
      <c r="C1676" s="10" t="n"/>
      <c r="D1676" s="11" t="n"/>
      <c r="E1676" s="10" t="n"/>
      <c r="F1676" s="22" t="n"/>
      <c r="G1676" s="24" t="n"/>
      <c r="H1676" s="23" t="n"/>
      <c r="I1676" s="25" t="n"/>
      <c r="J1676" s="10">
        <f>IF(D1676="","",IF(H1676="✓","完了",IF(G1676="","",IF(G1676&lt;TODAY(),"期限超過",IF(G1676=TODAY(),"今日まで","予定")))))</f>
        <v/>
      </c>
      <c r="K1676" s="22" t="n"/>
      <c r="L1676" s="26" t="n"/>
    </row>
    <row r="1677">
      <c r="A1677" s="11" t="n"/>
      <c r="B1677" s="11" t="n"/>
      <c r="C1677" s="10" t="n"/>
      <c r="D1677" s="11" t="n"/>
      <c r="E1677" s="10" t="n"/>
      <c r="F1677" s="22" t="n"/>
      <c r="G1677" s="24" t="n"/>
      <c r="H1677" s="23" t="n"/>
      <c r="I1677" s="25" t="n"/>
      <c r="J1677" s="10">
        <f>IF(D1677="","",IF(H1677="✓","完了",IF(G1677="","",IF(G1677&lt;TODAY(),"期限超過",IF(G1677=TODAY(),"今日まで","予定")))))</f>
        <v/>
      </c>
      <c r="K1677" s="22" t="n"/>
      <c r="L1677" s="26" t="n"/>
    </row>
    <row r="1678">
      <c r="A1678" s="11" t="n"/>
      <c r="B1678" s="11" t="n"/>
      <c r="C1678" s="10" t="n"/>
      <c r="D1678" s="11" t="n"/>
      <c r="E1678" s="10" t="n"/>
      <c r="F1678" s="22" t="n"/>
      <c r="G1678" s="24" t="n"/>
      <c r="H1678" s="23" t="n"/>
      <c r="I1678" s="25" t="n"/>
      <c r="J1678" s="10">
        <f>IF(D1678="","",IF(H1678="✓","完了",IF(G1678="","",IF(G1678&lt;TODAY(),"期限超過",IF(G1678=TODAY(),"今日まで","予定")))))</f>
        <v/>
      </c>
      <c r="K1678" s="22" t="n"/>
      <c r="L1678" s="26" t="n"/>
    </row>
    <row r="1679">
      <c r="A1679" s="11" t="n"/>
      <c r="B1679" s="11" t="n"/>
      <c r="C1679" s="10" t="n"/>
      <c r="D1679" s="11" t="n"/>
      <c r="E1679" s="10" t="n"/>
      <c r="F1679" s="22" t="n"/>
      <c r="G1679" s="24" t="n"/>
      <c r="H1679" s="23" t="n"/>
      <c r="I1679" s="25" t="n"/>
      <c r="J1679" s="10">
        <f>IF(D1679="","",IF(H1679="✓","完了",IF(G1679="","",IF(G1679&lt;TODAY(),"期限超過",IF(G1679=TODAY(),"今日まで","予定")))))</f>
        <v/>
      </c>
      <c r="K1679" s="22" t="n"/>
      <c r="L1679" s="26" t="n"/>
    </row>
    <row r="1680">
      <c r="A1680" s="11" t="n"/>
      <c r="B1680" s="11" t="n"/>
      <c r="C1680" s="10" t="n"/>
      <c r="D1680" s="11" t="n"/>
      <c r="E1680" s="10" t="n"/>
      <c r="F1680" s="22" t="n"/>
      <c r="G1680" s="24" t="n"/>
      <c r="H1680" s="23" t="n"/>
      <c r="I1680" s="25" t="n"/>
      <c r="J1680" s="10">
        <f>IF(D1680="","",IF(H1680="✓","完了",IF(G1680="","",IF(G1680&lt;TODAY(),"期限超過",IF(G1680=TODAY(),"今日まで","予定")))))</f>
        <v/>
      </c>
      <c r="K1680" s="22" t="n"/>
      <c r="L1680" s="26" t="n"/>
    </row>
    <row r="1681">
      <c r="A1681" s="11" t="n"/>
      <c r="B1681" s="11" t="n"/>
      <c r="C1681" s="10" t="n"/>
      <c r="D1681" s="11" t="n"/>
      <c r="E1681" s="10" t="n"/>
      <c r="F1681" s="22" t="n"/>
      <c r="G1681" s="24" t="n"/>
      <c r="H1681" s="23" t="n"/>
      <c r="I1681" s="25" t="n"/>
      <c r="J1681" s="10">
        <f>IF(D1681="","",IF(H1681="✓","完了",IF(G1681="","",IF(G1681&lt;TODAY(),"期限超過",IF(G1681=TODAY(),"今日まで","予定")))))</f>
        <v/>
      </c>
      <c r="K1681" s="22" t="n"/>
      <c r="L1681" s="26" t="n"/>
    </row>
    <row r="1682">
      <c r="A1682" s="11" t="n"/>
      <c r="B1682" s="11" t="n"/>
      <c r="C1682" s="10" t="n"/>
      <c r="D1682" s="11" t="n"/>
      <c r="E1682" s="10" t="n"/>
      <c r="F1682" s="22" t="n"/>
      <c r="G1682" s="24" t="n"/>
      <c r="H1682" s="23" t="n"/>
      <c r="I1682" s="25" t="n"/>
      <c r="J1682" s="10">
        <f>IF(D1682="","",IF(H1682="✓","完了",IF(G1682="","",IF(G1682&lt;TODAY(),"期限超過",IF(G1682=TODAY(),"今日まで","予定")))))</f>
        <v/>
      </c>
      <c r="K1682" s="22" t="n"/>
      <c r="L1682" s="26" t="n"/>
    </row>
    <row r="1683">
      <c r="A1683" s="11" t="n"/>
      <c r="B1683" s="11" t="n"/>
      <c r="C1683" s="10" t="n"/>
      <c r="D1683" s="11" t="n"/>
      <c r="E1683" s="10" t="n"/>
      <c r="F1683" s="22" t="n"/>
      <c r="G1683" s="24" t="n"/>
      <c r="H1683" s="23" t="n"/>
      <c r="I1683" s="25" t="n"/>
      <c r="J1683" s="10">
        <f>IF(D1683="","",IF(H1683="✓","完了",IF(G1683="","",IF(G1683&lt;TODAY(),"期限超過",IF(G1683=TODAY(),"今日まで","予定")))))</f>
        <v/>
      </c>
      <c r="K1683" s="22" t="n"/>
      <c r="L1683" s="26" t="n"/>
    </row>
    <row r="1684">
      <c r="A1684" s="11" t="n"/>
      <c r="B1684" s="11" t="n"/>
      <c r="C1684" s="10" t="n"/>
      <c r="D1684" s="11" t="n"/>
      <c r="E1684" s="10" t="n"/>
      <c r="F1684" s="22" t="n"/>
      <c r="G1684" s="24" t="n"/>
      <c r="H1684" s="23" t="n"/>
      <c r="I1684" s="25" t="n"/>
      <c r="J1684" s="10">
        <f>IF(D1684="","",IF(H1684="✓","完了",IF(G1684="","",IF(G1684&lt;TODAY(),"期限超過",IF(G1684=TODAY(),"今日まで","予定")))))</f>
        <v/>
      </c>
      <c r="K1684" s="22" t="n"/>
      <c r="L1684" s="26" t="n"/>
    </row>
    <row r="1685">
      <c r="A1685" s="11" t="n"/>
      <c r="B1685" s="11" t="n"/>
      <c r="C1685" s="10" t="n"/>
      <c r="D1685" s="11" t="n"/>
      <c r="E1685" s="10" t="n"/>
      <c r="F1685" s="22" t="n"/>
      <c r="G1685" s="24" t="n"/>
      <c r="H1685" s="23" t="n"/>
      <c r="I1685" s="25" t="n"/>
      <c r="J1685" s="10">
        <f>IF(D1685="","",IF(H1685="✓","完了",IF(G1685="","",IF(G1685&lt;TODAY(),"期限超過",IF(G1685=TODAY(),"今日まで","予定")))))</f>
        <v/>
      </c>
      <c r="K1685" s="22" t="n"/>
      <c r="L1685" s="26" t="n"/>
    </row>
    <row r="1686">
      <c r="A1686" s="11" t="n"/>
      <c r="B1686" s="11" t="n"/>
      <c r="C1686" s="10" t="n"/>
      <c r="D1686" s="11" t="n"/>
      <c r="E1686" s="10" t="n"/>
      <c r="F1686" s="22" t="n"/>
      <c r="G1686" s="24" t="n"/>
      <c r="H1686" s="23" t="n"/>
      <c r="I1686" s="25" t="n"/>
      <c r="J1686" s="10">
        <f>IF(D1686="","",IF(H1686="✓","完了",IF(G1686="","",IF(G1686&lt;TODAY(),"期限超過",IF(G1686=TODAY(),"今日まで","予定")))))</f>
        <v/>
      </c>
      <c r="K1686" s="22" t="n"/>
      <c r="L1686" s="26" t="n"/>
    </row>
    <row r="1687">
      <c r="A1687" s="11" t="n"/>
      <c r="B1687" s="11" t="n"/>
      <c r="C1687" s="10" t="n"/>
      <c r="D1687" s="11" t="n"/>
      <c r="E1687" s="10" t="n"/>
      <c r="F1687" s="22" t="n"/>
      <c r="G1687" s="24" t="n"/>
      <c r="H1687" s="23" t="n"/>
      <c r="I1687" s="25" t="n"/>
      <c r="J1687" s="10">
        <f>IF(D1687="","",IF(H1687="✓","完了",IF(G1687="","",IF(G1687&lt;TODAY(),"期限超過",IF(G1687=TODAY(),"今日まで","予定")))))</f>
        <v/>
      </c>
      <c r="K1687" s="22" t="n"/>
      <c r="L1687" s="26" t="n"/>
    </row>
    <row r="1688">
      <c r="A1688" s="11" t="n"/>
      <c r="B1688" s="11" t="n"/>
      <c r="C1688" s="10" t="n"/>
      <c r="D1688" s="11" t="n"/>
      <c r="E1688" s="10" t="n"/>
      <c r="F1688" s="22" t="n"/>
      <c r="G1688" s="24" t="n"/>
      <c r="H1688" s="23" t="n"/>
      <c r="I1688" s="25" t="n"/>
      <c r="J1688" s="10">
        <f>IF(D1688="","",IF(H1688="✓","完了",IF(G1688="","",IF(G1688&lt;TODAY(),"期限超過",IF(G1688=TODAY(),"今日まで","予定")))))</f>
        <v/>
      </c>
      <c r="K1688" s="22" t="n"/>
      <c r="L1688" s="26" t="n"/>
    </row>
    <row r="1689">
      <c r="A1689" s="11" t="n"/>
      <c r="B1689" s="11" t="n"/>
      <c r="C1689" s="10" t="n"/>
      <c r="D1689" s="11" t="n"/>
      <c r="E1689" s="10" t="n"/>
      <c r="F1689" s="22" t="n"/>
      <c r="G1689" s="24" t="n"/>
      <c r="H1689" s="23" t="n"/>
      <c r="I1689" s="25" t="n"/>
      <c r="J1689" s="10">
        <f>IF(D1689="","",IF(H1689="✓","完了",IF(G1689="","",IF(G1689&lt;TODAY(),"期限超過",IF(G1689=TODAY(),"今日まで","予定")))))</f>
        <v/>
      </c>
      <c r="K1689" s="22" t="n"/>
      <c r="L1689" s="26" t="n"/>
    </row>
    <row r="1690">
      <c r="A1690" s="11" t="n"/>
      <c r="B1690" s="11" t="n"/>
      <c r="C1690" s="10" t="n"/>
      <c r="D1690" s="11" t="n"/>
      <c r="E1690" s="10" t="n"/>
      <c r="F1690" s="22" t="n"/>
      <c r="G1690" s="24" t="n"/>
      <c r="H1690" s="23" t="n"/>
      <c r="I1690" s="25" t="n"/>
      <c r="J1690" s="10">
        <f>IF(D1690="","",IF(H1690="✓","完了",IF(G1690="","",IF(G1690&lt;TODAY(),"期限超過",IF(G1690=TODAY(),"今日まで","予定")))))</f>
        <v/>
      </c>
      <c r="K1690" s="22" t="n"/>
      <c r="L1690" s="26" t="n"/>
    </row>
    <row r="1691">
      <c r="A1691" s="11" t="n"/>
      <c r="B1691" s="11" t="n"/>
      <c r="C1691" s="10" t="n"/>
      <c r="D1691" s="11" t="n"/>
      <c r="E1691" s="10" t="n"/>
      <c r="F1691" s="22" t="n"/>
      <c r="G1691" s="24" t="n"/>
      <c r="H1691" s="23" t="n"/>
      <c r="I1691" s="25" t="n"/>
      <c r="J1691" s="10">
        <f>IF(D1691="","",IF(H1691="✓","完了",IF(G1691="","",IF(G1691&lt;TODAY(),"期限超過",IF(G1691=TODAY(),"今日まで","予定")))))</f>
        <v/>
      </c>
      <c r="K1691" s="22" t="n"/>
      <c r="L1691" s="26" t="n"/>
    </row>
    <row r="1692">
      <c r="A1692" s="11" t="n"/>
      <c r="B1692" s="11" t="n"/>
      <c r="C1692" s="10" t="n"/>
      <c r="D1692" s="11" t="n"/>
      <c r="E1692" s="10" t="n"/>
      <c r="F1692" s="22" t="n"/>
      <c r="G1692" s="24" t="n"/>
      <c r="H1692" s="23" t="n"/>
      <c r="I1692" s="25" t="n"/>
      <c r="J1692" s="10">
        <f>IF(D1692="","",IF(H1692="✓","完了",IF(G1692="","",IF(G1692&lt;TODAY(),"期限超過",IF(G1692=TODAY(),"今日まで","予定")))))</f>
        <v/>
      </c>
      <c r="K1692" s="22" t="n"/>
      <c r="L1692" s="26" t="n"/>
    </row>
    <row r="1693">
      <c r="A1693" s="11" t="n"/>
      <c r="B1693" s="11" t="n"/>
      <c r="C1693" s="10" t="n"/>
      <c r="D1693" s="11" t="n"/>
      <c r="E1693" s="10" t="n"/>
      <c r="F1693" s="22" t="n"/>
      <c r="G1693" s="24" t="n"/>
      <c r="H1693" s="23" t="n"/>
      <c r="I1693" s="25" t="n"/>
      <c r="J1693" s="10">
        <f>IF(D1693="","",IF(H1693="✓","完了",IF(G1693="","",IF(G1693&lt;TODAY(),"期限超過",IF(G1693=TODAY(),"今日まで","予定")))))</f>
        <v/>
      </c>
      <c r="K1693" s="22" t="n"/>
      <c r="L1693" s="26" t="n"/>
    </row>
    <row r="1694">
      <c r="A1694" s="11" t="n"/>
      <c r="B1694" s="11" t="n"/>
      <c r="C1694" s="10" t="n"/>
      <c r="D1694" s="11" t="n"/>
      <c r="E1694" s="10" t="n"/>
      <c r="F1694" s="22" t="n"/>
      <c r="G1694" s="24" t="n"/>
      <c r="H1694" s="23" t="n"/>
      <c r="I1694" s="25" t="n"/>
      <c r="J1694" s="10">
        <f>IF(D1694="","",IF(H1694="✓","完了",IF(G1694="","",IF(G1694&lt;TODAY(),"期限超過",IF(G1694=TODAY(),"今日まで","予定")))))</f>
        <v/>
      </c>
      <c r="K1694" s="22" t="n"/>
      <c r="L1694" s="26" t="n"/>
    </row>
    <row r="1695">
      <c r="A1695" s="11" t="n"/>
      <c r="B1695" s="11" t="n"/>
      <c r="C1695" s="10" t="n"/>
      <c r="D1695" s="11" t="n"/>
      <c r="E1695" s="10" t="n"/>
      <c r="F1695" s="22" t="n"/>
      <c r="G1695" s="24" t="n"/>
      <c r="H1695" s="23" t="n"/>
      <c r="I1695" s="25" t="n"/>
      <c r="J1695" s="10">
        <f>IF(D1695="","",IF(H1695="✓","完了",IF(G1695="","",IF(G1695&lt;TODAY(),"期限超過",IF(G1695=TODAY(),"今日まで","予定")))))</f>
        <v/>
      </c>
      <c r="K1695" s="22" t="n"/>
      <c r="L1695" s="26" t="n"/>
    </row>
    <row r="1696">
      <c r="A1696" s="11" t="n"/>
      <c r="B1696" s="11" t="n"/>
      <c r="C1696" s="10" t="n"/>
      <c r="D1696" s="11" t="n"/>
      <c r="E1696" s="10" t="n"/>
      <c r="F1696" s="22" t="n"/>
      <c r="G1696" s="24" t="n"/>
      <c r="H1696" s="23" t="n"/>
      <c r="I1696" s="25" t="n"/>
      <c r="J1696" s="10">
        <f>IF(D1696="","",IF(H1696="✓","完了",IF(G1696="","",IF(G1696&lt;TODAY(),"期限超過",IF(G1696=TODAY(),"今日まで","予定")))))</f>
        <v/>
      </c>
      <c r="K1696" s="22" t="n"/>
      <c r="L1696" s="26" t="n"/>
    </row>
    <row r="1697">
      <c r="A1697" s="11" t="n"/>
      <c r="B1697" s="11" t="n"/>
      <c r="C1697" s="10" t="n"/>
      <c r="D1697" s="11" t="n"/>
      <c r="E1697" s="10" t="n"/>
      <c r="F1697" s="22" t="n"/>
      <c r="G1697" s="24" t="n"/>
      <c r="H1697" s="23" t="n"/>
      <c r="I1697" s="25" t="n"/>
      <c r="J1697" s="10">
        <f>IF(D1697="","",IF(H1697="✓","完了",IF(G1697="","",IF(G1697&lt;TODAY(),"期限超過",IF(G1697=TODAY(),"今日まで","予定")))))</f>
        <v/>
      </c>
      <c r="K1697" s="22" t="n"/>
      <c r="L1697" s="26" t="n"/>
    </row>
    <row r="1698">
      <c r="A1698" s="11" t="n"/>
      <c r="B1698" s="11" t="n"/>
      <c r="C1698" s="10" t="n"/>
      <c r="D1698" s="11" t="n"/>
      <c r="E1698" s="10" t="n"/>
      <c r="F1698" s="22" t="n"/>
      <c r="G1698" s="24" t="n"/>
      <c r="H1698" s="23" t="n"/>
      <c r="I1698" s="25" t="n"/>
      <c r="J1698" s="10">
        <f>IF(D1698="","",IF(H1698="✓","完了",IF(G1698="","",IF(G1698&lt;TODAY(),"期限超過",IF(G1698=TODAY(),"今日まで","予定")))))</f>
        <v/>
      </c>
      <c r="K1698" s="22" t="n"/>
      <c r="L1698" s="26" t="n"/>
    </row>
    <row r="1699">
      <c r="A1699" s="11" t="n"/>
      <c r="B1699" s="11" t="n"/>
      <c r="C1699" s="10" t="n"/>
      <c r="D1699" s="11" t="n"/>
      <c r="E1699" s="10" t="n"/>
      <c r="F1699" s="22" t="n"/>
      <c r="G1699" s="24" t="n"/>
      <c r="H1699" s="23" t="n"/>
      <c r="I1699" s="25" t="n"/>
      <c r="J1699" s="10">
        <f>IF(D1699="","",IF(H1699="✓","完了",IF(G1699="","",IF(G1699&lt;TODAY(),"期限超過",IF(G1699=TODAY(),"今日まで","予定")))))</f>
        <v/>
      </c>
      <c r="K1699" s="22" t="n"/>
      <c r="L1699" s="26" t="n"/>
    </row>
    <row r="1700">
      <c r="A1700" s="11" t="n"/>
      <c r="B1700" s="11" t="n"/>
      <c r="C1700" s="10" t="n"/>
      <c r="D1700" s="11" t="n"/>
      <c r="E1700" s="10" t="n"/>
      <c r="F1700" s="22" t="n"/>
      <c r="G1700" s="24" t="n"/>
      <c r="H1700" s="23" t="n"/>
      <c r="I1700" s="25" t="n"/>
      <c r="J1700" s="10">
        <f>IF(D1700="","",IF(H1700="✓","完了",IF(G1700="","",IF(G1700&lt;TODAY(),"期限超過",IF(G1700=TODAY(),"今日まで","予定")))))</f>
        <v/>
      </c>
      <c r="K1700" s="22" t="n"/>
      <c r="L1700" s="26" t="n"/>
    </row>
    <row r="1701">
      <c r="A1701" s="11" t="n"/>
      <c r="B1701" s="11" t="n"/>
      <c r="C1701" s="10" t="n"/>
      <c r="D1701" s="11" t="n"/>
      <c r="E1701" s="10" t="n"/>
      <c r="F1701" s="22" t="n"/>
      <c r="G1701" s="24" t="n"/>
      <c r="H1701" s="23" t="n"/>
      <c r="I1701" s="25" t="n"/>
      <c r="J1701" s="10">
        <f>IF(D1701="","",IF(H1701="✓","完了",IF(G1701="","",IF(G1701&lt;TODAY(),"期限超過",IF(G1701=TODAY(),"今日まで","予定")))))</f>
        <v/>
      </c>
      <c r="K1701" s="22" t="n"/>
      <c r="L1701" s="26" t="n"/>
    </row>
    <row r="1702">
      <c r="A1702" s="11" t="n"/>
      <c r="B1702" s="11" t="n"/>
      <c r="C1702" s="10" t="n"/>
      <c r="D1702" s="11" t="n"/>
      <c r="E1702" s="10" t="n"/>
      <c r="F1702" s="22" t="n"/>
      <c r="G1702" s="24" t="n"/>
      <c r="H1702" s="23" t="n"/>
      <c r="I1702" s="25" t="n"/>
      <c r="J1702" s="10">
        <f>IF(D1702="","",IF(H1702="✓","完了",IF(G1702="","",IF(G1702&lt;TODAY(),"期限超過",IF(G1702=TODAY(),"今日まで","予定")))))</f>
        <v/>
      </c>
      <c r="K1702" s="22" t="n"/>
      <c r="L1702" s="26" t="n"/>
    </row>
    <row r="1703">
      <c r="A1703" s="11" t="n"/>
      <c r="B1703" s="11" t="n"/>
      <c r="C1703" s="10" t="n"/>
      <c r="D1703" s="11" t="n"/>
      <c r="E1703" s="10" t="n"/>
      <c r="F1703" s="22" t="n"/>
      <c r="G1703" s="24" t="n"/>
      <c r="H1703" s="23" t="n"/>
      <c r="I1703" s="25" t="n"/>
      <c r="J1703" s="10">
        <f>IF(D1703="","",IF(H1703="✓","完了",IF(G1703="","",IF(G1703&lt;TODAY(),"期限超過",IF(G1703=TODAY(),"今日まで","予定")))))</f>
        <v/>
      </c>
      <c r="K1703" s="22" t="n"/>
      <c r="L1703" s="26" t="n"/>
    </row>
    <row r="1704">
      <c r="A1704" s="11" t="n"/>
      <c r="B1704" s="11" t="n"/>
      <c r="C1704" s="10" t="n"/>
      <c r="D1704" s="11" t="n"/>
      <c r="E1704" s="10" t="n"/>
      <c r="F1704" s="22" t="n"/>
      <c r="G1704" s="24" t="n"/>
      <c r="H1704" s="23" t="n"/>
      <c r="I1704" s="25" t="n"/>
      <c r="J1704" s="10">
        <f>IF(D1704="","",IF(H1704="✓","完了",IF(G1704="","",IF(G1704&lt;TODAY(),"期限超過",IF(G1704=TODAY(),"今日まで","予定")))))</f>
        <v/>
      </c>
      <c r="K1704" s="22" t="n"/>
      <c r="L1704" s="26" t="n"/>
    </row>
    <row r="1705">
      <c r="A1705" s="11" t="n"/>
      <c r="B1705" s="11" t="n"/>
      <c r="C1705" s="10" t="n"/>
      <c r="D1705" s="11" t="n"/>
      <c r="E1705" s="10" t="n"/>
      <c r="F1705" s="22" t="n"/>
      <c r="G1705" s="24" t="n"/>
      <c r="H1705" s="23" t="n"/>
      <c r="I1705" s="25" t="n"/>
      <c r="J1705" s="10">
        <f>IF(D1705="","",IF(H1705="✓","完了",IF(G1705="","",IF(G1705&lt;TODAY(),"期限超過",IF(G1705=TODAY(),"今日まで","予定")))))</f>
        <v/>
      </c>
      <c r="K1705" s="22" t="n"/>
      <c r="L1705" s="26" t="n"/>
    </row>
    <row r="1706">
      <c r="A1706" s="11" t="n"/>
      <c r="B1706" s="11" t="n"/>
      <c r="C1706" s="10" t="n"/>
      <c r="D1706" s="11" t="n"/>
      <c r="E1706" s="10" t="n"/>
      <c r="F1706" s="22" t="n"/>
      <c r="G1706" s="24" t="n"/>
      <c r="H1706" s="23" t="n"/>
      <c r="I1706" s="25" t="n"/>
      <c r="J1706" s="10">
        <f>IF(D1706="","",IF(H1706="✓","完了",IF(G1706="","",IF(G1706&lt;TODAY(),"期限超過",IF(G1706=TODAY(),"今日まで","予定")))))</f>
        <v/>
      </c>
      <c r="K1706" s="22" t="n"/>
      <c r="L1706" s="26" t="n"/>
    </row>
    <row r="1707">
      <c r="A1707" s="11" t="n"/>
      <c r="B1707" s="11" t="n"/>
      <c r="C1707" s="10" t="n"/>
      <c r="D1707" s="11" t="n"/>
      <c r="E1707" s="10" t="n"/>
      <c r="F1707" s="22" t="n"/>
      <c r="G1707" s="24" t="n"/>
      <c r="H1707" s="23" t="n"/>
      <c r="I1707" s="25" t="n"/>
      <c r="J1707" s="10">
        <f>IF(D1707="","",IF(H1707="✓","完了",IF(G1707="","",IF(G1707&lt;TODAY(),"期限超過",IF(G1707=TODAY(),"今日まで","予定")))))</f>
        <v/>
      </c>
      <c r="K1707" s="22" t="n"/>
      <c r="L1707" s="26" t="n"/>
    </row>
    <row r="1708">
      <c r="A1708" s="11" t="n"/>
      <c r="B1708" s="11" t="n"/>
      <c r="C1708" s="10" t="n"/>
      <c r="D1708" s="11" t="n"/>
      <c r="E1708" s="10" t="n"/>
      <c r="F1708" s="22" t="n"/>
      <c r="G1708" s="24" t="n"/>
      <c r="H1708" s="23" t="n"/>
      <c r="I1708" s="25" t="n"/>
      <c r="J1708" s="10">
        <f>IF(D1708="","",IF(H1708="✓","完了",IF(G1708="","",IF(G1708&lt;TODAY(),"期限超過",IF(G1708=TODAY(),"今日まで","予定")))))</f>
        <v/>
      </c>
      <c r="K1708" s="22" t="n"/>
      <c r="L1708" s="26" t="n"/>
    </row>
    <row r="1709">
      <c r="A1709" s="11" t="n"/>
      <c r="B1709" s="11" t="n"/>
      <c r="C1709" s="10" t="n"/>
      <c r="D1709" s="11" t="n"/>
      <c r="E1709" s="10" t="n"/>
      <c r="F1709" s="22" t="n"/>
      <c r="G1709" s="24" t="n"/>
      <c r="H1709" s="23" t="n"/>
      <c r="I1709" s="25" t="n"/>
      <c r="J1709" s="10">
        <f>IF(D1709="","",IF(H1709="✓","完了",IF(G1709="","",IF(G1709&lt;TODAY(),"期限超過",IF(G1709=TODAY(),"今日まで","予定")))))</f>
        <v/>
      </c>
      <c r="K1709" s="22" t="n"/>
      <c r="L1709" s="26" t="n"/>
    </row>
    <row r="1710">
      <c r="A1710" s="11" t="n"/>
      <c r="B1710" s="11" t="n"/>
      <c r="C1710" s="10" t="n"/>
      <c r="D1710" s="11" t="n"/>
      <c r="E1710" s="10" t="n"/>
      <c r="F1710" s="22" t="n"/>
      <c r="G1710" s="24" t="n"/>
      <c r="H1710" s="23" t="n"/>
      <c r="I1710" s="25" t="n"/>
      <c r="J1710" s="10">
        <f>IF(D1710="","",IF(H1710="✓","完了",IF(G1710="","",IF(G1710&lt;TODAY(),"期限超過",IF(G1710=TODAY(),"今日まで","予定")))))</f>
        <v/>
      </c>
      <c r="K1710" s="22" t="n"/>
      <c r="L1710" s="26" t="n"/>
    </row>
    <row r="1711">
      <c r="A1711" s="11" t="n"/>
      <c r="B1711" s="11" t="n"/>
      <c r="C1711" s="10" t="n"/>
      <c r="D1711" s="11" t="n"/>
      <c r="E1711" s="10" t="n"/>
      <c r="F1711" s="22" t="n"/>
      <c r="G1711" s="24" t="n"/>
      <c r="H1711" s="23" t="n"/>
      <c r="I1711" s="25" t="n"/>
      <c r="J1711" s="10">
        <f>IF(D1711="","",IF(H1711="✓","完了",IF(G1711="","",IF(G1711&lt;TODAY(),"期限超過",IF(G1711=TODAY(),"今日まで","予定")))))</f>
        <v/>
      </c>
      <c r="K1711" s="22" t="n"/>
      <c r="L1711" s="26" t="n"/>
    </row>
    <row r="1712">
      <c r="A1712" s="11" t="n"/>
      <c r="B1712" s="11" t="n"/>
      <c r="C1712" s="10" t="n"/>
      <c r="D1712" s="11" t="n"/>
      <c r="E1712" s="10" t="n"/>
      <c r="F1712" s="22" t="n"/>
      <c r="G1712" s="24" t="n"/>
      <c r="H1712" s="23" t="n"/>
      <c r="I1712" s="25" t="n"/>
      <c r="J1712" s="10">
        <f>IF(D1712="","",IF(H1712="✓","完了",IF(G1712="","",IF(G1712&lt;TODAY(),"期限超過",IF(G1712=TODAY(),"今日まで","予定")))))</f>
        <v/>
      </c>
      <c r="K1712" s="22" t="n"/>
      <c r="L1712" s="26" t="n"/>
    </row>
    <row r="1713">
      <c r="A1713" s="11" t="n"/>
      <c r="B1713" s="11" t="n"/>
      <c r="C1713" s="10" t="n"/>
      <c r="D1713" s="11" t="n"/>
      <c r="E1713" s="10" t="n"/>
      <c r="F1713" s="22" t="n"/>
      <c r="G1713" s="24" t="n"/>
      <c r="H1713" s="23" t="n"/>
      <c r="I1713" s="25" t="n"/>
      <c r="J1713" s="10">
        <f>IF(D1713="","",IF(H1713="✓","完了",IF(G1713="","",IF(G1713&lt;TODAY(),"期限超過",IF(G1713=TODAY(),"今日まで","予定")))))</f>
        <v/>
      </c>
      <c r="K1713" s="22" t="n"/>
      <c r="L1713" s="26" t="n"/>
    </row>
    <row r="1714">
      <c r="A1714" s="11" t="n"/>
      <c r="B1714" s="11" t="n"/>
      <c r="C1714" s="10" t="n"/>
      <c r="D1714" s="11" t="n"/>
      <c r="E1714" s="10" t="n"/>
      <c r="F1714" s="22" t="n"/>
      <c r="G1714" s="24" t="n"/>
      <c r="H1714" s="23" t="n"/>
      <c r="I1714" s="25" t="n"/>
      <c r="J1714" s="10">
        <f>IF(D1714="","",IF(H1714="✓","完了",IF(G1714="","",IF(G1714&lt;TODAY(),"期限超過",IF(G1714=TODAY(),"今日まで","予定")))))</f>
        <v/>
      </c>
      <c r="K1714" s="22" t="n"/>
      <c r="L1714" s="26" t="n"/>
    </row>
    <row r="1715">
      <c r="A1715" s="11" t="n"/>
      <c r="B1715" s="11" t="n"/>
      <c r="C1715" s="10" t="n"/>
      <c r="D1715" s="11" t="n"/>
      <c r="E1715" s="10" t="n"/>
      <c r="F1715" s="22" t="n"/>
      <c r="G1715" s="24" t="n"/>
      <c r="H1715" s="23" t="n"/>
      <c r="I1715" s="25" t="n"/>
      <c r="J1715" s="10">
        <f>IF(D1715="","",IF(H1715="✓","完了",IF(G1715="","",IF(G1715&lt;TODAY(),"期限超過",IF(G1715=TODAY(),"今日まで","予定")))))</f>
        <v/>
      </c>
      <c r="K1715" s="22" t="n"/>
      <c r="L1715" s="26" t="n"/>
    </row>
    <row r="1716">
      <c r="A1716" s="11" t="n"/>
      <c r="B1716" s="11" t="n"/>
      <c r="C1716" s="10" t="n"/>
      <c r="D1716" s="11" t="n"/>
      <c r="E1716" s="10" t="n"/>
      <c r="F1716" s="22" t="n"/>
      <c r="G1716" s="24" t="n"/>
      <c r="H1716" s="23" t="n"/>
      <c r="I1716" s="25" t="n"/>
      <c r="J1716" s="10">
        <f>IF(D1716="","",IF(H1716="✓","完了",IF(G1716="","",IF(G1716&lt;TODAY(),"期限超過",IF(G1716=TODAY(),"今日まで","予定")))))</f>
        <v/>
      </c>
      <c r="K1716" s="22" t="n"/>
      <c r="L1716" s="26" t="n"/>
    </row>
    <row r="1717">
      <c r="A1717" s="11" t="n"/>
      <c r="B1717" s="11" t="n"/>
      <c r="C1717" s="10" t="n"/>
      <c r="D1717" s="11" t="n"/>
      <c r="E1717" s="10" t="n"/>
      <c r="F1717" s="22" t="n"/>
      <c r="G1717" s="24" t="n"/>
      <c r="H1717" s="23" t="n"/>
      <c r="I1717" s="25" t="n"/>
      <c r="J1717" s="10">
        <f>IF(D1717="","",IF(H1717="✓","完了",IF(G1717="","",IF(G1717&lt;TODAY(),"期限超過",IF(G1717=TODAY(),"今日まで","予定")))))</f>
        <v/>
      </c>
      <c r="K1717" s="22" t="n"/>
      <c r="L1717" s="26" t="n"/>
    </row>
    <row r="1718">
      <c r="A1718" s="11" t="n"/>
      <c r="B1718" s="11" t="n"/>
      <c r="C1718" s="10" t="n"/>
      <c r="D1718" s="11" t="n"/>
      <c r="E1718" s="10" t="n"/>
      <c r="F1718" s="22" t="n"/>
      <c r="G1718" s="24" t="n"/>
      <c r="H1718" s="23" t="n"/>
      <c r="I1718" s="25" t="n"/>
      <c r="J1718" s="10">
        <f>IF(D1718="","",IF(H1718="✓","完了",IF(G1718="","",IF(G1718&lt;TODAY(),"期限超過",IF(G1718=TODAY(),"今日まで","予定")))))</f>
        <v/>
      </c>
      <c r="K1718" s="22" t="n"/>
      <c r="L1718" s="26" t="n"/>
    </row>
    <row r="1719">
      <c r="A1719" s="11" t="n"/>
      <c r="B1719" s="11" t="n"/>
      <c r="C1719" s="10" t="n"/>
      <c r="D1719" s="11" t="n"/>
      <c r="E1719" s="10" t="n"/>
      <c r="F1719" s="22" t="n"/>
      <c r="G1719" s="24" t="n"/>
      <c r="H1719" s="23" t="n"/>
      <c r="I1719" s="25" t="n"/>
      <c r="J1719" s="10">
        <f>IF(D1719="","",IF(H1719="✓","完了",IF(G1719="","",IF(G1719&lt;TODAY(),"期限超過",IF(G1719=TODAY(),"今日まで","予定")))))</f>
        <v/>
      </c>
      <c r="K1719" s="22" t="n"/>
      <c r="L1719" s="26" t="n"/>
    </row>
    <row r="1720">
      <c r="A1720" s="11" t="n"/>
      <c r="B1720" s="11" t="n"/>
      <c r="C1720" s="10" t="n"/>
      <c r="D1720" s="11" t="n"/>
      <c r="E1720" s="10" t="n"/>
      <c r="F1720" s="22" t="n"/>
      <c r="G1720" s="24" t="n"/>
      <c r="H1720" s="23" t="n"/>
      <c r="I1720" s="25" t="n"/>
      <c r="J1720" s="10">
        <f>IF(D1720="","",IF(H1720="✓","完了",IF(G1720="","",IF(G1720&lt;TODAY(),"期限超過",IF(G1720=TODAY(),"今日まで","予定")))))</f>
        <v/>
      </c>
      <c r="K1720" s="22" t="n"/>
      <c r="L1720" s="26" t="n"/>
    </row>
    <row r="1721">
      <c r="A1721" s="11" t="n"/>
      <c r="B1721" s="11" t="n"/>
      <c r="C1721" s="10" t="n"/>
      <c r="D1721" s="11" t="n"/>
      <c r="E1721" s="10" t="n"/>
      <c r="F1721" s="22" t="n"/>
      <c r="G1721" s="24" t="n"/>
      <c r="H1721" s="23" t="n"/>
      <c r="I1721" s="25" t="n"/>
      <c r="J1721" s="10">
        <f>IF(D1721="","",IF(H1721="✓","完了",IF(G1721="","",IF(G1721&lt;TODAY(),"期限超過",IF(G1721=TODAY(),"今日まで","予定")))))</f>
        <v/>
      </c>
      <c r="K1721" s="22" t="n"/>
      <c r="L1721" s="26" t="n"/>
    </row>
    <row r="1722">
      <c r="A1722" s="11" t="n"/>
      <c r="B1722" s="11" t="n"/>
      <c r="C1722" s="10" t="n"/>
      <c r="D1722" s="11" t="n"/>
      <c r="E1722" s="10" t="n"/>
      <c r="F1722" s="22" t="n"/>
      <c r="G1722" s="24" t="n"/>
      <c r="H1722" s="23" t="n"/>
      <c r="I1722" s="25" t="n"/>
      <c r="J1722" s="10">
        <f>IF(D1722="","",IF(H1722="✓","完了",IF(G1722="","",IF(G1722&lt;TODAY(),"期限超過",IF(G1722=TODAY(),"今日まで","予定")))))</f>
        <v/>
      </c>
      <c r="K1722" s="22" t="n"/>
      <c r="L1722" s="26" t="n"/>
    </row>
    <row r="1723">
      <c r="A1723" s="11" t="n"/>
      <c r="B1723" s="11" t="n"/>
      <c r="C1723" s="10" t="n"/>
      <c r="D1723" s="11" t="n"/>
      <c r="E1723" s="10" t="n"/>
      <c r="F1723" s="22" t="n"/>
      <c r="G1723" s="24" t="n"/>
      <c r="H1723" s="23" t="n"/>
      <c r="I1723" s="25" t="n"/>
      <c r="J1723" s="10">
        <f>IF(D1723="","",IF(H1723="✓","完了",IF(G1723="","",IF(G1723&lt;TODAY(),"期限超過",IF(G1723=TODAY(),"今日まで","予定")))))</f>
        <v/>
      </c>
      <c r="K1723" s="22" t="n"/>
      <c r="L1723" s="26" t="n"/>
    </row>
    <row r="1724">
      <c r="A1724" s="11" t="n"/>
      <c r="B1724" s="11" t="n"/>
      <c r="C1724" s="10" t="n"/>
      <c r="D1724" s="11" t="n"/>
      <c r="E1724" s="10" t="n"/>
      <c r="F1724" s="22" t="n"/>
      <c r="G1724" s="24" t="n"/>
      <c r="H1724" s="23" t="n"/>
      <c r="I1724" s="25" t="n"/>
      <c r="J1724" s="10">
        <f>IF(D1724="","",IF(H1724="✓","完了",IF(G1724="","",IF(G1724&lt;TODAY(),"期限超過",IF(G1724=TODAY(),"今日まで","予定")))))</f>
        <v/>
      </c>
      <c r="K1724" s="22" t="n"/>
      <c r="L1724" s="26" t="n"/>
    </row>
    <row r="1725">
      <c r="A1725" s="11" t="n"/>
      <c r="B1725" s="11" t="n"/>
      <c r="C1725" s="10" t="n"/>
      <c r="D1725" s="11" t="n"/>
      <c r="E1725" s="10" t="n"/>
      <c r="F1725" s="22" t="n"/>
      <c r="G1725" s="24" t="n"/>
      <c r="H1725" s="23" t="n"/>
      <c r="I1725" s="25" t="n"/>
      <c r="J1725" s="10">
        <f>IF(D1725="","",IF(H1725="✓","完了",IF(G1725="","",IF(G1725&lt;TODAY(),"期限超過",IF(G1725=TODAY(),"今日まで","予定")))))</f>
        <v/>
      </c>
      <c r="K1725" s="22" t="n"/>
      <c r="L1725" s="26" t="n"/>
    </row>
    <row r="1726">
      <c r="A1726" s="11" t="n"/>
      <c r="B1726" s="11" t="n"/>
      <c r="C1726" s="10" t="n"/>
      <c r="D1726" s="11" t="n"/>
      <c r="E1726" s="10" t="n"/>
      <c r="F1726" s="22" t="n"/>
      <c r="G1726" s="24" t="n"/>
      <c r="H1726" s="23" t="n"/>
      <c r="I1726" s="25" t="n"/>
      <c r="J1726" s="10">
        <f>IF(D1726="","",IF(H1726="✓","完了",IF(G1726="","",IF(G1726&lt;TODAY(),"期限超過",IF(G1726=TODAY(),"今日まで","予定")))))</f>
        <v/>
      </c>
      <c r="K1726" s="22" t="n"/>
      <c r="L1726" s="26" t="n"/>
    </row>
    <row r="1727">
      <c r="A1727" s="11" t="n"/>
      <c r="B1727" s="11" t="n"/>
      <c r="C1727" s="10" t="n"/>
      <c r="D1727" s="11" t="n"/>
      <c r="E1727" s="10" t="n"/>
      <c r="F1727" s="22" t="n"/>
      <c r="G1727" s="24" t="n"/>
      <c r="H1727" s="23" t="n"/>
      <c r="I1727" s="25" t="n"/>
      <c r="J1727" s="10">
        <f>IF(D1727="","",IF(H1727="✓","完了",IF(G1727="","",IF(G1727&lt;TODAY(),"期限超過",IF(G1727=TODAY(),"今日まで","予定")))))</f>
        <v/>
      </c>
      <c r="K1727" s="22" t="n"/>
      <c r="L1727" s="26" t="n"/>
    </row>
    <row r="1728">
      <c r="A1728" s="11" t="n"/>
      <c r="B1728" s="11" t="n"/>
      <c r="C1728" s="10" t="n"/>
      <c r="D1728" s="11" t="n"/>
      <c r="E1728" s="10" t="n"/>
      <c r="F1728" s="22" t="n"/>
      <c r="G1728" s="24" t="n"/>
      <c r="H1728" s="23" t="n"/>
      <c r="I1728" s="25" t="n"/>
      <c r="J1728" s="10">
        <f>IF(D1728="","",IF(H1728="✓","完了",IF(G1728="","",IF(G1728&lt;TODAY(),"期限超過",IF(G1728=TODAY(),"今日まで","予定")))))</f>
        <v/>
      </c>
      <c r="K1728" s="22" t="n"/>
      <c r="L1728" s="26" t="n"/>
    </row>
    <row r="1729">
      <c r="A1729" s="11" t="n"/>
      <c r="B1729" s="11" t="n"/>
      <c r="C1729" s="10" t="n"/>
      <c r="D1729" s="11" t="n"/>
      <c r="E1729" s="10" t="n"/>
      <c r="F1729" s="22" t="n"/>
      <c r="G1729" s="24" t="n"/>
      <c r="H1729" s="23" t="n"/>
      <c r="I1729" s="25" t="n"/>
      <c r="J1729" s="10">
        <f>IF(D1729="","",IF(H1729="✓","完了",IF(G1729="","",IF(G1729&lt;TODAY(),"期限超過",IF(G1729=TODAY(),"今日まで","予定")))))</f>
        <v/>
      </c>
      <c r="K1729" s="22" t="n"/>
      <c r="L1729" s="26" t="n"/>
    </row>
    <row r="1730">
      <c r="A1730" s="11" t="n"/>
      <c r="B1730" s="11" t="n"/>
      <c r="C1730" s="10" t="n"/>
      <c r="D1730" s="11" t="n"/>
      <c r="E1730" s="10" t="n"/>
      <c r="F1730" s="22" t="n"/>
      <c r="G1730" s="24" t="n"/>
      <c r="H1730" s="23" t="n"/>
      <c r="I1730" s="25" t="n"/>
      <c r="J1730" s="10">
        <f>IF(D1730="","",IF(H1730="✓","完了",IF(G1730="","",IF(G1730&lt;TODAY(),"期限超過",IF(G1730=TODAY(),"今日まで","予定")))))</f>
        <v/>
      </c>
      <c r="K1730" s="22" t="n"/>
      <c r="L1730" s="26" t="n"/>
    </row>
    <row r="1731">
      <c r="A1731" s="11" t="n"/>
      <c r="B1731" s="11" t="n"/>
      <c r="C1731" s="10" t="n"/>
      <c r="D1731" s="11" t="n"/>
      <c r="E1731" s="10" t="n"/>
      <c r="F1731" s="22" t="n"/>
      <c r="G1731" s="24" t="n"/>
      <c r="H1731" s="23" t="n"/>
      <c r="I1731" s="25" t="n"/>
      <c r="J1731" s="10">
        <f>IF(D1731="","",IF(H1731="✓","完了",IF(G1731="","",IF(G1731&lt;TODAY(),"期限超過",IF(G1731=TODAY(),"今日まで","予定")))))</f>
        <v/>
      </c>
      <c r="K1731" s="22" t="n"/>
      <c r="L1731" s="26" t="n"/>
    </row>
    <row r="1732">
      <c r="A1732" s="11" t="n"/>
      <c r="B1732" s="11" t="n"/>
      <c r="C1732" s="10" t="n"/>
      <c r="D1732" s="11" t="n"/>
      <c r="E1732" s="10" t="n"/>
      <c r="F1732" s="22" t="n"/>
      <c r="G1732" s="24" t="n"/>
      <c r="H1732" s="23" t="n"/>
      <c r="I1732" s="25" t="n"/>
      <c r="J1732" s="10">
        <f>IF(D1732="","",IF(H1732="✓","完了",IF(G1732="","",IF(G1732&lt;TODAY(),"期限超過",IF(G1732=TODAY(),"今日まで","予定")))))</f>
        <v/>
      </c>
      <c r="K1732" s="22" t="n"/>
      <c r="L1732" s="26" t="n"/>
    </row>
    <row r="1733">
      <c r="A1733" s="11" t="n"/>
      <c r="B1733" s="11" t="n"/>
      <c r="C1733" s="10" t="n"/>
      <c r="D1733" s="11" t="n"/>
      <c r="E1733" s="10" t="n"/>
      <c r="F1733" s="22" t="n"/>
      <c r="G1733" s="24" t="n"/>
      <c r="H1733" s="23" t="n"/>
      <c r="I1733" s="25" t="n"/>
      <c r="J1733" s="10">
        <f>IF(D1733="","",IF(H1733="✓","完了",IF(G1733="","",IF(G1733&lt;TODAY(),"期限超過",IF(G1733=TODAY(),"今日まで","予定")))))</f>
        <v/>
      </c>
      <c r="K1733" s="22" t="n"/>
      <c r="L1733" s="26" t="n"/>
    </row>
    <row r="1734">
      <c r="A1734" s="11" t="n"/>
      <c r="B1734" s="11" t="n"/>
      <c r="C1734" s="10" t="n"/>
      <c r="D1734" s="11" t="n"/>
      <c r="E1734" s="10" t="n"/>
      <c r="F1734" s="22" t="n"/>
      <c r="G1734" s="24" t="n"/>
      <c r="H1734" s="23" t="n"/>
      <c r="I1734" s="25" t="n"/>
      <c r="J1734" s="10">
        <f>IF(D1734="","",IF(H1734="✓","完了",IF(G1734="","",IF(G1734&lt;TODAY(),"期限超過",IF(G1734=TODAY(),"今日まで","予定")))))</f>
        <v/>
      </c>
      <c r="K1734" s="22" t="n"/>
      <c r="L1734" s="26" t="n"/>
    </row>
    <row r="1735">
      <c r="A1735" s="11" t="n"/>
      <c r="B1735" s="11" t="n"/>
      <c r="C1735" s="10" t="n"/>
      <c r="D1735" s="11" t="n"/>
      <c r="E1735" s="10" t="n"/>
      <c r="F1735" s="22" t="n"/>
      <c r="G1735" s="24" t="n"/>
      <c r="H1735" s="23" t="n"/>
      <c r="I1735" s="25" t="n"/>
      <c r="J1735" s="10">
        <f>IF(D1735="","",IF(H1735="✓","完了",IF(G1735="","",IF(G1735&lt;TODAY(),"期限超過",IF(G1735=TODAY(),"今日まで","予定")))))</f>
        <v/>
      </c>
      <c r="K1735" s="22" t="n"/>
      <c r="L1735" s="26" t="n"/>
    </row>
    <row r="1736">
      <c r="A1736" s="11" t="n"/>
      <c r="B1736" s="11" t="n"/>
      <c r="C1736" s="10" t="n"/>
      <c r="D1736" s="11" t="n"/>
      <c r="E1736" s="10" t="n"/>
      <c r="F1736" s="22" t="n"/>
      <c r="G1736" s="24" t="n"/>
      <c r="H1736" s="23" t="n"/>
      <c r="I1736" s="25" t="n"/>
      <c r="J1736" s="10">
        <f>IF(D1736="","",IF(H1736="✓","完了",IF(G1736="","",IF(G1736&lt;TODAY(),"期限超過",IF(G1736=TODAY(),"今日まで","予定")))))</f>
        <v/>
      </c>
      <c r="K1736" s="22" t="n"/>
      <c r="L1736" s="26" t="n"/>
    </row>
    <row r="1737">
      <c r="A1737" s="11" t="n"/>
      <c r="B1737" s="11" t="n"/>
      <c r="C1737" s="10" t="n"/>
      <c r="D1737" s="11" t="n"/>
      <c r="E1737" s="10" t="n"/>
      <c r="F1737" s="22" t="n"/>
      <c r="G1737" s="24" t="n"/>
      <c r="H1737" s="23" t="n"/>
      <c r="I1737" s="25" t="n"/>
      <c r="J1737" s="10">
        <f>IF(D1737="","",IF(H1737="✓","完了",IF(G1737="","",IF(G1737&lt;TODAY(),"期限超過",IF(G1737=TODAY(),"今日まで","予定")))))</f>
        <v/>
      </c>
      <c r="K1737" s="22" t="n"/>
      <c r="L1737" s="26" t="n"/>
    </row>
    <row r="1738">
      <c r="A1738" s="11" t="n"/>
      <c r="B1738" s="11" t="n"/>
      <c r="C1738" s="10" t="n"/>
      <c r="D1738" s="11" t="n"/>
      <c r="E1738" s="10" t="n"/>
      <c r="F1738" s="22" t="n"/>
      <c r="G1738" s="24" t="n"/>
      <c r="H1738" s="23" t="n"/>
      <c r="I1738" s="25" t="n"/>
      <c r="J1738" s="10">
        <f>IF(D1738="","",IF(H1738="✓","完了",IF(G1738="","",IF(G1738&lt;TODAY(),"期限超過",IF(G1738=TODAY(),"今日まで","予定")))))</f>
        <v/>
      </c>
      <c r="K1738" s="22" t="n"/>
      <c r="L1738" s="26" t="n"/>
    </row>
    <row r="1739">
      <c r="A1739" s="11" t="n"/>
      <c r="B1739" s="11" t="n"/>
      <c r="C1739" s="10" t="n"/>
      <c r="D1739" s="11" t="n"/>
      <c r="E1739" s="10" t="n"/>
      <c r="F1739" s="22" t="n"/>
      <c r="G1739" s="24" t="n"/>
      <c r="H1739" s="23" t="n"/>
      <c r="I1739" s="25" t="n"/>
      <c r="J1739" s="10">
        <f>IF(D1739="","",IF(H1739="✓","完了",IF(G1739="","",IF(G1739&lt;TODAY(),"期限超過",IF(G1739=TODAY(),"今日まで","予定")))))</f>
        <v/>
      </c>
      <c r="K1739" s="22" t="n"/>
      <c r="L1739" s="26" t="n"/>
    </row>
    <row r="1740">
      <c r="A1740" s="11" t="n"/>
      <c r="B1740" s="11" t="n"/>
      <c r="C1740" s="10" t="n"/>
      <c r="D1740" s="11" t="n"/>
      <c r="E1740" s="10" t="n"/>
      <c r="F1740" s="22" t="n"/>
      <c r="G1740" s="24" t="n"/>
      <c r="H1740" s="23" t="n"/>
      <c r="I1740" s="25" t="n"/>
      <c r="J1740" s="10">
        <f>IF(D1740="","",IF(H1740="✓","完了",IF(G1740="","",IF(G1740&lt;TODAY(),"期限超過",IF(G1740=TODAY(),"今日まで","予定")))))</f>
        <v/>
      </c>
      <c r="K1740" s="22" t="n"/>
      <c r="L1740" s="26" t="n"/>
    </row>
    <row r="1741">
      <c r="A1741" s="11" t="n"/>
      <c r="B1741" s="11" t="n"/>
      <c r="C1741" s="10" t="n"/>
      <c r="D1741" s="11" t="n"/>
      <c r="E1741" s="10" t="n"/>
      <c r="F1741" s="22" t="n"/>
      <c r="G1741" s="24" t="n"/>
      <c r="H1741" s="23" t="n"/>
      <c r="I1741" s="25" t="n"/>
      <c r="J1741" s="10">
        <f>IF(D1741="","",IF(H1741="✓","完了",IF(G1741="","",IF(G1741&lt;TODAY(),"期限超過",IF(G1741=TODAY(),"今日まで","予定")))))</f>
        <v/>
      </c>
      <c r="K1741" s="22" t="n"/>
      <c r="L1741" s="26" t="n"/>
    </row>
    <row r="1742">
      <c r="A1742" s="11" t="n"/>
      <c r="B1742" s="11" t="n"/>
      <c r="C1742" s="10" t="n"/>
      <c r="D1742" s="11" t="n"/>
      <c r="E1742" s="10" t="n"/>
      <c r="F1742" s="22" t="n"/>
      <c r="G1742" s="24" t="n"/>
      <c r="H1742" s="23" t="n"/>
      <c r="I1742" s="25" t="n"/>
      <c r="J1742" s="10">
        <f>IF(D1742="","",IF(H1742="✓","完了",IF(G1742="","",IF(G1742&lt;TODAY(),"期限超過",IF(G1742=TODAY(),"今日まで","予定")))))</f>
        <v/>
      </c>
      <c r="K1742" s="22" t="n"/>
      <c r="L1742" s="26" t="n"/>
    </row>
    <row r="1743">
      <c r="A1743" s="11" t="n"/>
      <c r="B1743" s="11" t="n"/>
      <c r="C1743" s="10" t="n"/>
      <c r="D1743" s="11" t="n"/>
      <c r="E1743" s="10" t="n"/>
      <c r="F1743" s="22" t="n"/>
      <c r="G1743" s="24" t="n"/>
      <c r="H1743" s="23" t="n"/>
      <c r="I1743" s="25" t="n"/>
      <c r="J1743" s="10">
        <f>IF(D1743="","",IF(H1743="✓","完了",IF(G1743="","",IF(G1743&lt;TODAY(),"期限超過",IF(G1743=TODAY(),"今日まで","予定")))))</f>
        <v/>
      </c>
      <c r="K1743" s="22" t="n"/>
      <c r="L1743" s="26" t="n"/>
    </row>
    <row r="1744">
      <c r="A1744" s="11" t="n"/>
      <c r="B1744" s="11" t="n"/>
      <c r="C1744" s="10" t="n"/>
      <c r="D1744" s="11" t="n"/>
      <c r="E1744" s="10" t="n"/>
      <c r="F1744" s="22" t="n"/>
      <c r="G1744" s="24" t="n"/>
      <c r="H1744" s="23" t="n"/>
      <c r="I1744" s="25" t="n"/>
      <c r="J1744" s="10">
        <f>IF(D1744="","",IF(H1744="✓","完了",IF(G1744="","",IF(G1744&lt;TODAY(),"期限超過",IF(G1744=TODAY(),"今日まで","予定")))))</f>
        <v/>
      </c>
      <c r="K1744" s="22" t="n"/>
      <c r="L1744" s="26" t="n"/>
    </row>
    <row r="1745">
      <c r="A1745" s="11" t="n"/>
      <c r="B1745" s="11" t="n"/>
      <c r="C1745" s="10" t="n"/>
      <c r="D1745" s="11" t="n"/>
      <c r="E1745" s="10" t="n"/>
      <c r="F1745" s="22" t="n"/>
      <c r="G1745" s="24" t="n"/>
      <c r="H1745" s="23" t="n"/>
      <c r="I1745" s="25" t="n"/>
      <c r="J1745" s="10">
        <f>IF(D1745="","",IF(H1745="✓","完了",IF(G1745="","",IF(G1745&lt;TODAY(),"期限超過",IF(G1745=TODAY(),"今日まで","予定")))))</f>
        <v/>
      </c>
      <c r="K1745" s="22" t="n"/>
      <c r="L1745" s="26" t="n"/>
    </row>
    <row r="1746">
      <c r="A1746" s="11" t="n"/>
      <c r="B1746" s="11" t="n"/>
      <c r="C1746" s="10" t="n"/>
      <c r="D1746" s="11" t="n"/>
      <c r="E1746" s="10" t="n"/>
      <c r="F1746" s="22" t="n"/>
      <c r="G1746" s="24" t="n"/>
      <c r="H1746" s="23" t="n"/>
      <c r="I1746" s="25" t="n"/>
      <c r="J1746" s="10">
        <f>IF(D1746="","",IF(H1746="✓","完了",IF(G1746="","",IF(G1746&lt;TODAY(),"期限超過",IF(G1746=TODAY(),"今日まで","予定")))))</f>
        <v/>
      </c>
      <c r="K1746" s="22" t="n"/>
      <c r="L1746" s="26" t="n"/>
    </row>
    <row r="1747">
      <c r="A1747" s="11" t="n"/>
      <c r="B1747" s="11" t="n"/>
      <c r="C1747" s="10" t="n"/>
      <c r="D1747" s="11" t="n"/>
      <c r="E1747" s="10" t="n"/>
      <c r="F1747" s="22" t="n"/>
      <c r="G1747" s="24" t="n"/>
      <c r="H1747" s="23" t="n"/>
      <c r="I1747" s="25" t="n"/>
      <c r="J1747" s="10">
        <f>IF(D1747="","",IF(H1747="✓","完了",IF(G1747="","",IF(G1747&lt;TODAY(),"期限超過",IF(G1747=TODAY(),"今日まで","予定")))))</f>
        <v/>
      </c>
      <c r="K1747" s="22" t="n"/>
      <c r="L1747" s="26" t="n"/>
    </row>
    <row r="1748">
      <c r="A1748" s="11" t="n"/>
      <c r="B1748" s="11" t="n"/>
      <c r="C1748" s="10" t="n"/>
      <c r="D1748" s="11" t="n"/>
      <c r="E1748" s="10" t="n"/>
      <c r="F1748" s="22" t="n"/>
      <c r="G1748" s="24" t="n"/>
      <c r="H1748" s="23" t="n"/>
      <c r="I1748" s="25" t="n"/>
      <c r="J1748" s="10">
        <f>IF(D1748="","",IF(H1748="✓","完了",IF(G1748="","",IF(G1748&lt;TODAY(),"期限超過",IF(G1748=TODAY(),"今日まで","予定")))))</f>
        <v/>
      </c>
      <c r="K1748" s="22" t="n"/>
      <c r="L1748" s="26" t="n"/>
    </row>
    <row r="1749">
      <c r="A1749" s="11" t="n"/>
      <c r="B1749" s="11" t="n"/>
      <c r="C1749" s="10" t="n"/>
      <c r="D1749" s="11" t="n"/>
      <c r="E1749" s="10" t="n"/>
      <c r="F1749" s="22" t="n"/>
      <c r="G1749" s="24" t="n"/>
      <c r="H1749" s="23" t="n"/>
      <c r="I1749" s="25" t="n"/>
      <c r="J1749" s="10">
        <f>IF(D1749="","",IF(H1749="✓","完了",IF(G1749="","",IF(G1749&lt;TODAY(),"期限超過",IF(G1749=TODAY(),"今日まで","予定")))))</f>
        <v/>
      </c>
      <c r="K1749" s="22" t="n"/>
      <c r="L1749" s="26" t="n"/>
    </row>
    <row r="1750">
      <c r="A1750" s="11" t="n"/>
      <c r="B1750" s="11" t="n"/>
      <c r="C1750" s="10" t="n"/>
      <c r="D1750" s="11" t="n"/>
      <c r="E1750" s="10" t="n"/>
      <c r="F1750" s="22" t="n"/>
      <c r="G1750" s="24" t="n"/>
      <c r="H1750" s="23" t="n"/>
      <c r="I1750" s="25" t="n"/>
      <c r="J1750" s="10">
        <f>IF(D1750="","",IF(H1750="✓","完了",IF(G1750="","",IF(G1750&lt;TODAY(),"期限超過",IF(G1750=TODAY(),"今日まで","予定")))))</f>
        <v/>
      </c>
      <c r="K1750" s="22" t="n"/>
      <c r="L1750" s="26" t="n"/>
    </row>
    <row r="1751">
      <c r="A1751" s="11" t="n"/>
      <c r="B1751" s="11" t="n"/>
      <c r="C1751" s="10" t="n"/>
      <c r="D1751" s="11" t="n"/>
      <c r="E1751" s="10" t="n"/>
      <c r="F1751" s="22" t="n"/>
      <c r="G1751" s="24" t="n"/>
      <c r="H1751" s="23" t="n"/>
      <c r="I1751" s="25" t="n"/>
      <c r="J1751" s="10">
        <f>IF(D1751="","",IF(H1751="✓","完了",IF(G1751="","",IF(G1751&lt;TODAY(),"期限超過",IF(G1751=TODAY(),"今日まで","予定")))))</f>
        <v/>
      </c>
      <c r="K1751" s="22" t="n"/>
      <c r="L1751" s="26" t="n"/>
    </row>
    <row r="1752">
      <c r="A1752" s="11" t="n"/>
      <c r="B1752" s="11" t="n"/>
      <c r="C1752" s="10" t="n"/>
      <c r="D1752" s="11" t="n"/>
      <c r="E1752" s="10" t="n"/>
      <c r="F1752" s="22" t="n"/>
      <c r="G1752" s="24" t="n"/>
      <c r="H1752" s="23" t="n"/>
      <c r="I1752" s="25" t="n"/>
      <c r="J1752" s="10">
        <f>IF(D1752="","",IF(H1752="✓","完了",IF(G1752="","",IF(G1752&lt;TODAY(),"期限超過",IF(G1752=TODAY(),"今日まで","予定")))))</f>
        <v/>
      </c>
      <c r="K1752" s="22" t="n"/>
      <c r="L1752" s="26" t="n"/>
    </row>
    <row r="1753">
      <c r="A1753" s="11" t="n"/>
      <c r="B1753" s="11" t="n"/>
      <c r="C1753" s="10" t="n"/>
      <c r="D1753" s="11" t="n"/>
      <c r="E1753" s="10" t="n"/>
      <c r="F1753" s="22" t="n"/>
      <c r="G1753" s="24" t="n"/>
      <c r="H1753" s="23" t="n"/>
      <c r="I1753" s="25" t="n"/>
      <c r="J1753" s="10">
        <f>IF(D1753="","",IF(H1753="✓","完了",IF(G1753="","",IF(G1753&lt;TODAY(),"期限超過",IF(G1753=TODAY(),"今日まで","予定")))))</f>
        <v/>
      </c>
      <c r="K1753" s="22" t="n"/>
      <c r="L1753" s="26" t="n"/>
    </row>
    <row r="1754">
      <c r="A1754" s="11" t="n"/>
      <c r="B1754" s="11" t="n"/>
      <c r="C1754" s="10" t="n"/>
      <c r="D1754" s="11" t="n"/>
      <c r="E1754" s="10" t="n"/>
      <c r="F1754" s="22" t="n"/>
      <c r="G1754" s="24" t="n"/>
      <c r="H1754" s="23" t="n"/>
      <c r="I1754" s="25" t="n"/>
      <c r="J1754" s="10">
        <f>IF(D1754="","",IF(H1754="✓","完了",IF(G1754="","",IF(G1754&lt;TODAY(),"期限超過",IF(G1754=TODAY(),"今日まで","予定")))))</f>
        <v/>
      </c>
      <c r="K1754" s="22" t="n"/>
      <c r="L1754" s="26" t="n"/>
    </row>
    <row r="1755">
      <c r="A1755" s="11" t="n"/>
      <c r="B1755" s="11" t="n"/>
      <c r="C1755" s="10" t="n"/>
      <c r="D1755" s="11" t="n"/>
      <c r="E1755" s="10" t="n"/>
      <c r="F1755" s="22" t="n"/>
      <c r="G1755" s="24" t="n"/>
      <c r="H1755" s="23" t="n"/>
      <c r="I1755" s="25" t="n"/>
      <c r="J1755" s="10">
        <f>IF(D1755="","",IF(H1755="✓","完了",IF(G1755="","",IF(G1755&lt;TODAY(),"期限超過",IF(G1755=TODAY(),"今日まで","予定")))))</f>
        <v/>
      </c>
      <c r="K1755" s="22" t="n"/>
      <c r="L1755" s="26" t="n"/>
    </row>
    <row r="1756">
      <c r="A1756" s="11" t="n"/>
      <c r="B1756" s="11" t="n"/>
      <c r="C1756" s="10" t="n"/>
      <c r="D1756" s="11" t="n"/>
      <c r="E1756" s="10" t="n"/>
      <c r="F1756" s="22" t="n"/>
      <c r="G1756" s="24" t="n"/>
      <c r="H1756" s="23" t="n"/>
      <c r="I1756" s="25" t="n"/>
      <c r="J1756" s="10">
        <f>IF(D1756="","",IF(H1756="✓","完了",IF(G1756="","",IF(G1756&lt;TODAY(),"期限超過",IF(G1756=TODAY(),"今日まで","予定")))))</f>
        <v/>
      </c>
      <c r="K1756" s="22" t="n"/>
      <c r="L1756" s="26" t="n"/>
    </row>
    <row r="1757">
      <c r="A1757" s="11" t="n"/>
      <c r="B1757" s="11" t="n"/>
      <c r="C1757" s="10" t="n"/>
      <c r="D1757" s="11" t="n"/>
      <c r="E1757" s="10" t="n"/>
      <c r="F1757" s="22" t="n"/>
      <c r="G1757" s="24" t="n"/>
      <c r="H1757" s="23" t="n"/>
      <c r="I1757" s="25" t="n"/>
      <c r="J1757" s="10">
        <f>IF(D1757="","",IF(H1757="✓","完了",IF(G1757="","",IF(G1757&lt;TODAY(),"期限超過",IF(G1757=TODAY(),"今日まで","予定")))))</f>
        <v/>
      </c>
      <c r="K1757" s="22" t="n"/>
      <c r="L1757" s="26" t="n"/>
    </row>
    <row r="1758">
      <c r="A1758" s="11" t="n"/>
      <c r="B1758" s="11" t="n"/>
      <c r="C1758" s="10" t="n"/>
      <c r="D1758" s="11" t="n"/>
      <c r="E1758" s="10" t="n"/>
      <c r="F1758" s="22" t="n"/>
      <c r="G1758" s="24" t="n"/>
      <c r="H1758" s="23" t="n"/>
      <c r="I1758" s="25" t="n"/>
      <c r="J1758" s="10">
        <f>IF(D1758="","",IF(H1758="✓","完了",IF(G1758="","",IF(G1758&lt;TODAY(),"期限超過",IF(G1758=TODAY(),"今日まで","予定")))))</f>
        <v/>
      </c>
      <c r="K1758" s="22" t="n"/>
      <c r="L1758" s="26" t="n"/>
    </row>
    <row r="1759">
      <c r="A1759" s="11" t="n"/>
      <c r="B1759" s="11" t="n"/>
      <c r="C1759" s="10" t="n"/>
      <c r="D1759" s="11" t="n"/>
      <c r="E1759" s="10" t="n"/>
      <c r="F1759" s="22" t="n"/>
      <c r="G1759" s="24" t="n"/>
      <c r="H1759" s="23" t="n"/>
      <c r="I1759" s="25" t="n"/>
      <c r="J1759" s="10">
        <f>IF(D1759="","",IF(H1759="✓","完了",IF(G1759="","",IF(G1759&lt;TODAY(),"期限超過",IF(G1759=TODAY(),"今日まで","予定")))))</f>
        <v/>
      </c>
      <c r="K1759" s="22" t="n"/>
      <c r="L1759" s="26" t="n"/>
    </row>
    <row r="1760">
      <c r="A1760" s="11" t="n"/>
      <c r="B1760" s="11" t="n"/>
      <c r="C1760" s="10" t="n"/>
      <c r="D1760" s="11" t="n"/>
      <c r="E1760" s="10" t="n"/>
      <c r="F1760" s="22" t="n"/>
      <c r="G1760" s="24" t="n"/>
      <c r="H1760" s="23" t="n"/>
      <c r="I1760" s="25" t="n"/>
      <c r="J1760" s="10">
        <f>IF(D1760="","",IF(H1760="✓","完了",IF(G1760="","",IF(G1760&lt;TODAY(),"期限超過",IF(G1760=TODAY(),"今日まで","予定")))))</f>
        <v/>
      </c>
      <c r="K1760" s="22" t="n"/>
      <c r="L1760" s="26" t="n"/>
    </row>
    <row r="1761">
      <c r="A1761" s="11" t="n"/>
      <c r="B1761" s="11" t="n"/>
      <c r="C1761" s="10" t="n"/>
      <c r="D1761" s="11" t="n"/>
      <c r="E1761" s="10" t="n"/>
      <c r="F1761" s="22" t="n"/>
      <c r="G1761" s="24" t="n"/>
      <c r="H1761" s="23" t="n"/>
      <c r="I1761" s="25" t="n"/>
      <c r="J1761" s="10">
        <f>IF(D1761="","",IF(H1761="✓","完了",IF(G1761="","",IF(G1761&lt;TODAY(),"期限超過",IF(G1761=TODAY(),"今日まで","予定")))))</f>
        <v/>
      </c>
      <c r="K1761" s="22" t="n"/>
      <c r="L1761" s="26" t="n"/>
    </row>
    <row r="1762">
      <c r="A1762" s="11" t="n"/>
      <c r="B1762" s="11" t="n"/>
      <c r="C1762" s="10" t="n"/>
      <c r="D1762" s="11" t="n"/>
      <c r="E1762" s="10" t="n"/>
      <c r="F1762" s="22" t="n"/>
      <c r="G1762" s="24" t="n"/>
      <c r="H1762" s="23" t="n"/>
      <c r="I1762" s="25" t="n"/>
      <c r="J1762" s="10">
        <f>IF(D1762="","",IF(H1762="✓","完了",IF(G1762="","",IF(G1762&lt;TODAY(),"期限超過",IF(G1762=TODAY(),"今日まで","予定")))))</f>
        <v/>
      </c>
      <c r="K1762" s="22" t="n"/>
      <c r="L1762" s="26" t="n"/>
    </row>
    <row r="1763">
      <c r="A1763" s="11" t="n"/>
      <c r="B1763" s="11" t="n"/>
      <c r="C1763" s="10" t="n"/>
      <c r="D1763" s="11" t="n"/>
      <c r="E1763" s="10" t="n"/>
      <c r="F1763" s="22" t="n"/>
      <c r="G1763" s="24" t="n"/>
      <c r="H1763" s="23" t="n"/>
      <c r="I1763" s="25" t="n"/>
      <c r="J1763" s="10">
        <f>IF(D1763="","",IF(H1763="✓","完了",IF(G1763="","",IF(G1763&lt;TODAY(),"期限超過",IF(G1763=TODAY(),"今日まで","予定")))))</f>
        <v/>
      </c>
      <c r="K1763" s="22" t="n"/>
      <c r="L1763" s="26" t="n"/>
    </row>
    <row r="1764">
      <c r="A1764" s="11" t="n"/>
      <c r="B1764" s="11" t="n"/>
      <c r="C1764" s="10" t="n"/>
      <c r="D1764" s="11" t="n"/>
      <c r="E1764" s="10" t="n"/>
      <c r="F1764" s="22" t="n"/>
      <c r="G1764" s="24" t="n"/>
      <c r="H1764" s="23" t="n"/>
      <c r="I1764" s="25" t="n"/>
      <c r="J1764" s="10">
        <f>IF(D1764="","",IF(H1764="✓","完了",IF(G1764="","",IF(G1764&lt;TODAY(),"期限超過",IF(G1764=TODAY(),"今日まで","予定")))))</f>
        <v/>
      </c>
      <c r="K1764" s="22" t="n"/>
      <c r="L1764" s="26" t="n"/>
    </row>
    <row r="1765">
      <c r="A1765" s="11" t="n"/>
      <c r="B1765" s="11" t="n"/>
      <c r="C1765" s="10" t="n"/>
      <c r="D1765" s="11" t="n"/>
      <c r="E1765" s="10" t="n"/>
      <c r="F1765" s="22" t="n"/>
      <c r="G1765" s="24" t="n"/>
      <c r="H1765" s="23" t="n"/>
      <c r="I1765" s="25" t="n"/>
      <c r="J1765" s="10">
        <f>IF(D1765="","",IF(H1765="✓","完了",IF(G1765="","",IF(G1765&lt;TODAY(),"期限超過",IF(G1765=TODAY(),"今日まで","予定")))))</f>
        <v/>
      </c>
      <c r="K1765" s="22" t="n"/>
      <c r="L1765" s="26" t="n"/>
    </row>
    <row r="1766">
      <c r="A1766" s="11" t="n"/>
      <c r="B1766" s="11" t="n"/>
      <c r="C1766" s="10" t="n"/>
      <c r="D1766" s="11" t="n"/>
      <c r="E1766" s="10" t="n"/>
      <c r="F1766" s="22" t="n"/>
      <c r="G1766" s="24" t="n"/>
      <c r="H1766" s="23" t="n"/>
      <c r="I1766" s="25" t="n"/>
      <c r="J1766" s="10">
        <f>IF(D1766="","",IF(H1766="✓","完了",IF(G1766="","",IF(G1766&lt;TODAY(),"期限超過",IF(G1766=TODAY(),"今日まで","予定")))))</f>
        <v/>
      </c>
      <c r="K1766" s="22" t="n"/>
      <c r="L1766" s="26" t="n"/>
    </row>
    <row r="1767">
      <c r="A1767" s="11" t="n"/>
      <c r="B1767" s="11" t="n"/>
      <c r="C1767" s="10" t="n"/>
      <c r="D1767" s="11" t="n"/>
      <c r="E1767" s="10" t="n"/>
      <c r="F1767" s="22" t="n"/>
      <c r="G1767" s="24" t="n"/>
      <c r="H1767" s="23" t="n"/>
      <c r="I1767" s="25" t="n"/>
      <c r="J1767" s="10">
        <f>IF(D1767="","",IF(H1767="✓","完了",IF(G1767="","",IF(G1767&lt;TODAY(),"期限超過",IF(G1767=TODAY(),"今日まで","予定")))))</f>
        <v/>
      </c>
      <c r="K1767" s="22" t="n"/>
      <c r="L1767" s="26" t="n"/>
    </row>
    <row r="1768">
      <c r="A1768" s="11" t="n"/>
      <c r="B1768" s="11" t="n"/>
      <c r="C1768" s="10" t="n"/>
      <c r="D1768" s="11" t="n"/>
      <c r="E1768" s="10" t="n"/>
      <c r="F1768" s="22" t="n"/>
      <c r="G1768" s="24" t="n"/>
      <c r="H1768" s="23" t="n"/>
      <c r="I1768" s="25" t="n"/>
      <c r="J1768" s="10">
        <f>IF(D1768="","",IF(H1768="✓","完了",IF(G1768="","",IF(G1768&lt;TODAY(),"期限超過",IF(G1768=TODAY(),"今日まで","予定")))))</f>
        <v/>
      </c>
      <c r="K1768" s="22" t="n"/>
      <c r="L1768" s="26" t="n"/>
    </row>
    <row r="1769">
      <c r="A1769" s="11" t="n"/>
      <c r="B1769" s="11" t="n"/>
      <c r="C1769" s="10" t="n"/>
      <c r="D1769" s="11" t="n"/>
      <c r="E1769" s="10" t="n"/>
      <c r="F1769" s="22" t="n"/>
      <c r="G1769" s="24" t="n"/>
      <c r="H1769" s="23" t="n"/>
      <c r="I1769" s="25" t="n"/>
      <c r="J1769" s="10">
        <f>IF(D1769="","",IF(H1769="✓","完了",IF(G1769="","",IF(G1769&lt;TODAY(),"期限超過",IF(G1769=TODAY(),"今日まで","予定")))))</f>
        <v/>
      </c>
      <c r="K1769" s="22" t="n"/>
      <c r="L1769" s="26" t="n"/>
    </row>
    <row r="1770">
      <c r="A1770" s="11" t="n"/>
      <c r="B1770" s="11" t="n"/>
      <c r="C1770" s="10" t="n"/>
      <c r="D1770" s="11" t="n"/>
      <c r="E1770" s="10" t="n"/>
      <c r="F1770" s="22" t="n"/>
      <c r="G1770" s="24" t="n"/>
      <c r="H1770" s="23" t="n"/>
      <c r="I1770" s="25" t="n"/>
      <c r="J1770" s="10">
        <f>IF(D1770="","",IF(H1770="✓","完了",IF(G1770="","",IF(G1770&lt;TODAY(),"期限超過",IF(G1770=TODAY(),"今日まで","予定")))))</f>
        <v/>
      </c>
      <c r="K1770" s="22" t="n"/>
      <c r="L1770" s="26" t="n"/>
    </row>
    <row r="1771">
      <c r="A1771" s="11" t="n"/>
      <c r="B1771" s="11" t="n"/>
      <c r="C1771" s="10" t="n"/>
      <c r="D1771" s="11" t="n"/>
      <c r="E1771" s="10" t="n"/>
      <c r="F1771" s="22" t="n"/>
      <c r="G1771" s="24" t="n"/>
      <c r="H1771" s="23" t="n"/>
      <c r="I1771" s="25" t="n"/>
      <c r="J1771" s="10">
        <f>IF(D1771="","",IF(H1771="✓","完了",IF(G1771="","",IF(G1771&lt;TODAY(),"期限超過",IF(G1771=TODAY(),"今日まで","予定")))))</f>
        <v/>
      </c>
      <c r="K1771" s="22" t="n"/>
      <c r="L1771" s="26" t="n"/>
    </row>
    <row r="1772">
      <c r="A1772" s="11" t="n"/>
      <c r="B1772" s="11" t="n"/>
      <c r="C1772" s="10" t="n"/>
      <c r="D1772" s="11" t="n"/>
      <c r="E1772" s="10" t="n"/>
      <c r="F1772" s="22" t="n"/>
      <c r="G1772" s="24" t="n"/>
      <c r="H1772" s="23" t="n"/>
      <c r="I1772" s="25" t="n"/>
      <c r="J1772" s="10">
        <f>IF(D1772="","",IF(H1772="✓","完了",IF(G1772="","",IF(G1772&lt;TODAY(),"期限超過",IF(G1772=TODAY(),"今日まで","予定")))))</f>
        <v/>
      </c>
      <c r="K1772" s="22" t="n"/>
      <c r="L1772" s="26" t="n"/>
    </row>
    <row r="1773">
      <c r="A1773" s="11" t="n"/>
      <c r="B1773" s="11" t="n"/>
      <c r="C1773" s="10" t="n"/>
      <c r="D1773" s="11" t="n"/>
      <c r="E1773" s="10" t="n"/>
      <c r="F1773" s="22" t="n"/>
      <c r="G1773" s="24" t="n"/>
      <c r="H1773" s="23" t="n"/>
      <c r="I1773" s="25" t="n"/>
      <c r="J1773" s="10">
        <f>IF(D1773="","",IF(H1773="✓","完了",IF(G1773="","",IF(G1773&lt;TODAY(),"期限超過",IF(G1773=TODAY(),"今日まで","予定")))))</f>
        <v/>
      </c>
      <c r="K1773" s="22" t="n"/>
      <c r="L1773" s="26" t="n"/>
    </row>
    <row r="1774">
      <c r="A1774" s="11" t="n"/>
      <c r="B1774" s="11" t="n"/>
      <c r="C1774" s="10" t="n"/>
      <c r="D1774" s="11" t="n"/>
      <c r="E1774" s="10" t="n"/>
      <c r="F1774" s="22" t="n"/>
      <c r="G1774" s="24" t="n"/>
      <c r="H1774" s="23" t="n"/>
      <c r="I1774" s="25" t="n"/>
      <c r="J1774" s="10">
        <f>IF(D1774="","",IF(H1774="✓","完了",IF(G1774="","",IF(G1774&lt;TODAY(),"期限超過",IF(G1774=TODAY(),"今日まで","予定")))))</f>
        <v/>
      </c>
      <c r="K1774" s="22" t="n"/>
      <c r="L1774" s="26" t="n"/>
    </row>
    <row r="1775">
      <c r="A1775" s="11" t="n"/>
      <c r="B1775" s="11" t="n"/>
      <c r="C1775" s="10" t="n"/>
      <c r="D1775" s="11" t="n"/>
      <c r="E1775" s="10" t="n"/>
      <c r="F1775" s="22" t="n"/>
      <c r="G1775" s="24" t="n"/>
      <c r="H1775" s="23" t="n"/>
      <c r="I1775" s="25" t="n"/>
      <c r="J1775" s="10">
        <f>IF(D1775="","",IF(H1775="✓","完了",IF(G1775="","",IF(G1775&lt;TODAY(),"期限超過",IF(G1775=TODAY(),"今日まで","予定")))))</f>
        <v/>
      </c>
      <c r="K1775" s="22" t="n"/>
      <c r="L1775" s="26" t="n"/>
    </row>
    <row r="1776">
      <c r="A1776" s="11" t="n"/>
      <c r="B1776" s="11" t="n"/>
      <c r="C1776" s="10" t="n"/>
      <c r="D1776" s="11" t="n"/>
      <c r="E1776" s="10" t="n"/>
      <c r="F1776" s="22" t="n"/>
      <c r="G1776" s="24" t="n"/>
      <c r="H1776" s="23" t="n"/>
      <c r="I1776" s="25" t="n"/>
      <c r="J1776" s="10">
        <f>IF(D1776="","",IF(H1776="✓","完了",IF(G1776="","",IF(G1776&lt;TODAY(),"期限超過",IF(G1776=TODAY(),"今日まで","予定")))))</f>
        <v/>
      </c>
      <c r="K1776" s="22" t="n"/>
      <c r="L1776" s="26" t="n"/>
    </row>
    <row r="1777">
      <c r="A1777" s="11" t="n"/>
      <c r="B1777" s="11" t="n"/>
      <c r="C1777" s="10" t="n"/>
      <c r="D1777" s="11" t="n"/>
      <c r="E1777" s="10" t="n"/>
      <c r="F1777" s="22" t="n"/>
      <c r="G1777" s="24" t="n"/>
      <c r="H1777" s="23" t="n"/>
      <c r="I1777" s="25" t="n"/>
      <c r="J1777" s="10">
        <f>IF(D1777="","",IF(H1777="✓","完了",IF(G1777="","",IF(G1777&lt;TODAY(),"期限超過",IF(G1777=TODAY(),"今日まで","予定")))))</f>
        <v/>
      </c>
      <c r="K1777" s="22" t="n"/>
      <c r="L1777" s="26" t="n"/>
    </row>
    <row r="1778">
      <c r="A1778" s="11" t="n"/>
      <c r="B1778" s="11" t="n"/>
      <c r="C1778" s="10" t="n"/>
      <c r="D1778" s="11" t="n"/>
      <c r="E1778" s="10" t="n"/>
      <c r="F1778" s="22" t="n"/>
      <c r="G1778" s="24" t="n"/>
      <c r="H1778" s="23" t="n"/>
      <c r="I1778" s="25" t="n"/>
      <c r="J1778" s="10">
        <f>IF(D1778="","",IF(H1778="✓","完了",IF(G1778="","",IF(G1778&lt;TODAY(),"期限超過",IF(G1778=TODAY(),"今日まで","予定")))))</f>
        <v/>
      </c>
      <c r="K1778" s="22" t="n"/>
      <c r="L1778" s="26" t="n"/>
    </row>
    <row r="1779">
      <c r="A1779" s="11" t="n"/>
      <c r="B1779" s="11" t="n"/>
      <c r="C1779" s="10" t="n"/>
      <c r="D1779" s="11" t="n"/>
      <c r="E1779" s="10" t="n"/>
      <c r="F1779" s="22" t="n"/>
      <c r="G1779" s="24" t="n"/>
      <c r="H1779" s="23" t="n"/>
      <c r="I1779" s="25" t="n"/>
      <c r="J1779" s="10">
        <f>IF(D1779="","",IF(H1779="✓","完了",IF(G1779="","",IF(G1779&lt;TODAY(),"期限超過",IF(G1779=TODAY(),"今日まで","予定")))))</f>
        <v/>
      </c>
      <c r="K1779" s="22" t="n"/>
      <c r="L1779" s="26" t="n"/>
    </row>
    <row r="1780">
      <c r="A1780" s="11" t="n"/>
      <c r="B1780" s="11" t="n"/>
      <c r="C1780" s="10" t="n"/>
      <c r="D1780" s="11" t="n"/>
      <c r="E1780" s="10" t="n"/>
      <c r="F1780" s="22" t="n"/>
      <c r="G1780" s="24" t="n"/>
      <c r="H1780" s="23" t="n"/>
      <c r="I1780" s="25" t="n"/>
      <c r="J1780" s="10">
        <f>IF(D1780="","",IF(H1780="✓","完了",IF(G1780="","",IF(G1780&lt;TODAY(),"期限超過",IF(G1780=TODAY(),"今日まで","予定")))))</f>
        <v/>
      </c>
      <c r="K1780" s="22" t="n"/>
      <c r="L1780" s="26" t="n"/>
    </row>
    <row r="1781">
      <c r="A1781" s="11" t="n"/>
      <c r="B1781" s="11" t="n"/>
      <c r="C1781" s="10" t="n"/>
      <c r="D1781" s="11" t="n"/>
      <c r="E1781" s="10" t="n"/>
      <c r="F1781" s="22" t="n"/>
      <c r="G1781" s="24" t="n"/>
      <c r="H1781" s="23" t="n"/>
      <c r="I1781" s="25" t="n"/>
      <c r="J1781" s="10">
        <f>IF(D1781="","",IF(H1781="✓","完了",IF(G1781="","",IF(G1781&lt;TODAY(),"期限超過",IF(G1781=TODAY(),"今日まで","予定")))))</f>
        <v/>
      </c>
      <c r="K1781" s="22" t="n"/>
      <c r="L1781" s="26" t="n"/>
    </row>
    <row r="1782">
      <c r="A1782" s="11" t="n"/>
      <c r="B1782" s="11" t="n"/>
      <c r="C1782" s="10" t="n"/>
      <c r="D1782" s="11" t="n"/>
      <c r="E1782" s="10" t="n"/>
      <c r="F1782" s="22" t="n"/>
      <c r="G1782" s="24" t="n"/>
      <c r="H1782" s="23" t="n"/>
      <c r="I1782" s="25" t="n"/>
      <c r="J1782" s="10">
        <f>IF(D1782="","",IF(H1782="✓","完了",IF(G1782="","",IF(G1782&lt;TODAY(),"期限超過",IF(G1782=TODAY(),"今日まで","予定")))))</f>
        <v/>
      </c>
      <c r="K1782" s="22" t="n"/>
      <c r="L1782" s="26" t="n"/>
    </row>
    <row r="1783">
      <c r="A1783" s="11" t="n"/>
      <c r="B1783" s="11" t="n"/>
      <c r="C1783" s="10" t="n"/>
      <c r="D1783" s="11" t="n"/>
      <c r="E1783" s="10" t="n"/>
      <c r="F1783" s="22" t="n"/>
      <c r="G1783" s="24" t="n"/>
      <c r="H1783" s="23" t="n"/>
      <c r="I1783" s="25" t="n"/>
      <c r="J1783" s="10">
        <f>IF(D1783="","",IF(H1783="✓","完了",IF(G1783="","",IF(G1783&lt;TODAY(),"期限超過",IF(G1783=TODAY(),"今日まで","予定")))))</f>
        <v/>
      </c>
      <c r="K1783" s="22" t="n"/>
      <c r="L1783" s="26" t="n"/>
    </row>
    <row r="1784">
      <c r="A1784" s="11" t="n"/>
      <c r="B1784" s="11" t="n"/>
      <c r="C1784" s="10" t="n"/>
      <c r="D1784" s="11" t="n"/>
      <c r="E1784" s="10" t="n"/>
      <c r="F1784" s="22" t="n"/>
      <c r="G1784" s="24" t="n"/>
      <c r="H1784" s="23" t="n"/>
      <c r="I1784" s="25" t="n"/>
      <c r="J1784" s="10">
        <f>IF(D1784="","",IF(H1784="✓","完了",IF(G1784="","",IF(G1784&lt;TODAY(),"期限超過",IF(G1784=TODAY(),"今日まで","予定")))))</f>
        <v/>
      </c>
      <c r="K1784" s="22" t="n"/>
      <c r="L1784" s="26" t="n"/>
    </row>
    <row r="1785">
      <c r="A1785" s="11" t="n"/>
      <c r="B1785" s="11" t="n"/>
      <c r="C1785" s="10" t="n"/>
      <c r="D1785" s="11" t="n"/>
      <c r="E1785" s="10" t="n"/>
      <c r="F1785" s="22" t="n"/>
      <c r="G1785" s="24" t="n"/>
      <c r="H1785" s="23" t="n"/>
      <c r="I1785" s="25" t="n"/>
      <c r="J1785" s="10">
        <f>IF(D1785="","",IF(H1785="✓","完了",IF(G1785="","",IF(G1785&lt;TODAY(),"期限超過",IF(G1785=TODAY(),"今日まで","予定")))))</f>
        <v/>
      </c>
      <c r="K1785" s="22" t="n"/>
      <c r="L1785" s="26" t="n"/>
    </row>
    <row r="1786">
      <c r="A1786" s="11" t="n"/>
      <c r="B1786" s="11" t="n"/>
      <c r="C1786" s="10" t="n"/>
      <c r="D1786" s="11" t="n"/>
      <c r="E1786" s="10" t="n"/>
      <c r="F1786" s="22" t="n"/>
      <c r="G1786" s="24" t="n"/>
      <c r="H1786" s="23" t="n"/>
      <c r="I1786" s="25" t="n"/>
      <c r="J1786" s="10">
        <f>IF(D1786="","",IF(H1786="✓","完了",IF(G1786="","",IF(G1786&lt;TODAY(),"期限超過",IF(G1786=TODAY(),"今日まで","予定")))))</f>
        <v/>
      </c>
      <c r="K1786" s="22" t="n"/>
      <c r="L1786" s="26" t="n"/>
    </row>
    <row r="1787">
      <c r="A1787" s="11" t="n"/>
      <c r="B1787" s="11" t="n"/>
      <c r="C1787" s="10" t="n"/>
      <c r="D1787" s="11" t="n"/>
      <c r="E1787" s="10" t="n"/>
      <c r="F1787" s="22" t="n"/>
      <c r="G1787" s="24" t="n"/>
      <c r="H1787" s="23" t="n"/>
      <c r="I1787" s="25" t="n"/>
      <c r="J1787" s="10">
        <f>IF(D1787="","",IF(H1787="✓","完了",IF(G1787="","",IF(G1787&lt;TODAY(),"期限超過",IF(G1787=TODAY(),"今日まで","予定")))))</f>
        <v/>
      </c>
      <c r="K1787" s="22" t="n"/>
      <c r="L1787" s="26" t="n"/>
    </row>
    <row r="1788">
      <c r="A1788" s="11" t="n"/>
      <c r="B1788" s="11" t="n"/>
      <c r="C1788" s="10" t="n"/>
      <c r="D1788" s="11" t="n"/>
      <c r="E1788" s="10" t="n"/>
      <c r="F1788" s="22" t="n"/>
      <c r="G1788" s="24" t="n"/>
      <c r="H1788" s="23" t="n"/>
      <c r="I1788" s="25" t="n"/>
      <c r="J1788" s="10">
        <f>IF(D1788="","",IF(H1788="✓","完了",IF(G1788="","",IF(G1788&lt;TODAY(),"期限超過",IF(G1788=TODAY(),"今日まで","予定")))))</f>
        <v/>
      </c>
      <c r="K1788" s="22" t="n"/>
      <c r="L1788" s="26" t="n"/>
    </row>
    <row r="1789">
      <c r="A1789" s="11" t="n"/>
      <c r="B1789" s="11" t="n"/>
      <c r="C1789" s="10" t="n"/>
      <c r="D1789" s="11" t="n"/>
      <c r="E1789" s="10" t="n"/>
      <c r="F1789" s="22" t="n"/>
      <c r="G1789" s="24" t="n"/>
      <c r="H1789" s="23" t="n"/>
      <c r="I1789" s="25" t="n"/>
      <c r="J1789" s="10">
        <f>IF(D1789="","",IF(H1789="✓","完了",IF(G1789="","",IF(G1789&lt;TODAY(),"期限超過",IF(G1789=TODAY(),"今日まで","予定")))))</f>
        <v/>
      </c>
      <c r="K1789" s="22" t="n"/>
      <c r="L1789" s="26" t="n"/>
    </row>
    <row r="1790">
      <c r="A1790" s="11" t="n"/>
      <c r="B1790" s="11" t="n"/>
      <c r="C1790" s="10" t="n"/>
      <c r="D1790" s="11" t="n"/>
      <c r="E1790" s="10" t="n"/>
      <c r="F1790" s="22" t="n"/>
      <c r="G1790" s="24" t="n"/>
      <c r="H1790" s="23" t="n"/>
      <c r="I1790" s="25" t="n"/>
      <c r="J1790" s="10">
        <f>IF(D1790="","",IF(H1790="✓","完了",IF(G1790="","",IF(G1790&lt;TODAY(),"期限超過",IF(G1790=TODAY(),"今日まで","予定")))))</f>
        <v/>
      </c>
      <c r="K1790" s="22" t="n"/>
      <c r="L1790" s="26" t="n"/>
    </row>
    <row r="1791">
      <c r="A1791" s="11" t="n"/>
      <c r="B1791" s="11" t="n"/>
      <c r="C1791" s="10" t="n"/>
      <c r="D1791" s="11" t="n"/>
      <c r="E1791" s="10" t="n"/>
      <c r="F1791" s="22" t="n"/>
      <c r="G1791" s="24" t="n"/>
      <c r="H1791" s="23" t="n"/>
      <c r="I1791" s="25" t="n"/>
      <c r="J1791" s="10">
        <f>IF(D1791="","",IF(H1791="✓","完了",IF(G1791="","",IF(G1791&lt;TODAY(),"期限超過",IF(G1791=TODAY(),"今日まで","予定")))))</f>
        <v/>
      </c>
      <c r="K1791" s="22" t="n"/>
      <c r="L1791" s="26" t="n"/>
    </row>
    <row r="1792">
      <c r="A1792" s="11" t="n"/>
      <c r="B1792" s="11" t="n"/>
      <c r="C1792" s="10" t="n"/>
      <c r="D1792" s="11" t="n"/>
      <c r="E1792" s="10" t="n"/>
      <c r="F1792" s="22" t="n"/>
      <c r="G1792" s="24" t="n"/>
      <c r="H1792" s="23" t="n"/>
      <c r="I1792" s="25" t="n"/>
      <c r="J1792" s="10">
        <f>IF(D1792="","",IF(H1792="✓","完了",IF(G1792="","",IF(G1792&lt;TODAY(),"期限超過",IF(G1792=TODAY(),"今日まで","予定")))))</f>
        <v/>
      </c>
      <c r="K1792" s="22" t="n"/>
      <c r="L1792" s="26" t="n"/>
    </row>
    <row r="1793">
      <c r="A1793" s="11" t="n"/>
      <c r="B1793" s="11" t="n"/>
      <c r="C1793" s="10" t="n"/>
      <c r="D1793" s="11" t="n"/>
      <c r="E1793" s="10" t="n"/>
      <c r="F1793" s="22" t="n"/>
      <c r="G1793" s="24" t="n"/>
      <c r="H1793" s="23" t="n"/>
      <c r="I1793" s="25" t="n"/>
      <c r="J1793" s="10">
        <f>IF(D1793="","",IF(H1793="✓","完了",IF(G1793="","",IF(G1793&lt;TODAY(),"期限超過",IF(G1793=TODAY(),"今日まで","予定")))))</f>
        <v/>
      </c>
      <c r="K1793" s="22" t="n"/>
      <c r="L1793" s="26" t="n"/>
    </row>
    <row r="1794">
      <c r="A1794" s="11" t="n"/>
      <c r="B1794" s="11" t="n"/>
      <c r="C1794" s="10" t="n"/>
      <c r="D1794" s="11" t="n"/>
      <c r="E1794" s="10" t="n"/>
      <c r="F1794" s="22" t="n"/>
      <c r="G1794" s="24" t="n"/>
      <c r="H1794" s="23" t="n"/>
      <c r="I1794" s="25" t="n"/>
      <c r="J1794" s="10">
        <f>IF(D1794="","",IF(H1794="✓","完了",IF(G1794="","",IF(G1794&lt;TODAY(),"期限超過",IF(G1794=TODAY(),"今日まで","予定")))))</f>
        <v/>
      </c>
      <c r="K1794" s="22" t="n"/>
      <c r="L1794" s="26" t="n"/>
    </row>
    <row r="1795">
      <c r="A1795" s="11" t="n"/>
      <c r="B1795" s="11" t="n"/>
      <c r="C1795" s="10" t="n"/>
      <c r="D1795" s="11" t="n"/>
      <c r="E1795" s="10" t="n"/>
      <c r="F1795" s="22" t="n"/>
      <c r="G1795" s="24" t="n"/>
      <c r="H1795" s="23" t="n"/>
      <c r="I1795" s="25" t="n"/>
      <c r="J1795" s="10">
        <f>IF(D1795="","",IF(H1795="✓","完了",IF(G1795="","",IF(G1795&lt;TODAY(),"期限超過",IF(G1795=TODAY(),"今日まで","予定")))))</f>
        <v/>
      </c>
      <c r="K1795" s="22" t="n"/>
      <c r="L1795" s="26" t="n"/>
    </row>
    <row r="1796">
      <c r="A1796" s="11" t="n"/>
      <c r="B1796" s="11" t="n"/>
      <c r="C1796" s="10" t="n"/>
      <c r="D1796" s="11" t="n"/>
      <c r="E1796" s="10" t="n"/>
      <c r="F1796" s="22" t="n"/>
      <c r="G1796" s="24" t="n"/>
      <c r="H1796" s="23" t="n"/>
      <c r="I1796" s="25" t="n"/>
      <c r="J1796" s="10">
        <f>IF(D1796="","",IF(H1796="✓","完了",IF(G1796="","",IF(G1796&lt;TODAY(),"期限超過",IF(G1796=TODAY(),"今日まで","予定")))))</f>
        <v/>
      </c>
      <c r="K1796" s="22" t="n"/>
      <c r="L1796" s="26" t="n"/>
    </row>
    <row r="1797">
      <c r="A1797" s="11" t="n"/>
      <c r="B1797" s="11" t="n"/>
      <c r="C1797" s="10" t="n"/>
      <c r="D1797" s="11" t="n"/>
      <c r="E1797" s="10" t="n"/>
      <c r="F1797" s="22" t="n"/>
      <c r="G1797" s="24" t="n"/>
      <c r="H1797" s="23" t="n"/>
      <c r="I1797" s="25" t="n"/>
      <c r="J1797" s="10">
        <f>IF(D1797="","",IF(H1797="✓","完了",IF(G1797="","",IF(G1797&lt;TODAY(),"期限超過",IF(G1797=TODAY(),"今日まで","予定")))))</f>
        <v/>
      </c>
      <c r="K1797" s="22" t="n"/>
      <c r="L1797" s="26" t="n"/>
    </row>
    <row r="1798">
      <c r="A1798" s="11" t="n"/>
      <c r="B1798" s="11" t="n"/>
      <c r="C1798" s="10" t="n"/>
      <c r="D1798" s="11" t="n"/>
      <c r="E1798" s="10" t="n"/>
      <c r="F1798" s="22" t="n"/>
      <c r="G1798" s="24" t="n"/>
      <c r="H1798" s="23" t="n"/>
      <c r="I1798" s="25" t="n"/>
      <c r="J1798" s="10">
        <f>IF(D1798="","",IF(H1798="✓","完了",IF(G1798="","",IF(G1798&lt;TODAY(),"期限超過",IF(G1798=TODAY(),"今日まで","予定")))))</f>
        <v/>
      </c>
      <c r="K1798" s="22" t="n"/>
      <c r="L1798" s="26" t="n"/>
    </row>
    <row r="1799">
      <c r="A1799" s="11" t="n"/>
      <c r="B1799" s="11" t="n"/>
      <c r="C1799" s="10" t="n"/>
      <c r="D1799" s="11" t="n"/>
      <c r="E1799" s="10" t="n"/>
      <c r="F1799" s="22" t="n"/>
      <c r="G1799" s="24" t="n"/>
      <c r="H1799" s="23" t="n"/>
      <c r="I1799" s="25" t="n"/>
      <c r="J1799" s="10">
        <f>IF(D1799="","",IF(H1799="✓","完了",IF(G1799="","",IF(G1799&lt;TODAY(),"期限超過",IF(G1799=TODAY(),"今日まで","予定")))))</f>
        <v/>
      </c>
      <c r="K1799" s="22" t="n"/>
      <c r="L1799" s="26" t="n"/>
    </row>
    <row r="1800">
      <c r="A1800" s="11" t="n"/>
      <c r="B1800" s="11" t="n"/>
      <c r="C1800" s="10" t="n"/>
      <c r="D1800" s="11" t="n"/>
      <c r="E1800" s="10" t="n"/>
      <c r="F1800" s="22" t="n"/>
      <c r="G1800" s="24" t="n"/>
      <c r="H1800" s="23" t="n"/>
      <c r="I1800" s="25" t="n"/>
      <c r="J1800" s="10">
        <f>IF(D1800="","",IF(H1800="✓","完了",IF(G1800="","",IF(G1800&lt;TODAY(),"期限超過",IF(G1800=TODAY(),"今日まで","予定")))))</f>
        <v/>
      </c>
      <c r="K1800" s="22" t="n"/>
      <c r="L1800" s="26" t="n"/>
    </row>
    <row r="1801">
      <c r="A1801" s="11" t="n"/>
      <c r="B1801" s="11" t="n"/>
      <c r="C1801" s="10" t="n"/>
      <c r="D1801" s="11" t="n"/>
      <c r="E1801" s="10" t="n"/>
      <c r="F1801" s="22" t="n"/>
      <c r="G1801" s="24" t="n"/>
      <c r="H1801" s="23" t="n"/>
      <c r="I1801" s="25" t="n"/>
      <c r="J1801" s="10">
        <f>IF(D1801="","",IF(H1801="✓","完了",IF(G1801="","",IF(G1801&lt;TODAY(),"期限超過",IF(G1801=TODAY(),"今日まで","予定")))))</f>
        <v/>
      </c>
      <c r="K1801" s="22" t="n"/>
      <c r="L1801" s="26" t="n"/>
    </row>
    <row r="1802">
      <c r="A1802" s="11" t="n"/>
      <c r="B1802" s="11" t="n"/>
      <c r="C1802" s="10" t="n"/>
      <c r="D1802" s="11" t="n"/>
      <c r="E1802" s="10" t="n"/>
      <c r="F1802" s="22" t="n"/>
      <c r="G1802" s="24" t="n"/>
      <c r="H1802" s="23" t="n"/>
      <c r="I1802" s="25" t="n"/>
      <c r="J1802" s="10">
        <f>IF(D1802="","",IF(H1802="✓","完了",IF(G1802="","",IF(G1802&lt;TODAY(),"期限超過",IF(G1802=TODAY(),"今日まで","予定")))))</f>
        <v/>
      </c>
      <c r="K1802" s="22" t="n"/>
      <c r="L1802" s="26" t="n"/>
    </row>
    <row r="1803">
      <c r="A1803" s="11" t="n"/>
      <c r="B1803" s="11" t="n"/>
      <c r="C1803" s="10" t="n"/>
      <c r="D1803" s="11" t="n"/>
      <c r="E1803" s="10" t="n"/>
      <c r="F1803" s="22" t="n"/>
      <c r="G1803" s="24" t="n"/>
      <c r="H1803" s="23" t="n"/>
      <c r="I1803" s="25" t="n"/>
      <c r="J1803" s="10">
        <f>IF(D1803="","",IF(H1803="✓","完了",IF(G1803="","",IF(G1803&lt;TODAY(),"期限超過",IF(G1803=TODAY(),"今日まで","予定")))))</f>
        <v/>
      </c>
      <c r="K1803" s="22" t="n"/>
      <c r="L1803" s="26" t="n"/>
    </row>
    <row r="1804">
      <c r="A1804" s="11" t="n"/>
      <c r="B1804" s="11" t="n"/>
      <c r="C1804" s="10" t="n"/>
      <c r="D1804" s="11" t="n"/>
      <c r="E1804" s="10" t="n"/>
      <c r="F1804" s="22" t="n"/>
      <c r="G1804" s="24" t="n"/>
      <c r="H1804" s="23" t="n"/>
      <c r="I1804" s="25" t="n"/>
      <c r="J1804" s="10">
        <f>IF(D1804="","",IF(H1804="✓","完了",IF(G1804="","",IF(G1804&lt;TODAY(),"期限超過",IF(G1804=TODAY(),"今日まで","予定")))))</f>
        <v/>
      </c>
      <c r="K1804" s="22" t="n"/>
      <c r="L1804" s="26" t="n"/>
    </row>
    <row r="1805">
      <c r="A1805" s="11" t="n"/>
      <c r="B1805" s="11" t="n"/>
      <c r="C1805" s="10" t="n"/>
      <c r="D1805" s="11" t="n"/>
      <c r="E1805" s="10" t="n"/>
      <c r="F1805" s="22" t="n"/>
      <c r="G1805" s="24" t="n"/>
      <c r="H1805" s="23" t="n"/>
      <c r="I1805" s="25" t="n"/>
      <c r="J1805" s="10">
        <f>IF(D1805="","",IF(H1805="✓","完了",IF(G1805="","",IF(G1805&lt;TODAY(),"期限超過",IF(G1805=TODAY(),"今日まで","予定")))))</f>
        <v/>
      </c>
      <c r="K1805" s="22" t="n"/>
      <c r="L1805" s="26" t="n"/>
    </row>
    <row r="1806">
      <c r="A1806" s="11" t="n"/>
      <c r="B1806" s="11" t="n"/>
      <c r="C1806" s="10" t="n"/>
      <c r="D1806" s="11" t="n"/>
      <c r="E1806" s="10" t="n"/>
      <c r="F1806" s="22" t="n"/>
      <c r="G1806" s="24" t="n"/>
      <c r="H1806" s="23" t="n"/>
      <c r="I1806" s="25" t="n"/>
      <c r="J1806" s="10">
        <f>IF(D1806="","",IF(H1806="✓","完了",IF(G1806="","",IF(G1806&lt;TODAY(),"期限超過",IF(G1806=TODAY(),"今日まで","予定")))))</f>
        <v/>
      </c>
      <c r="K1806" s="22" t="n"/>
      <c r="L1806" s="26" t="n"/>
    </row>
    <row r="1807">
      <c r="A1807" s="11" t="n"/>
      <c r="B1807" s="11" t="n"/>
      <c r="C1807" s="10" t="n"/>
      <c r="D1807" s="11" t="n"/>
      <c r="E1807" s="10" t="n"/>
      <c r="F1807" s="22" t="n"/>
      <c r="G1807" s="24" t="n"/>
      <c r="H1807" s="23" t="n"/>
      <c r="I1807" s="25" t="n"/>
      <c r="J1807" s="10">
        <f>IF(D1807="","",IF(H1807="✓","完了",IF(G1807="","",IF(G1807&lt;TODAY(),"期限超過",IF(G1807=TODAY(),"今日まで","予定")))))</f>
        <v/>
      </c>
      <c r="K1807" s="22" t="n"/>
      <c r="L1807" s="26" t="n"/>
    </row>
    <row r="1808">
      <c r="A1808" s="11" t="n"/>
      <c r="B1808" s="11" t="n"/>
      <c r="C1808" s="10" t="n"/>
      <c r="D1808" s="11" t="n"/>
      <c r="E1808" s="10" t="n"/>
      <c r="F1808" s="22" t="n"/>
      <c r="G1808" s="24" t="n"/>
      <c r="H1808" s="23" t="n"/>
      <c r="I1808" s="25" t="n"/>
      <c r="J1808" s="10">
        <f>IF(D1808="","",IF(H1808="✓","完了",IF(G1808="","",IF(G1808&lt;TODAY(),"期限超過",IF(G1808=TODAY(),"今日まで","予定")))))</f>
        <v/>
      </c>
      <c r="K1808" s="22" t="n"/>
      <c r="L1808" s="26" t="n"/>
    </row>
    <row r="1809">
      <c r="A1809" s="11" t="n"/>
      <c r="B1809" s="11" t="n"/>
      <c r="C1809" s="10" t="n"/>
      <c r="D1809" s="11" t="n"/>
      <c r="E1809" s="10" t="n"/>
      <c r="F1809" s="22" t="n"/>
      <c r="G1809" s="24" t="n"/>
      <c r="H1809" s="23" t="n"/>
      <c r="I1809" s="25" t="n"/>
      <c r="J1809" s="10">
        <f>IF(D1809="","",IF(H1809="✓","完了",IF(G1809="","",IF(G1809&lt;TODAY(),"期限超過",IF(G1809=TODAY(),"今日まで","予定")))))</f>
        <v/>
      </c>
      <c r="K1809" s="22" t="n"/>
      <c r="L1809" s="26" t="n"/>
    </row>
    <row r="1810">
      <c r="A1810" s="11" t="n"/>
      <c r="B1810" s="11" t="n"/>
      <c r="C1810" s="10" t="n"/>
      <c r="D1810" s="11" t="n"/>
      <c r="E1810" s="10" t="n"/>
      <c r="F1810" s="22" t="n"/>
      <c r="G1810" s="24" t="n"/>
      <c r="H1810" s="23" t="n"/>
      <c r="I1810" s="25" t="n"/>
      <c r="J1810" s="10">
        <f>IF(D1810="","",IF(H1810="✓","完了",IF(G1810="","",IF(G1810&lt;TODAY(),"期限超過",IF(G1810=TODAY(),"今日まで","予定")))))</f>
        <v/>
      </c>
      <c r="K1810" s="22" t="n"/>
      <c r="L1810" s="26" t="n"/>
    </row>
    <row r="1811">
      <c r="A1811" s="11" t="n"/>
      <c r="B1811" s="11" t="n"/>
      <c r="C1811" s="10" t="n"/>
      <c r="D1811" s="11" t="n"/>
      <c r="E1811" s="10" t="n"/>
      <c r="F1811" s="22" t="n"/>
      <c r="G1811" s="24" t="n"/>
      <c r="H1811" s="23" t="n"/>
      <c r="I1811" s="25" t="n"/>
      <c r="J1811" s="10">
        <f>IF(D1811="","",IF(H1811="✓","完了",IF(G1811="","",IF(G1811&lt;TODAY(),"期限超過",IF(G1811=TODAY(),"今日まで","予定")))))</f>
        <v/>
      </c>
      <c r="K1811" s="22" t="n"/>
      <c r="L1811" s="26" t="n"/>
    </row>
    <row r="1812">
      <c r="A1812" s="11" t="n"/>
      <c r="B1812" s="11" t="n"/>
      <c r="C1812" s="10" t="n"/>
      <c r="D1812" s="11" t="n"/>
      <c r="E1812" s="10" t="n"/>
      <c r="F1812" s="22" t="n"/>
      <c r="G1812" s="24" t="n"/>
      <c r="H1812" s="23" t="n"/>
      <c r="I1812" s="25" t="n"/>
      <c r="J1812" s="10">
        <f>IF(D1812="","",IF(H1812="✓","完了",IF(G1812="","",IF(G1812&lt;TODAY(),"期限超過",IF(G1812=TODAY(),"今日まで","予定")))))</f>
        <v/>
      </c>
      <c r="K1812" s="22" t="n"/>
      <c r="L1812" s="26" t="n"/>
    </row>
    <row r="1813">
      <c r="A1813" s="11" t="n"/>
      <c r="B1813" s="11" t="n"/>
      <c r="C1813" s="10" t="n"/>
      <c r="D1813" s="11" t="n"/>
      <c r="E1813" s="10" t="n"/>
      <c r="F1813" s="22" t="n"/>
      <c r="G1813" s="24" t="n"/>
      <c r="H1813" s="23" t="n"/>
      <c r="I1813" s="25" t="n"/>
      <c r="J1813" s="10">
        <f>IF(D1813="","",IF(H1813="✓","完了",IF(G1813="","",IF(G1813&lt;TODAY(),"期限超過",IF(G1813=TODAY(),"今日まで","予定")))))</f>
        <v/>
      </c>
      <c r="K1813" s="22" t="n"/>
      <c r="L1813" s="26" t="n"/>
    </row>
    <row r="1814">
      <c r="A1814" s="11" t="n"/>
      <c r="B1814" s="11" t="n"/>
      <c r="C1814" s="10" t="n"/>
      <c r="D1814" s="11" t="n"/>
      <c r="E1814" s="10" t="n"/>
      <c r="F1814" s="22" t="n"/>
      <c r="G1814" s="24" t="n"/>
      <c r="H1814" s="23" t="n"/>
      <c r="I1814" s="25" t="n"/>
      <c r="J1814" s="10">
        <f>IF(D1814="","",IF(H1814="✓","完了",IF(G1814="","",IF(G1814&lt;TODAY(),"期限超過",IF(G1814=TODAY(),"今日まで","予定")))))</f>
        <v/>
      </c>
      <c r="K1814" s="22" t="n"/>
      <c r="L1814" s="26" t="n"/>
    </row>
    <row r="1815">
      <c r="A1815" s="11" t="n"/>
      <c r="B1815" s="11" t="n"/>
      <c r="C1815" s="10" t="n"/>
      <c r="D1815" s="11" t="n"/>
      <c r="E1815" s="10" t="n"/>
      <c r="F1815" s="22" t="n"/>
      <c r="G1815" s="24" t="n"/>
      <c r="H1815" s="23" t="n"/>
      <c r="I1815" s="25" t="n"/>
      <c r="J1815" s="10">
        <f>IF(D1815="","",IF(H1815="✓","完了",IF(G1815="","",IF(G1815&lt;TODAY(),"期限超過",IF(G1815=TODAY(),"今日まで","予定")))))</f>
        <v/>
      </c>
      <c r="K1815" s="22" t="n"/>
      <c r="L1815" s="26" t="n"/>
    </row>
    <row r="1816">
      <c r="A1816" s="11" t="n"/>
      <c r="B1816" s="11" t="n"/>
      <c r="C1816" s="10" t="n"/>
      <c r="D1816" s="11" t="n"/>
      <c r="E1816" s="10" t="n"/>
      <c r="F1816" s="22" t="n"/>
      <c r="G1816" s="24" t="n"/>
      <c r="H1816" s="23" t="n"/>
      <c r="I1816" s="25" t="n"/>
      <c r="J1816" s="10">
        <f>IF(D1816="","",IF(H1816="✓","完了",IF(G1816="","",IF(G1816&lt;TODAY(),"期限超過",IF(G1816=TODAY(),"今日まで","予定")))))</f>
        <v/>
      </c>
      <c r="K1816" s="22" t="n"/>
      <c r="L1816" s="26" t="n"/>
    </row>
    <row r="1817">
      <c r="A1817" s="11" t="n"/>
      <c r="B1817" s="11" t="n"/>
      <c r="C1817" s="10" t="n"/>
      <c r="D1817" s="11" t="n"/>
      <c r="E1817" s="10" t="n"/>
      <c r="F1817" s="22" t="n"/>
      <c r="G1817" s="24" t="n"/>
      <c r="H1817" s="23" t="n"/>
      <c r="I1817" s="25" t="n"/>
      <c r="J1817" s="10">
        <f>IF(D1817="","",IF(H1817="✓","完了",IF(G1817="","",IF(G1817&lt;TODAY(),"期限超過",IF(G1817=TODAY(),"今日まで","予定")))))</f>
        <v/>
      </c>
      <c r="K1817" s="22" t="n"/>
      <c r="L1817" s="26" t="n"/>
    </row>
    <row r="1818">
      <c r="A1818" s="11" t="n"/>
      <c r="B1818" s="11" t="n"/>
      <c r="C1818" s="10" t="n"/>
      <c r="D1818" s="11" t="n"/>
      <c r="E1818" s="10" t="n"/>
      <c r="F1818" s="22" t="n"/>
      <c r="G1818" s="24" t="n"/>
      <c r="H1818" s="23" t="n"/>
      <c r="I1818" s="25" t="n"/>
      <c r="J1818" s="10">
        <f>IF(D1818="","",IF(H1818="✓","完了",IF(G1818="","",IF(G1818&lt;TODAY(),"期限超過",IF(G1818=TODAY(),"今日まで","予定")))))</f>
        <v/>
      </c>
      <c r="K1818" s="22" t="n"/>
      <c r="L1818" s="26" t="n"/>
    </row>
    <row r="1819">
      <c r="A1819" s="11" t="n"/>
      <c r="B1819" s="11" t="n"/>
      <c r="C1819" s="10" t="n"/>
      <c r="D1819" s="11" t="n"/>
      <c r="E1819" s="10" t="n"/>
      <c r="F1819" s="22" t="n"/>
      <c r="G1819" s="24" t="n"/>
      <c r="H1819" s="23" t="n"/>
      <c r="I1819" s="25" t="n"/>
      <c r="J1819" s="10">
        <f>IF(D1819="","",IF(H1819="✓","完了",IF(G1819="","",IF(G1819&lt;TODAY(),"期限超過",IF(G1819=TODAY(),"今日まで","予定")))))</f>
        <v/>
      </c>
      <c r="K1819" s="22" t="n"/>
      <c r="L1819" s="26" t="n"/>
    </row>
    <row r="1820">
      <c r="A1820" s="11" t="n"/>
      <c r="B1820" s="11" t="n"/>
      <c r="C1820" s="10" t="n"/>
      <c r="D1820" s="11" t="n"/>
      <c r="E1820" s="10" t="n"/>
      <c r="F1820" s="22" t="n"/>
      <c r="G1820" s="24" t="n"/>
      <c r="H1820" s="23" t="n"/>
      <c r="I1820" s="25" t="n"/>
      <c r="J1820" s="10">
        <f>IF(D1820="","",IF(H1820="✓","完了",IF(G1820="","",IF(G1820&lt;TODAY(),"期限超過",IF(G1820=TODAY(),"今日まで","予定")))))</f>
        <v/>
      </c>
      <c r="K1820" s="22" t="n"/>
      <c r="L1820" s="26" t="n"/>
    </row>
    <row r="1821">
      <c r="A1821" s="11" t="n"/>
      <c r="B1821" s="11" t="n"/>
      <c r="C1821" s="10" t="n"/>
      <c r="D1821" s="11" t="n"/>
      <c r="E1821" s="10" t="n"/>
      <c r="F1821" s="22" t="n"/>
      <c r="G1821" s="24" t="n"/>
      <c r="H1821" s="23" t="n"/>
      <c r="I1821" s="25" t="n"/>
      <c r="J1821" s="10">
        <f>IF(D1821="","",IF(H1821="✓","完了",IF(G1821="","",IF(G1821&lt;TODAY(),"期限超過",IF(G1821=TODAY(),"今日まで","予定")))))</f>
        <v/>
      </c>
      <c r="K1821" s="22" t="n"/>
      <c r="L1821" s="26" t="n"/>
    </row>
    <row r="1822">
      <c r="A1822" s="11" t="n"/>
      <c r="B1822" s="11" t="n"/>
      <c r="C1822" s="10" t="n"/>
      <c r="D1822" s="11" t="n"/>
      <c r="E1822" s="10" t="n"/>
      <c r="F1822" s="22" t="n"/>
      <c r="G1822" s="24" t="n"/>
      <c r="H1822" s="23" t="n"/>
      <c r="I1822" s="25" t="n"/>
      <c r="J1822" s="10">
        <f>IF(D1822="","",IF(H1822="✓","完了",IF(G1822="","",IF(G1822&lt;TODAY(),"期限超過",IF(G1822=TODAY(),"今日まで","予定")))))</f>
        <v/>
      </c>
      <c r="K1822" s="22" t="n"/>
      <c r="L1822" s="26" t="n"/>
    </row>
    <row r="1823">
      <c r="A1823" s="11" t="n"/>
      <c r="B1823" s="11" t="n"/>
      <c r="C1823" s="10" t="n"/>
      <c r="D1823" s="11" t="n"/>
      <c r="E1823" s="10" t="n"/>
      <c r="F1823" s="22" t="n"/>
      <c r="G1823" s="24" t="n"/>
      <c r="H1823" s="23" t="n"/>
      <c r="I1823" s="25" t="n"/>
      <c r="J1823" s="10">
        <f>IF(D1823="","",IF(H1823="✓","完了",IF(G1823="","",IF(G1823&lt;TODAY(),"期限超過",IF(G1823=TODAY(),"今日まで","予定")))))</f>
        <v/>
      </c>
      <c r="K1823" s="22" t="n"/>
      <c r="L1823" s="26" t="n"/>
    </row>
    <row r="1824">
      <c r="A1824" s="11" t="n"/>
      <c r="B1824" s="11" t="n"/>
      <c r="C1824" s="10" t="n"/>
      <c r="D1824" s="11" t="n"/>
      <c r="E1824" s="10" t="n"/>
      <c r="F1824" s="22" t="n"/>
      <c r="G1824" s="24" t="n"/>
      <c r="H1824" s="23" t="n"/>
      <c r="I1824" s="25" t="n"/>
      <c r="J1824" s="10">
        <f>IF(D1824="","",IF(H1824="✓","完了",IF(G1824="","",IF(G1824&lt;TODAY(),"期限超過",IF(G1824=TODAY(),"今日まで","予定")))))</f>
        <v/>
      </c>
      <c r="K1824" s="22" t="n"/>
      <c r="L1824" s="26" t="n"/>
    </row>
    <row r="1825">
      <c r="A1825" s="11" t="n"/>
      <c r="B1825" s="11" t="n"/>
      <c r="C1825" s="10" t="n"/>
      <c r="D1825" s="11" t="n"/>
      <c r="E1825" s="10" t="n"/>
      <c r="F1825" s="22" t="n"/>
      <c r="G1825" s="24" t="n"/>
      <c r="H1825" s="23" t="n"/>
      <c r="I1825" s="25" t="n"/>
      <c r="J1825" s="10">
        <f>IF(D1825="","",IF(H1825="✓","完了",IF(G1825="","",IF(G1825&lt;TODAY(),"期限超過",IF(G1825=TODAY(),"今日まで","予定")))))</f>
        <v/>
      </c>
      <c r="K1825" s="22" t="n"/>
      <c r="L1825" s="26" t="n"/>
    </row>
    <row r="1826">
      <c r="A1826" s="11" t="n"/>
      <c r="B1826" s="11" t="n"/>
      <c r="C1826" s="10" t="n"/>
      <c r="D1826" s="11" t="n"/>
      <c r="E1826" s="10" t="n"/>
      <c r="F1826" s="22" t="n"/>
      <c r="G1826" s="24" t="n"/>
      <c r="H1826" s="23" t="n"/>
      <c r="I1826" s="25" t="n"/>
      <c r="J1826" s="10">
        <f>IF(D1826="","",IF(H1826="✓","完了",IF(G1826="","",IF(G1826&lt;TODAY(),"期限超過",IF(G1826=TODAY(),"今日まで","予定")))))</f>
        <v/>
      </c>
      <c r="K1826" s="22" t="n"/>
      <c r="L1826" s="26" t="n"/>
    </row>
    <row r="1827">
      <c r="A1827" s="11" t="n"/>
      <c r="B1827" s="11" t="n"/>
      <c r="C1827" s="10" t="n"/>
      <c r="D1827" s="11" t="n"/>
      <c r="E1827" s="10" t="n"/>
      <c r="F1827" s="22" t="n"/>
      <c r="G1827" s="24" t="n"/>
      <c r="H1827" s="23" t="n"/>
      <c r="I1827" s="25" t="n"/>
      <c r="J1827" s="10">
        <f>IF(D1827="","",IF(H1827="✓","完了",IF(G1827="","",IF(G1827&lt;TODAY(),"期限超過",IF(G1827=TODAY(),"今日まで","予定")))))</f>
        <v/>
      </c>
      <c r="K1827" s="22" t="n"/>
      <c r="L1827" s="26" t="n"/>
    </row>
    <row r="1828">
      <c r="A1828" s="11" t="n"/>
      <c r="B1828" s="11" t="n"/>
      <c r="C1828" s="10" t="n"/>
      <c r="D1828" s="11" t="n"/>
      <c r="E1828" s="10" t="n"/>
      <c r="F1828" s="22" t="n"/>
      <c r="G1828" s="24" t="n"/>
      <c r="H1828" s="23" t="n"/>
      <c r="I1828" s="25" t="n"/>
      <c r="J1828" s="10">
        <f>IF(D1828="","",IF(H1828="✓","完了",IF(G1828="","",IF(G1828&lt;TODAY(),"期限超過",IF(G1828=TODAY(),"今日まで","予定")))))</f>
        <v/>
      </c>
      <c r="K1828" s="22" t="n"/>
      <c r="L1828" s="26" t="n"/>
    </row>
    <row r="1829">
      <c r="A1829" s="11" t="n"/>
      <c r="B1829" s="11" t="n"/>
      <c r="C1829" s="10" t="n"/>
      <c r="D1829" s="11" t="n"/>
      <c r="E1829" s="10" t="n"/>
      <c r="F1829" s="22" t="n"/>
      <c r="G1829" s="24" t="n"/>
      <c r="H1829" s="23" t="n"/>
      <c r="I1829" s="25" t="n"/>
      <c r="J1829" s="10">
        <f>IF(D1829="","",IF(H1829="✓","完了",IF(G1829="","",IF(G1829&lt;TODAY(),"期限超過",IF(G1829=TODAY(),"今日まで","予定")))))</f>
        <v/>
      </c>
      <c r="K1829" s="22" t="n"/>
      <c r="L1829" s="26" t="n"/>
    </row>
    <row r="1830">
      <c r="A1830" s="11" t="n"/>
      <c r="B1830" s="11" t="n"/>
      <c r="C1830" s="10" t="n"/>
      <c r="D1830" s="11" t="n"/>
      <c r="E1830" s="10" t="n"/>
      <c r="F1830" s="22" t="n"/>
      <c r="G1830" s="24" t="n"/>
      <c r="H1830" s="23" t="n"/>
      <c r="I1830" s="25" t="n"/>
      <c r="J1830" s="10">
        <f>IF(D1830="","",IF(H1830="✓","完了",IF(G1830="","",IF(G1830&lt;TODAY(),"期限超過",IF(G1830=TODAY(),"今日まで","予定")))))</f>
        <v/>
      </c>
      <c r="K1830" s="22" t="n"/>
      <c r="L1830" s="26" t="n"/>
    </row>
    <row r="1831">
      <c r="A1831" s="11" t="n"/>
      <c r="B1831" s="11" t="n"/>
      <c r="C1831" s="10" t="n"/>
      <c r="D1831" s="11" t="n"/>
      <c r="E1831" s="10" t="n"/>
      <c r="F1831" s="22" t="n"/>
      <c r="G1831" s="24" t="n"/>
      <c r="H1831" s="23" t="n"/>
      <c r="I1831" s="25" t="n"/>
      <c r="J1831" s="10">
        <f>IF(D1831="","",IF(H1831="✓","完了",IF(G1831="","",IF(G1831&lt;TODAY(),"期限超過",IF(G1831=TODAY(),"今日まで","予定")))))</f>
        <v/>
      </c>
      <c r="K1831" s="22" t="n"/>
      <c r="L1831" s="26" t="n"/>
    </row>
    <row r="1832">
      <c r="A1832" s="11" t="n"/>
      <c r="B1832" s="11" t="n"/>
      <c r="C1832" s="10" t="n"/>
      <c r="D1832" s="11" t="n"/>
      <c r="E1832" s="10" t="n"/>
      <c r="F1832" s="22" t="n"/>
      <c r="G1832" s="24" t="n"/>
      <c r="H1832" s="23" t="n"/>
      <c r="I1832" s="25" t="n"/>
      <c r="J1832" s="10">
        <f>IF(D1832="","",IF(H1832="✓","完了",IF(G1832="","",IF(G1832&lt;TODAY(),"期限超過",IF(G1832=TODAY(),"今日まで","予定")))))</f>
        <v/>
      </c>
      <c r="K1832" s="22" t="n"/>
      <c r="L1832" s="26" t="n"/>
    </row>
    <row r="1833">
      <c r="A1833" s="11" t="n"/>
      <c r="B1833" s="11" t="n"/>
      <c r="C1833" s="10" t="n"/>
      <c r="D1833" s="11" t="n"/>
      <c r="E1833" s="10" t="n"/>
      <c r="F1833" s="22" t="n"/>
      <c r="G1833" s="24" t="n"/>
      <c r="H1833" s="23" t="n"/>
      <c r="I1833" s="25" t="n"/>
      <c r="J1833" s="10">
        <f>IF(D1833="","",IF(H1833="✓","完了",IF(G1833="","",IF(G1833&lt;TODAY(),"期限超過",IF(G1833=TODAY(),"今日まで","予定")))))</f>
        <v/>
      </c>
      <c r="K1833" s="22" t="n"/>
      <c r="L1833" s="26" t="n"/>
    </row>
    <row r="1834">
      <c r="A1834" s="11" t="n"/>
      <c r="B1834" s="11" t="n"/>
      <c r="C1834" s="10" t="n"/>
      <c r="D1834" s="11" t="n"/>
      <c r="E1834" s="10" t="n"/>
      <c r="F1834" s="22" t="n"/>
      <c r="G1834" s="24" t="n"/>
      <c r="H1834" s="23" t="n"/>
      <c r="I1834" s="25" t="n"/>
      <c r="J1834" s="10">
        <f>IF(D1834="","",IF(H1834="✓","完了",IF(G1834="","",IF(G1834&lt;TODAY(),"期限超過",IF(G1834=TODAY(),"今日まで","予定")))))</f>
        <v/>
      </c>
      <c r="K1834" s="22" t="n"/>
      <c r="L1834" s="26" t="n"/>
    </row>
    <row r="1835">
      <c r="A1835" s="11" t="n"/>
      <c r="B1835" s="11" t="n"/>
      <c r="C1835" s="10" t="n"/>
      <c r="D1835" s="11" t="n"/>
      <c r="E1835" s="10" t="n"/>
      <c r="F1835" s="22" t="n"/>
      <c r="G1835" s="24" t="n"/>
      <c r="H1835" s="23" t="n"/>
      <c r="I1835" s="25" t="n"/>
      <c r="J1835" s="10">
        <f>IF(D1835="","",IF(H1835="✓","完了",IF(G1835="","",IF(G1835&lt;TODAY(),"期限超過",IF(G1835=TODAY(),"今日まで","予定")))))</f>
        <v/>
      </c>
      <c r="K1835" s="22" t="n"/>
      <c r="L1835" s="26" t="n"/>
    </row>
    <row r="1836">
      <c r="A1836" s="11" t="n"/>
      <c r="B1836" s="11" t="n"/>
      <c r="C1836" s="10" t="n"/>
      <c r="D1836" s="11" t="n"/>
      <c r="E1836" s="10" t="n"/>
      <c r="F1836" s="22" t="n"/>
      <c r="G1836" s="24" t="n"/>
      <c r="H1836" s="23" t="n"/>
      <c r="I1836" s="25" t="n"/>
      <c r="J1836" s="10">
        <f>IF(D1836="","",IF(H1836="✓","完了",IF(G1836="","",IF(G1836&lt;TODAY(),"期限超過",IF(G1836=TODAY(),"今日まで","予定")))))</f>
        <v/>
      </c>
      <c r="K1836" s="22" t="n"/>
      <c r="L1836" s="26" t="n"/>
    </row>
    <row r="1837">
      <c r="A1837" s="11" t="n"/>
      <c r="B1837" s="11" t="n"/>
      <c r="C1837" s="10" t="n"/>
      <c r="D1837" s="11" t="n"/>
      <c r="E1837" s="10" t="n"/>
      <c r="F1837" s="22" t="n"/>
      <c r="G1837" s="24" t="n"/>
      <c r="H1837" s="23" t="n"/>
      <c r="I1837" s="25" t="n"/>
      <c r="J1837" s="10">
        <f>IF(D1837="","",IF(H1837="✓","完了",IF(G1837="","",IF(G1837&lt;TODAY(),"期限超過",IF(G1837=TODAY(),"今日まで","予定")))))</f>
        <v/>
      </c>
      <c r="K1837" s="22" t="n"/>
      <c r="L1837" s="26" t="n"/>
    </row>
    <row r="1838">
      <c r="A1838" s="11" t="n"/>
      <c r="B1838" s="11" t="n"/>
      <c r="C1838" s="10" t="n"/>
      <c r="D1838" s="11" t="n"/>
      <c r="E1838" s="10" t="n"/>
      <c r="F1838" s="22" t="n"/>
      <c r="G1838" s="24" t="n"/>
      <c r="H1838" s="23" t="n"/>
      <c r="I1838" s="25" t="n"/>
      <c r="J1838" s="10">
        <f>IF(D1838="","",IF(H1838="✓","完了",IF(G1838="","",IF(G1838&lt;TODAY(),"期限超過",IF(G1838=TODAY(),"今日まで","予定")))))</f>
        <v/>
      </c>
      <c r="K1838" s="22" t="n"/>
      <c r="L1838" s="26" t="n"/>
    </row>
    <row r="1839">
      <c r="A1839" s="11" t="n"/>
      <c r="B1839" s="11" t="n"/>
      <c r="C1839" s="10" t="n"/>
      <c r="D1839" s="11" t="n"/>
      <c r="E1839" s="10" t="n"/>
      <c r="F1839" s="22" t="n"/>
      <c r="G1839" s="24" t="n"/>
      <c r="H1839" s="23" t="n"/>
      <c r="I1839" s="25" t="n"/>
      <c r="J1839" s="10">
        <f>IF(D1839="","",IF(H1839="✓","完了",IF(G1839="","",IF(G1839&lt;TODAY(),"期限超過",IF(G1839=TODAY(),"今日まで","予定")))))</f>
        <v/>
      </c>
      <c r="K1839" s="22" t="n"/>
      <c r="L1839" s="26" t="n"/>
    </row>
    <row r="1840">
      <c r="A1840" s="11" t="n"/>
      <c r="B1840" s="11" t="n"/>
      <c r="C1840" s="10" t="n"/>
      <c r="D1840" s="11" t="n"/>
      <c r="E1840" s="10" t="n"/>
      <c r="F1840" s="22" t="n"/>
      <c r="G1840" s="24" t="n"/>
      <c r="H1840" s="23" t="n"/>
      <c r="I1840" s="25" t="n"/>
      <c r="J1840" s="10">
        <f>IF(D1840="","",IF(H1840="✓","完了",IF(G1840="","",IF(G1840&lt;TODAY(),"期限超過",IF(G1840=TODAY(),"今日まで","予定")))))</f>
        <v/>
      </c>
      <c r="K1840" s="22" t="n"/>
      <c r="L1840" s="26" t="n"/>
    </row>
    <row r="1841">
      <c r="A1841" s="11" t="n"/>
      <c r="B1841" s="11" t="n"/>
      <c r="C1841" s="10" t="n"/>
      <c r="D1841" s="11" t="n"/>
      <c r="E1841" s="10" t="n"/>
      <c r="F1841" s="22" t="n"/>
      <c r="G1841" s="24" t="n"/>
      <c r="H1841" s="23" t="n"/>
      <c r="I1841" s="25" t="n"/>
      <c r="J1841" s="10">
        <f>IF(D1841="","",IF(H1841="✓","完了",IF(G1841="","",IF(G1841&lt;TODAY(),"期限超過",IF(G1841=TODAY(),"今日まで","予定")))))</f>
        <v/>
      </c>
      <c r="K1841" s="22" t="n"/>
      <c r="L1841" s="26" t="n"/>
    </row>
    <row r="1842">
      <c r="A1842" s="11" t="n"/>
      <c r="B1842" s="11" t="n"/>
      <c r="C1842" s="10" t="n"/>
      <c r="D1842" s="11" t="n"/>
      <c r="E1842" s="10" t="n"/>
      <c r="F1842" s="22" t="n"/>
      <c r="G1842" s="24" t="n"/>
      <c r="H1842" s="23" t="n"/>
      <c r="I1842" s="25" t="n"/>
      <c r="J1842" s="10">
        <f>IF(D1842="","",IF(H1842="✓","完了",IF(G1842="","",IF(G1842&lt;TODAY(),"期限超過",IF(G1842=TODAY(),"今日まで","予定")))))</f>
        <v/>
      </c>
      <c r="K1842" s="22" t="n"/>
      <c r="L1842" s="26" t="n"/>
    </row>
    <row r="1843">
      <c r="A1843" s="11" t="n"/>
      <c r="B1843" s="11" t="n"/>
      <c r="C1843" s="10" t="n"/>
      <c r="D1843" s="11" t="n"/>
      <c r="E1843" s="10" t="n"/>
      <c r="F1843" s="22" t="n"/>
      <c r="G1843" s="24" t="n"/>
      <c r="H1843" s="23" t="n"/>
      <c r="I1843" s="25" t="n"/>
      <c r="J1843" s="10">
        <f>IF(D1843="","",IF(H1843="✓","完了",IF(G1843="","",IF(G1843&lt;TODAY(),"期限超過",IF(G1843=TODAY(),"今日まで","予定")))))</f>
        <v/>
      </c>
      <c r="K1843" s="22" t="n"/>
      <c r="L1843" s="26" t="n"/>
    </row>
    <row r="1844">
      <c r="A1844" s="11" t="n"/>
      <c r="B1844" s="11" t="n"/>
      <c r="C1844" s="10" t="n"/>
      <c r="D1844" s="11" t="n"/>
      <c r="E1844" s="10" t="n"/>
      <c r="F1844" s="22" t="n"/>
      <c r="G1844" s="24" t="n"/>
      <c r="H1844" s="23" t="n"/>
      <c r="I1844" s="25" t="n"/>
      <c r="J1844" s="10">
        <f>IF(D1844="","",IF(H1844="✓","完了",IF(G1844="","",IF(G1844&lt;TODAY(),"期限超過",IF(G1844=TODAY(),"今日まで","予定")))))</f>
        <v/>
      </c>
      <c r="K1844" s="22" t="n"/>
      <c r="L1844" s="26" t="n"/>
    </row>
    <row r="1845">
      <c r="A1845" s="11" t="n"/>
      <c r="B1845" s="11" t="n"/>
      <c r="C1845" s="10" t="n"/>
      <c r="D1845" s="11" t="n"/>
      <c r="E1845" s="10" t="n"/>
      <c r="F1845" s="22" t="n"/>
      <c r="G1845" s="24" t="n"/>
      <c r="H1845" s="23" t="n"/>
      <c r="I1845" s="25" t="n"/>
      <c r="J1845" s="10">
        <f>IF(D1845="","",IF(H1845="✓","完了",IF(G1845="","",IF(G1845&lt;TODAY(),"期限超過",IF(G1845=TODAY(),"今日まで","予定")))))</f>
        <v/>
      </c>
      <c r="K1845" s="22" t="n"/>
      <c r="L1845" s="26" t="n"/>
    </row>
    <row r="1846">
      <c r="A1846" s="11" t="n"/>
      <c r="B1846" s="11" t="n"/>
      <c r="C1846" s="10" t="n"/>
      <c r="D1846" s="11" t="n"/>
      <c r="E1846" s="10" t="n"/>
      <c r="F1846" s="22" t="n"/>
      <c r="G1846" s="24" t="n"/>
      <c r="H1846" s="23" t="n"/>
      <c r="I1846" s="25" t="n"/>
      <c r="J1846" s="10">
        <f>IF(D1846="","",IF(H1846="✓","完了",IF(G1846="","",IF(G1846&lt;TODAY(),"期限超過",IF(G1846=TODAY(),"今日まで","予定")))))</f>
        <v/>
      </c>
      <c r="K1846" s="22" t="n"/>
      <c r="L1846" s="26" t="n"/>
    </row>
    <row r="1847">
      <c r="A1847" s="11" t="n"/>
      <c r="B1847" s="11" t="n"/>
      <c r="C1847" s="10" t="n"/>
      <c r="D1847" s="11" t="n"/>
      <c r="E1847" s="10" t="n"/>
      <c r="F1847" s="22" t="n"/>
      <c r="G1847" s="24" t="n"/>
      <c r="H1847" s="23" t="n"/>
      <c r="I1847" s="25" t="n"/>
      <c r="J1847" s="10">
        <f>IF(D1847="","",IF(H1847="✓","完了",IF(G1847="","",IF(G1847&lt;TODAY(),"期限超過",IF(G1847=TODAY(),"今日まで","予定")))))</f>
        <v/>
      </c>
      <c r="K1847" s="22" t="n"/>
      <c r="L1847" s="26" t="n"/>
    </row>
    <row r="1848">
      <c r="A1848" s="11" t="n"/>
      <c r="B1848" s="11" t="n"/>
      <c r="C1848" s="10" t="n"/>
      <c r="D1848" s="11" t="n"/>
      <c r="E1848" s="10" t="n"/>
      <c r="F1848" s="22" t="n"/>
      <c r="G1848" s="24" t="n"/>
      <c r="H1848" s="23" t="n"/>
      <c r="I1848" s="25" t="n"/>
      <c r="J1848" s="10">
        <f>IF(D1848="","",IF(H1848="✓","完了",IF(G1848="","",IF(G1848&lt;TODAY(),"期限超過",IF(G1848=TODAY(),"今日まで","予定")))))</f>
        <v/>
      </c>
      <c r="K1848" s="22" t="n"/>
      <c r="L1848" s="26" t="n"/>
    </row>
    <row r="1849">
      <c r="A1849" s="11" t="n"/>
      <c r="B1849" s="11" t="n"/>
      <c r="C1849" s="10" t="n"/>
      <c r="D1849" s="11" t="n"/>
      <c r="E1849" s="10" t="n"/>
      <c r="F1849" s="22" t="n"/>
      <c r="G1849" s="24" t="n"/>
      <c r="H1849" s="23" t="n"/>
      <c r="I1849" s="25" t="n"/>
      <c r="J1849" s="10">
        <f>IF(D1849="","",IF(H1849="✓","完了",IF(G1849="","",IF(G1849&lt;TODAY(),"期限超過",IF(G1849=TODAY(),"今日まで","予定")))))</f>
        <v/>
      </c>
      <c r="K1849" s="22" t="n"/>
      <c r="L1849" s="26" t="n"/>
    </row>
    <row r="1850">
      <c r="A1850" s="11" t="n"/>
      <c r="B1850" s="11" t="n"/>
      <c r="C1850" s="10" t="n"/>
      <c r="D1850" s="11" t="n"/>
      <c r="E1850" s="10" t="n"/>
      <c r="F1850" s="22" t="n"/>
      <c r="G1850" s="24" t="n"/>
      <c r="H1850" s="23" t="n"/>
      <c r="I1850" s="25" t="n"/>
      <c r="J1850" s="10">
        <f>IF(D1850="","",IF(H1850="✓","完了",IF(G1850="","",IF(G1850&lt;TODAY(),"期限超過",IF(G1850=TODAY(),"今日まで","予定")))))</f>
        <v/>
      </c>
      <c r="K1850" s="22" t="n"/>
      <c r="L1850" s="26" t="n"/>
    </row>
    <row r="1851">
      <c r="A1851" s="11" t="n"/>
      <c r="B1851" s="11" t="n"/>
      <c r="C1851" s="10" t="n"/>
      <c r="D1851" s="11" t="n"/>
      <c r="E1851" s="10" t="n"/>
      <c r="F1851" s="22" t="n"/>
      <c r="G1851" s="24" t="n"/>
      <c r="H1851" s="23" t="n"/>
      <c r="I1851" s="25" t="n"/>
      <c r="J1851" s="10">
        <f>IF(D1851="","",IF(H1851="✓","完了",IF(G1851="","",IF(G1851&lt;TODAY(),"期限超過",IF(G1851=TODAY(),"今日まで","予定")))))</f>
        <v/>
      </c>
      <c r="K1851" s="22" t="n"/>
      <c r="L1851" s="26" t="n"/>
    </row>
    <row r="1852">
      <c r="A1852" s="11" t="n"/>
      <c r="B1852" s="11" t="n"/>
      <c r="C1852" s="10" t="n"/>
      <c r="D1852" s="11" t="n"/>
      <c r="E1852" s="10" t="n"/>
      <c r="F1852" s="22" t="n"/>
      <c r="G1852" s="24" t="n"/>
      <c r="H1852" s="23" t="n"/>
      <c r="I1852" s="25" t="n"/>
      <c r="J1852" s="10">
        <f>IF(D1852="","",IF(H1852="✓","完了",IF(G1852="","",IF(G1852&lt;TODAY(),"期限超過",IF(G1852=TODAY(),"今日まで","予定")))))</f>
        <v/>
      </c>
      <c r="K1852" s="22" t="n"/>
      <c r="L1852" s="26" t="n"/>
    </row>
    <row r="1853">
      <c r="A1853" s="11" t="n"/>
      <c r="B1853" s="11" t="n"/>
      <c r="C1853" s="10" t="n"/>
      <c r="D1853" s="11" t="n"/>
      <c r="E1853" s="10" t="n"/>
      <c r="F1853" s="22" t="n"/>
      <c r="G1853" s="24" t="n"/>
      <c r="H1853" s="23" t="n"/>
      <c r="I1853" s="25" t="n"/>
      <c r="J1853" s="10">
        <f>IF(D1853="","",IF(H1853="✓","完了",IF(G1853="","",IF(G1853&lt;TODAY(),"期限超過",IF(G1853=TODAY(),"今日まで","予定")))))</f>
        <v/>
      </c>
      <c r="K1853" s="22" t="n"/>
      <c r="L1853" s="26" t="n"/>
    </row>
    <row r="1854">
      <c r="A1854" s="11" t="n"/>
      <c r="B1854" s="11" t="n"/>
      <c r="C1854" s="10" t="n"/>
      <c r="D1854" s="11" t="n"/>
      <c r="E1854" s="10" t="n"/>
      <c r="F1854" s="22" t="n"/>
      <c r="G1854" s="24" t="n"/>
      <c r="H1854" s="23" t="n"/>
      <c r="I1854" s="25" t="n"/>
      <c r="J1854" s="10">
        <f>IF(D1854="","",IF(H1854="✓","完了",IF(G1854="","",IF(G1854&lt;TODAY(),"期限超過",IF(G1854=TODAY(),"今日まで","予定")))))</f>
        <v/>
      </c>
      <c r="K1854" s="22" t="n"/>
      <c r="L1854" s="26" t="n"/>
    </row>
    <row r="1855">
      <c r="A1855" s="11" t="n"/>
      <c r="B1855" s="11" t="n"/>
      <c r="C1855" s="10" t="n"/>
      <c r="D1855" s="11" t="n"/>
      <c r="E1855" s="10" t="n"/>
      <c r="F1855" s="22" t="n"/>
      <c r="G1855" s="24" t="n"/>
      <c r="H1855" s="23" t="n"/>
      <c r="I1855" s="25" t="n"/>
      <c r="J1855" s="10">
        <f>IF(D1855="","",IF(H1855="✓","完了",IF(G1855="","",IF(G1855&lt;TODAY(),"期限超過",IF(G1855=TODAY(),"今日まで","予定")))))</f>
        <v/>
      </c>
      <c r="K1855" s="22" t="n"/>
      <c r="L1855" s="26" t="n"/>
    </row>
    <row r="1856">
      <c r="A1856" s="11" t="n"/>
      <c r="B1856" s="11" t="n"/>
      <c r="C1856" s="10" t="n"/>
      <c r="D1856" s="11" t="n"/>
      <c r="E1856" s="10" t="n"/>
      <c r="F1856" s="22" t="n"/>
      <c r="G1856" s="24" t="n"/>
      <c r="H1856" s="23" t="n"/>
      <c r="I1856" s="25" t="n"/>
      <c r="J1856" s="10">
        <f>IF(D1856="","",IF(H1856="✓","完了",IF(G1856="","",IF(G1856&lt;TODAY(),"期限超過",IF(G1856=TODAY(),"今日まで","予定")))))</f>
        <v/>
      </c>
      <c r="K1856" s="22" t="n"/>
      <c r="L1856" s="26" t="n"/>
    </row>
    <row r="1857">
      <c r="A1857" s="11" t="n"/>
      <c r="B1857" s="11" t="n"/>
      <c r="C1857" s="10" t="n"/>
      <c r="D1857" s="11" t="n"/>
      <c r="E1857" s="10" t="n"/>
      <c r="F1857" s="22" t="n"/>
      <c r="G1857" s="24" t="n"/>
      <c r="H1857" s="23" t="n"/>
      <c r="I1857" s="25" t="n"/>
      <c r="J1857" s="10">
        <f>IF(D1857="","",IF(H1857="✓","完了",IF(G1857="","",IF(G1857&lt;TODAY(),"期限超過",IF(G1857=TODAY(),"今日まで","予定")))))</f>
        <v/>
      </c>
      <c r="K1857" s="22" t="n"/>
      <c r="L1857" s="26" t="n"/>
    </row>
    <row r="1858">
      <c r="A1858" s="11" t="n"/>
      <c r="B1858" s="11" t="n"/>
      <c r="C1858" s="10" t="n"/>
      <c r="D1858" s="11" t="n"/>
      <c r="E1858" s="10" t="n"/>
      <c r="F1858" s="22" t="n"/>
      <c r="G1858" s="24" t="n"/>
      <c r="H1858" s="23" t="n"/>
      <c r="I1858" s="25" t="n"/>
      <c r="J1858" s="10">
        <f>IF(D1858="","",IF(H1858="✓","完了",IF(G1858="","",IF(G1858&lt;TODAY(),"期限超過",IF(G1858=TODAY(),"今日まで","予定")))))</f>
        <v/>
      </c>
      <c r="K1858" s="22" t="n"/>
      <c r="L1858" s="26" t="n"/>
    </row>
    <row r="1859">
      <c r="A1859" s="11" t="n"/>
      <c r="B1859" s="11" t="n"/>
      <c r="C1859" s="10" t="n"/>
      <c r="D1859" s="11" t="n"/>
      <c r="E1859" s="10" t="n"/>
      <c r="F1859" s="22" t="n"/>
      <c r="G1859" s="24" t="n"/>
      <c r="H1859" s="23" t="n"/>
      <c r="I1859" s="25" t="n"/>
      <c r="J1859" s="10">
        <f>IF(D1859="","",IF(H1859="✓","完了",IF(G1859="","",IF(G1859&lt;TODAY(),"期限超過",IF(G1859=TODAY(),"今日まで","予定")))))</f>
        <v/>
      </c>
      <c r="K1859" s="22" t="n"/>
      <c r="L1859" s="26" t="n"/>
    </row>
    <row r="1860">
      <c r="A1860" s="11" t="n"/>
      <c r="B1860" s="11" t="n"/>
      <c r="C1860" s="10" t="n"/>
      <c r="D1860" s="11" t="n"/>
      <c r="E1860" s="10" t="n"/>
      <c r="F1860" s="22" t="n"/>
      <c r="G1860" s="24" t="n"/>
      <c r="H1860" s="23" t="n"/>
      <c r="I1860" s="25" t="n"/>
      <c r="J1860" s="10">
        <f>IF(D1860="","",IF(H1860="✓","完了",IF(G1860="","",IF(G1860&lt;TODAY(),"期限超過",IF(G1860=TODAY(),"今日まで","予定")))))</f>
        <v/>
      </c>
      <c r="K1860" s="22" t="n"/>
      <c r="L1860" s="26" t="n"/>
    </row>
    <row r="1861">
      <c r="A1861" s="11" t="n"/>
      <c r="B1861" s="11" t="n"/>
      <c r="C1861" s="10" t="n"/>
      <c r="D1861" s="11" t="n"/>
      <c r="E1861" s="10" t="n"/>
      <c r="F1861" s="22" t="n"/>
      <c r="G1861" s="24" t="n"/>
      <c r="H1861" s="23" t="n"/>
      <c r="I1861" s="25" t="n"/>
      <c r="J1861" s="10">
        <f>IF(D1861="","",IF(H1861="✓","完了",IF(G1861="","",IF(G1861&lt;TODAY(),"期限超過",IF(G1861=TODAY(),"今日まで","予定")))))</f>
        <v/>
      </c>
      <c r="K1861" s="22" t="n"/>
      <c r="L1861" s="26" t="n"/>
    </row>
    <row r="1862">
      <c r="A1862" s="11" t="n"/>
      <c r="B1862" s="11" t="n"/>
      <c r="C1862" s="10" t="n"/>
      <c r="D1862" s="11" t="n"/>
      <c r="E1862" s="10" t="n"/>
      <c r="F1862" s="22" t="n"/>
      <c r="G1862" s="24" t="n"/>
      <c r="H1862" s="23" t="n"/>
      <c r="I1862" s="25" t="n"/>
      <c r="J1862" s="10">
        <f>IF(D1862="","",IF(H1862="✓","完了",IF(G1862="","",IF(G1862&lt;TODAY(),"期限超過",IF(G1862=TODAY(),"今日まで","予定")))))</f>
        <v/>
      </c>
      <c r="K1862" s="22" t="n"/>
      <c r="L1862" s="26" t="n"/>
    </row>
    <row r="1863">
      <c r="A1863" s="11" t="n"/>
      <c r="B1863" s="11" t="n"/>
      <c r="C1863" s="10" t="n"/>
      <c r="D1863" s="11" t="n"/>
      <c r="E1863" s="10" t="n"/>
      <c r="F1863" s="22" t="n"/>
      <c r="G1863" s="24" t="n"/>
      <c r="H1863" s="23" t="n"/>
      <c r="I1863" s="25" t="n"/>
      <c r="J1863" s="10">
        <f>IF(D1863="","",IF(H1863="✓","完了",IF(G1863="","",IF(G1863&lt;TODAY(),"期限超過",IF(G1863=TODAY(),"今日まで","予定")))))</f>
        <v/>
      </c>
      <c r="K1863" s="22" t="n"/>
      <c r="L1863" s="26" t="n"/>
    </row>
    <row r="1864">
      <c r="A1864" s="11" t="n"/>
      <c r="B1864" s="11" t="n"/>
      <c r="C1864" s="10" t="n"/>
      <c r="D1864" s="11" t="n"/>
      <c r="E1864" s="10" t="n"/>
      <c r="F1864" s="22" t="n"/>
      <c r="G1864" s="24" t="n"/>
      <c r="H1864" s="23" t="n"/>
      <c r="I1864" s="25" t="n"/>
      <c r="J1864" s="10">
        <f>IF(D1864="","",IF(H1864="✓","完了",IF(G1864="","",IF(G1864&lt;TODAY(),"期限超過",IF(G1864=TODAY(),"今日まで","予定")))))</f>
        <v/>
      </c>
      <c r="K1864" s="22" t="n"/>
      <c r="L1864" s="26" t="n"/>
    </row>
    <row r="1865">
      <c r="A1865" s="11" t="n"/>
      <c r="B1865" s="11" t="n"/>
      <c r="C1865" s="10" t="n"/>
      <c r="D1865" s="11" t="n"/>
      <c r="E1865" s="10" t="n"/>
      <c r="F1865" s="22" t="n"/>
      <c r="G1865" s="24" t="n"/>
      <c r="H1865" s="23" t="n"/>
      <c r="I1865" s="25" t="n"/>
      <c r="J1865" s="10">
        <f>IF(D1865="","",IF(H1865="✓","完了",IF(G1865="","",IF(G1865&lt;TODAY(),"期限超過",IF(G1865=TODAY(),"今日まで","予定")))))</f>
        <v/>
      </c>
      <c r="K1865" s="22" t="n"/>
      <c r="L1865" s="26" t="n"/>
    </row>
    <row r="1866">
      <c r="A1866" s="11" t="n"/>
      <c r="B1866" s="11" t="n"/>
      <c r="C1866" s="10" t="n"/>
      <c r="D1866" s="11" t="n"/>
      <c r="E1866" s="10" t="n"/>
      <c r="F1866" s="22" t="n"/>
      <c r="G1866" s="24" t="n"/>
      <c r="H1866" s="23" t="n"/>
      <c r="I1866" s="25" t="n"/>
      <c r="J1866" s="10">
        <f>IF(D1866="","",IF(H1866="✓","完了",IF(G1866="","",IF(G1866&lt;TODAY(),"期限超過",IF(G1866=TODAY(),"今日まで","予定")))))</f>
        <v/>
      </c>
      <c r="K1866" s="22" t="n"/>
      <c r="L1866" s="26" t="n"/>
    </row>
    <row r="1867">
      <c r="A1867" s="11" t="n"/>
      <c r="B1867" s="11" t="n"/>
      <c r="C1867" s="10" t="n"/>
      <c r="D1867" s="11" t="n"/>
      <c r="E1867" s="10" t="n"/>
      <c r="F1867" s="22" t="n"/>
      <c r="G1867" s="24" t="n"/>
      <c r="H1867" s="23" t="n"/>
      <c r="I1867" s="25" t="n"/>
      <c r="J1867" s="10">
        <f>IF(D1867="","",IF(H1867="✓","完了",IF(G1867="","",IF(G1867&lt;TODAY(),"期限超過",IF(G1867=TODAY(),"今日まで","予定")))))</f>
        <v/>
      </c>
      <c r="K1867" s="22" t="n"/>
      <c r="L1867" s="26" t="n"/>
    </row>
    <row r="1868">
      <c r="A1868" s="11" t="n"/>
      <c r="B1868" s="11" t="n"/>
      <c r="C1868" s="10" t="n"/>
      <c r="D1868" s="11" t="n"/>
      <c r="E1868" s="10" t="n"/>
      <c r="F1868" s="22" t="n"/>
      <c r="G1868" s="24" t="n"/>
      <c r="H1868" s="23" t="n"/>
      <c r="I1868" s="25" t="n"/>
      <c r="J1868" s="10">
        <f>IF(D1868="","",IF(H1868="✓","完了",IF(G1868="","",IF(G1868&lt;TODAY(),"期限超過",IF(G1868=TODAY(),"今日まで","予定")))))</f>
        <v/>
      </c>
      <c r="K1868" s="22" t="n"/>
      <c r="L1868" s="26" t="n"/>
    </row>
    <row r="1869">
      <c r="A1869" s="11" t="n"/>
      <c r="B1869" s="11" t="n"/>
      <c r="C1869" s="10" t="n"/>
      <c r="D1869" s="11" t="n"/>
      <c r="E1869" s="10" t="n"/>
      <c r="F1869" s="22" t="n"/>
      <c r="G1869" s="24" t="n"/>
      <c r="H1869" s="23" t="n"/>
      <c r="I1869" s="25" t="n"/>
      <c r="J1869" s="10">
        <f>IF(D1869="","",IF(H1869="✓","完了",IF(G1869="","",IF(G1869&lt;TODAY(),"期限超過",IF(G1869=TODAY(),"今日まで","予定")))))</f>
        <v/>
      </c>
      <c r="K1869" s="22" t="n"/>
      <c r="L1869" s="26" t="n"/>
    </row>
    <row r="1870">
      <c r="A1870" s="11" t="n"/>
      <c r="B1870" s="11" t="n"/>
      <c r="C1870" s="10" t="n"/>
      <c r="D1870" s="11" t="n"/>
      <c r="E1870" s="10" t="n"/>
      <c r="F1870" s="22" t="n"/>
      <c r="G1870" s="24" t="n"/>
      <c r="H1870" s="23" t="n"/>
      <c r="I1870" s="25" t="n"/>
      <c r="J1870" s="10">
        <f>IF(D1870="","",IF(H1870="✓","完了",IF(G1870="","",IF(G1870&lt;TODAY(),"期限超過",IF(G1870=TODAY(),"今日まで","予定")))))</f>
        <v/>
      </c>
      <c r="K1870" s="22" t="n"/>
      <c r="L1870" s="26" t="n"/>
    </row>
    <row r="1871">
      <c r="A1871" s="11" t="n"/>
      <c r="B1871" s="11" t="n"/>
      <c r="C1871" s="10" t="n"/>
      <c r="D1871" s="11" t="n"/>
      <c r="E1871" s="10" t="n"/>
      <c r="F1871" s="22" t="n"/>
      <c r="G1871" s="24" t="n"/>
      <c r="H1871" s="23" t="n"/>
      <c r="I1871" s="25" t="n"/>
      <c r="J1871" s="10">
        <f>IF(D1871="","",IF(H1871="✓","完了",IF(G1871="","",IF(G1871&lt;TODAY(),"期限超過",IF(G1871=TODAY(),"今日まで","予定")))))</f>
        <v/>
      </c>
      <c r="K1871" s="22" t="n"/>
      <c r="L1871" s="26" t="n"/>
    </row>
    <row r="1872">
      <c r="A1872" s="11" t="n"/>
      <c r="B1872" s="11" t="n"/>
      <c r="C1872" s="10" t="n"/>
      <c r="D1872" s="11" t="n"/>
      <c r="E1872" s="10" t="n"/>
      <c r="F1872" s="22" t="n"/>
      <c r="G1872" s="24" t="n"/>
      <c r="H1872" s="23" t="n"/>
      <c r="I1872" s="25" t="n"/>
      <c r="J1872" s="10">
        <f>IF(D1872="","",IF(H1872="✓","完了",IF(G1872="","",IF(G1872&lt;TODAY(),"期限超過",IF(G1872=TODAY(),"今日まで","予定")))))</f>
        <v/>
      </c>
      <c r="K1872" s="22" t="n"/>
      <c r="L1872" s="26" t="n"/>
    </row>
    <row r="1873">
      <c r="A1873" s="11" t="n"/>
      <c r="B1873" s="11" t="n"/>
      <c r="C1873" s="10" t="n"/>
      <c r="D1873" s="11" t="n"/>
      <c r="E1873" s="10" t="n"/>
      <c r="F1873" s="22" t="n"/>
      <c r="G1873" s="24" t="n"/>
      <c r="H1873" s="23" t="n"/>
      <c r="I1873" s="25" t="n"/>
      <c r="J1873" s="10">
        <f>IF(D1873="","",IF(H1873="✓","完了",IF(G1873="","",IF(G1873&lt;TODAY(),"期限超過",IF(G1873=TODAY(),"今日まで","予定")))))</f>
        <v/>
      </c>
      <c r="K1873" s="22" t="n"/>
      <c r="L1873" s="26" t="n"/>
    </row>
    <row r="1874">
      <c r="A1874" s="11" t="n"/>
      <c r="B1874" s="11" t="n"/>
      <c r="C1874" s="10" t="n"/>
      <c r="D1874" s="11" t="n"/>
      <c r="E1874" s="10" t="n"/>
      <c r="F1874" s="22" t="n"/>
      <c r="G1874" s="24" t="n"/>
      <c r="H1874" s="23" t="n"/>
      <c r="I1874" s="25" t="n"/>
      <c r="J1874" s="10">
        <f>IF(D1874="","",IF(H1874="✓","完了",IF(G1874="","",IF(G1874&lt;TODAY(),"期限超過",IF(G1874=TODAY(),"今日まで","予定")))))</f>
        <v/>
      </c>
      <c r="K1874" s="22" t="n"/>
      <c r="L1874" s="26" t="n"/>
    </row>
    <row r="1875">
      <c r="A1875" s="11" t="n"/>
      <c r="B1875" s="11" t="n"/>
      <c r="C1875" s="10" t="n"/>
      <c r="D1875" s="11" t="n"/>
      <c r="E1875" s="10" t="n"/>
      <c r="F1875" s="22" t="n"/>
      <c r="G1875" s="24" t="n"/>
      <c r="H1875" s="23" t="n"/>
      <c r="I1875" s="25" t="n"/>
      <c r="J1875" s="10">
        <f>IF(D1875="","",IF(H1875="✓","完了",IF(G1875="","",IF(G1875&lt;TODAY(),"期限超過",IF(G1875=TODAY(),"今日まで","予定")))))</f>
        <v/>
      </c>
      <c r="K1875" s="22" t="n"/>
      <c r="L1875" s="26" t="n"/>
    </row>
    <row r="1876">
      <c r="A1876" s="11" t="n"/>
      <c r="B1876" s="11" t="n"/>
      <c r="C1876" s="10" t="n"/>
      <c r="D1876" s="11" t="n"/>
      <c r="E1876" s="10" t="n"/>
      <c r="F1876" s="22" t="n"/>
      <c r="G1876" s="24" t="n"/>
      <c r="H1876" s="23" t="n"/>
      <c r="I1876" s="25" t="n"/>
      <c r="J1876" s="10">
        <f>IF(D1876="","",IF(H1876="✓","完了",IF(G1876="","",IF(G1876&lt;TODAY(),"期限超過",IF(G1876=TODAY(),"今日まで","予定")))))</f>
        <v/>
      </c>
      <c r="K1876" s="22" t="n"/>
      <c r="L1876" s="26" t="n"/>
    </row>
    <row r="1877">
      <c r="A1877" s="11" t="n"/>
      <c r="B1877" s="11" t="n"/>
      <c r="C1877" s="10" t="n"/>
      <c r="D1877" s="11" t="n"/>
      <c r="E1877" s="10" t="n"/>
      <c r="F1877" s="22" t="n"/>
      <c r="G1877" s="24" t="n"/>
      <c r="H1877" s="23" t="n"/>
      <c r="I1877" s="25" t="n"/>
      <c r="J1877" s="10">
        <f>IF(D1877="","",IF(H1877="✓","完了",IF(G1877="","",IF(G1877&lt;TODAY(),"期限超過",IF(G1877=TODAY(),"今日まで","予定")))))</f>
        <v/>
      </c>
      <c r="K1877" s="22" t="n"/>
      <c r="L1877" s="26" t="n"/>
    </row>
    <row r="1878">
      <c r="A1878" s="11" t="n"/>
      <c r="B1878" s="11" t="n"/>
      <c r="C1878" s="10" t="n"/>
      <c r="D1878" s="11" t="n"/>
      <c r="E1878" s="10" t="n"/>
      <c r="F1878" s="22" t="n"/>
      <c r="G1878" s="24" t="n"/>
      <c r="H1878" s="23" t="n"/>
      <c r="I1878" s="25" t="n"/>
      <c r="J1878" s="10">
        <f>IF(D1878="","",IF(H1878="✓","完了",IF(G1878="","",IF(G1878&lt;TODAY(),"期限超過",IF(G1878=TODAY(),"今日まで","予定")))))</f>
        <v/>
      </c>
      <c r="K1878" s="22" t="n"/>
      <c r="L1878" s="26" t="n"/>
    </row>
    <row r="1879">
      <c r="A1879" s="11" t="n"/>
      <c r="B1879" s="11" t="n"/>
      <c r="C1879" s="10" t="n"/>
      <c r="D1879" s="11" t="n"/>
      <c r="E1879" s="10" t="n"/>
      <c r="F1879" s="22" t="n"/>
      <c r="G1879" s="24" t="n"/>
      <c r="H1879" s="23" t="n"/>
      <c r="I1879" s="25" t="n"/>
      <c r="J1879" s="10">
        <f>IF(D1879="","",IF(H1879="✓","完了",IF(G1879="","",IF(G1879&lt;TODAY(),"期限超過",IF(G1879=TODAY(),"今日まで","予定")))))</f>
        <v/>
      </c>
      <c r="K1879" s="22" t="n"/>
      <c r="L1879" s="26" t="n"/>
    </row>
    <row r="1880">
      <c r="A1880" s="11" t="n"/>
      <c r="B1880" s="11" t="n"/>
      <c r="C1880" s="10" t="n"/>
      <c r="D1880" s="11" t="n"/>
      <c r="E1880" s="10" t="n"/>
      <c r="F1880" s="22" t="n"/>
      <c r="G1880" s="24" t="n"/>
      <c r="H1880" s="23" t="n"/>
      <c r="I1880" s="25" t="n"/>
      <c r="J1880" s="10">
        <f>IF(D1880="","",IF(H1880="✓","完了",IF(G1880="","",IF(G1880&lt;TODAY(),"期限超過",IF(G1880=TODAY(),"今日まで","予定")))))</f>
        <v/>
      </c>
      <c r="K1880" s="22" t="n"/>
      <c r="L1880" s="26" t="n"/>
    </row>
    <row r="1881">
      <c r="A1881" s="11" t="n"/>
      <c r="B1881" s="11" t="n"/>
      <c r="C1881" s="10" t="n"/>
      <c r="D1881" s="11" t="n"/>
      <c r="E1881" s="10" t="n"/>
      <c r="F1881" s="22" t="n"/>
      <c r="G1881" s="24" t="n"/>
      <c r="H1881" s="23" t="n"/>
      <c r="I1881" s="25" t="n"/>
      <c r="J1881" s="10">
        <f>IF(D1881="","",IF(H1881="✓","完了",IF(G1881="","",IF(G1881&lt;TODAY(),"期限超過",IF(G1881=TODAY(),"今日まで","予定")))))</f>
        <v/>
      </c>
      <c r="K1881" s="22" t="n"/>
      <c r="L1881" s="26" t="n"/>
    </row>
    <row r="1882">
      <c r="A1882" s="11" t="n"/>
      <c r="B1882" s="11" t="n"/>
      <c r="C1882" s="10" t="n"/>
      <c r="D1882" s="11" t="n"/>
      <c r="E1882" s="10" t="n"/>
      <c r="F1882" s="22" t="n"/>
      <c r="G1882" s="24" t="n"/>
      <c r="H1882" s="23" t="n"/>
      <c r="I1882" s="25" t="n"/>
      <c r="J1882" s="10">
        <f>IF(D1882="","",IF(H1882="✓","完了",IF(G1882="","",IF(G1882&lt;TODAY(),"期限超過",IF(G1882=TODAY(),"今日まで","予定")))))</f>
        <v/>
      </c>
      <c r="K1882" s="22" t="n"/>
      <c r="L1882" s="26" t="n"/>
    </row>
    <row r="1883">
      <c r="A1883" s="11" t="n"/>
      <c r="B1883" s="11" t="n"/>
      <c r="C1883" s="10" t="n"/>
      <c r="D1883" s="11" t="n"/>
      <c r="E1883" s="10" t="n"/>
      <c r="F1883" s="22" t="n"/>
      <c r="G1883" s="24" t="n"/>
      <c r="H1883" s="23" t="n"/>
      <c r="I1883" s="25" t="n"/>
      <c r="J1883" s="10">
        <f>IF(D1883="","",IF(H1883="✓","完了",IF(G1883="","",IF(G1883&lt;TODAY(),"期限超過",IF(G1883=TODAY(),"今日まで","予定")))))</f>
        <v/>
      </c>
      <c r="K1883" s="22" t="n"/>
      <c r="L1883" s="26" t="n"/>
    </row>
    <row r="1884">
      <c r="A1884" s="11" t="n"/>
      <c r="B1884" s="11" t="n"/>
      <c r="C1884" s="10" t="n"/>
      <c r="D1884" s="11" t="n"/>
      <c r="E1884" s="10" t="n"/>
      <c r="F1884" s="22" t="n"/>
      <c r="G1884" s="24" t="n"/>
      <c r="H1884" s="23" t="n"/>
      <c r="I1884" s="25" t="n"/>
      <c r="J1884" s="10">
        <f>IF(D1884="","",IF(H1884="✓","完了",IF(G1884="","",IF(G1884&lt;TODAY(),"期限超過",IF(G1884=TODAY(),"今日まで","予定")))))</f>
        <v/>
      </c>
      <c r="K1884" s="22" t="n"/>
      <c r="L1884" s="26" t="n"/>
    </row>
    <row r="1885">
      <c r="A1885" s="11" t="n"/>
      <c r="B1885" s="11" t="n"/>
      <c r="C1885" s="10" t="n"/>
      <c r="D1885" s="11" t="n"/>
      <c r="E1885" s="10" t="n"/>
      <c r="F1885" s="22" t="n"/>
      <c r="G1885" s="24" t="n"/>
      <c r="H1885" s="23" t="n"/>
      <c r="I1885" s="25" t="n"/>
      <c r="J1885" s="10">
        <f>IF(D1885="","",IF(H1885="✓","完了",IF(G1885="","",IF(G1885&lt;TODAY(),"期限超過",IF(G1885=TODAY(),"今日まで","予定")))))</f>
        <v/>
      </c>
      <c r="K1885" s="22" t="n"/>
      <c r="L1885" s="26" t="n"/>
    </row>
    <row r="1886">
      <c r="A1886" s="11" t="n"/>
      <c r="B1886" s="11" t="n"/>
      <c r="C1886" s="10" t="n"/>
      <c r="D1886" s="11" t="n"/>
      <c r="E1886" s="10" t="n"/>
      <c r="F1886" s="22" t="n"/>
      <c r="G1886" s="24" t="n"/>
      <c r="H1886" s="23" t="n"/>
      <c r="I1886" s="25" t="n"/>
      <c r="J1886" s="10">
        <f>IF(D1886="","",IF(H1886="✓","完了",IF(G1886="","",IF(G1886&lt;TODAY(),"期限超過",IF(G1886=TODAY(),"今日まで","予定")))))</f>
        <v/>
      </c>
      <c r="K1886" s="22" t="n"/>
      <c r="L1886" s="26" t="n"/>
    </row>
    <row r="1887">
      <c r="A1887" s="11" t="n"/>
      <c r="B1887" s="11" t="n"/>
      <c r="C1887" s="10" t="n"/>
      <c r="D1887" s="11" t="n"/>
      <c r="E1887" s="10" t="n"/>
      <c r="F1887" s="22" t="n"/>
      <c r="G1887" s="24" t="n"/>
      <c r="H1887" s="23" t="n"/>
      <c r="I1887" s="25" t="n"/>
      <c r="J1887" s="10">
        <f>IF(D1887="","",IF(H1887="✓","完了",IF(G1887="","",IF(G1887&lt;TODAY(),"期限超過",IF(G1887=TODAY(),"今日まで","予定")))))</f>
        <v/>
      </c>
      <c r="K1887" s="22" t="n"/>
      <c r="L1887" s="26" t="n"/>
    </row>
    <row r="1888">
      <c r="A1888" s="11" t="n"/>
      <c r="B1888" s="11" t="n"/>
      <c r="C1888" s="10" t="n"/>
      <c r="D1888" s="11" t="n"/>
      <c r="E1888" s="10" t="n"/>
      <c r="F1888" s="22" t="n"/>
      <c r="G1888" s="24" t="n"/>
      <c r="H1888" s="23" t="n"/>
      <c r="I1888" s="25" t="n"/>
      <c r="J1888" s="10">
        <f>IF(D1888="","",IF(H1888="✓","完了",IF(G1888="","",IF(G1888&lt;TODAY(),"期限超過",IF(G1888=TODAY(),"今日まで","予定")))))</f>
        <v/>
      </c>
      <c r="K1888" s="22" t="n"/>
      <c r="L1888" s="26" t="n"/>
    </row>
    <row r="1889">
      <c r="A1889" s="11" t="n"/>
      <c r="B1889" s="11" t="n"/>
      <c r="C1889" s="10" t="n"/>
      <c r="D1889" s="11" t="n"/>
      <c r="E1889" s="10" t="n"/>
      <c r="F1889" s="22" t="n"/>
      <c r="G1889" s="24" t="n"/>
      <c r="H1889" s="23" t="n"/>
      <c r="I1889" s="25" t="n"/>
      <c r="J1889" s="10">
        <f>IF(D1889="","",IF(H1889="✓","完了",IF(G1889="","",IF(G1889&lt;TODAY(),"期限超過",IF(G1889=TODAY(),"今日まで","予定")))))</f>
        <v/>
      </c>
      <c r="K1889" s="22" t="n"/>
      <c r="L1889" s="26" t="n"/>
    </row>
    <row r="1890">
      <c r="A1890" s="11" t="n"/>
      <c r="B1890" s="11" t="n"/>
      <c r="C1890" s="10" t="n"/>
      <c r="D1890" s="11" t="n"/>
      <c r="E1890" s="10" t="n"/>
      <c r="F1890" s="22" t="n"/>
      <c r="G1890" s="24" t="n"/>
      <c r="H1890" s="23" t="n"/>
      <c r="I1890" s="25" t="n"/>
      <c r="J1890" s="10">
        <f>IF(D1890="","",IF(H1890="✓","完了",IF(G1890="","",IF(G1890&lt;TODAY(),"期限超過",IF(G1890=TODAY(),"今日まで","予定")))))</f>
        <v/>
      </c>
      <c r="K1890" s="22" t="n"/>
      <c r="L1890" s="26" t="n"/>
    </row>
    <row r="1891">
      <c r="A1891" s="11" t="n"/>
      <c r="B1891" s="11" t="n"/>
      <c r="C1891" s="10" t="n"/>
      <c r="D1891" s="11" t="n"/>
      <c r="E1891" s="10" t="n"/>
      <c r="F1891" s="22" t="n"/>
      <c r="G1891" s="24" t="n"/>
      <c r="H1891" s="23" t="n"/>
      <c r="I1891" s="25" t="n"/>
      <c r="J1891" s="10">
        <f>IF(D1891="","",IF(H1891="✓","完了",IF(G1891="","",IF(G1891&lt;TODAY(),"期限超過",IF(G1891=TODAY(),"今日まで","予定")))))</f>
        <v/>
      </c>
      <c r="K1891" s="22" t="n"/>
      <c r="L1891" s="26" t="n"/>
    </row>
    <row r="1892">
      <c r="A1892" s="11" t="n"/>
      <c r="B1892" s="11" t="n"/>
      <c r="C1892" s="10" t="n"/>
      <c r="D1892" s="11" t="n"/>
      <c r="E1892" s="10" t="n"/>
      <c r="F1892" s="22" t="n"/>
      <c r="G1892" s="24" t="n"/>
      <c r="H1892" s="23" t="n"/>
      <c r="I1892" s="25" t="n"/>
      <c r="J1892" s="10">
        <f>IF(D1892="","",IF(H1892="✓","完了",IF(G1892="","",IF(G1892&lt;TODAY(),"期限超過",IF(G1892=TODAY(),"今日まで","予定")))))</f>
        <v/>
      </c>
      <c r="K1892" s="22" t="n"/>
      <c r="L1892" s="26" t="n"/>
    </row>
    <row r="1893">
      <c r="A1893" s="11" t="n"/>
      <c r="B1893" s="11" t="n"/>
      <c r="C1893" s="10" t="n"/>
      <c r="D1893" s="11" t="n"/>
      <c r="E1893" s="10" t="n"/>
      <c r="F1893" s="22" t="n"/>
      <c r="G1893" s="24" t="n"/>
      <c r="H1893" s="23" t="n"/>
      <c r="I1893" s="25" t="n"/>
      <c r="J1893" s="10">
        <f>IF(D1893="","",IF(H1893="✓","完了",IF(G1893="","",IF(G1893&lt;TODAY(),"期限超過",IF(G1893=TODAY(),"今日まで","予定")))))</f>
        <v/>
      </c>
      <c r="K1893" s="22" t="n"/>
      <c r="L1893" s="26" t="n"/>
    </row>
    <row r="1894">
      <c r="A1894" s="11" t="n"/>
      <c r="B1894" s="11" t="n"/>
      <c r="C1894" s="10" t="n"/>
      <c r="D1894" s="11" t="n"/>
      <c r="E1894" s="10" t="n"/>
      <c r="F1894" s="22" t="n"/>
      <c r="G1894" s="24" t="n"/>
      <c r="H1894" s="23" t="n"/>
      <c r="I1894" s="25" t="n"/>
      <c r="J1894" s="10">
        <f>IF(D1894="","",IF(H1894="✓","完了",IF(G1894="","",IF(G1894&lt;TODAY(),"期限超過",IF(G1894=TODAY(),"今日まで","予定")))))</f>
        <v/>
      </c>
      <c r="K1894" s="22" t="n"/>
      <c r="L1894" s="26" t="n"/>
    </row>
    <row r="1895">
      <c r="A1895" s="11" t="n"/>
      <c r="B1895" s="11" t="n"/>
      <c r="C1895" s="10" t="n"/>
      <c r="D1895" s="11" t="n"/>
      <c r="E1895" s="10" t="n"/>
      <c r="F1895" s="22" t="n"/>
      <c r="G1895" s="24" t="n"/>
      <c r="H1895" s="23" t="n"/>
      <c r="I1895" s="25" t="n"/>
      <c r="J1895" s="10">
        <f>IF(D1895="","",IF(H1895="✓","完了",IF(G1895="","",IF(G1895&lt;TODAY(),"期限超過",IF(G1895=TODAY(),"今日まで","予定")))))</f>
        <v/>
      </c>
      <c r="K1895" s="22" t="n"/>
      <c r="L1895" s="26" t="n"/>
    </row>
    <row r="1896">
      <c r="A1896" s="11" t="n"/>
      <c r="B1896" s="11" t="n"/>
      <c r="C1896" s="10" t="n"/>
      <c r="D1896" s="11" t="n"/>
      <c r="E1896" s="10" t="n"/>
      <c r="F1896" s="22" t="n"/>
      <c r="G1896" s="24" t="n"/>
      <c r="H1896" s="23" t="n"/>
      <c r="I1896" s="25" t="n"/>
      <c r="J1896" s="10">
        <f>IF(D1896="","",IF(H1896="✓","完了",IF(G1896="","",IF(G1896&lt;TODAY(),"期限超過",IF(G1896=TODAY(),"今日まで","予定")))))</f>
        <v/>
      </c>
      <c r="K1896" s="22" t="n"/>
      <c r="L1896" s="26" t="n"/>
    </row>
    <row r="1897">
      <c r="A1897" s="11" t="n"/>
      <c r="B1897" s="11" t="n"/>
      <c r="C1897" s="10" t="n"/>
      <c r="D1897" s="11" t="n"/>
      <c r="E1897" s="10" t="n"/>
      <c r="F1897" s="22" t="n"/>
      <c r="G1897" s="24" t="n"/>
      <c r="H1897" s="23" t="n"/>
      <c r="I1897" s="25" t="n"/>
      <c r="J1897" s="10">
        <f>IF(D1897="","",IF(H1897="✓","完了",IF(G1897="","",IF(G1897&lt;TODAY(),"期限超過",IF(G1897=TODAY(),"今日まで","予定")))))</f>
        <v/>
      </c>
      <c r="K1897" s="22" t="n"/>
      <c r="L1897" s="26" t="n"/>
    </row>
    <row r="1898">
      <c r="A1898" s="11" t="n"/>
      <c r="B1898" s="11" t="n"/>
      <c r="C1898" s="10" t="n"/>
      <c r="D1898" s="11" t="n"/>
      <c r="E1898" s="10" t="n"/>
      <c r="F1898" s="22" t="n"/>
      <c r="G1898" s="24" t="n"/>
      <c r="H1898" s="23" t="n"/>
      <c r="I1898" s="25" t="n"/>
      <c r="J1898" s="10">
        <f>IF(D1898="","",IF(H1898="✓","完了",IF(G1898="","",IF(G1898&lt;TODAY(),"期限超過",IF(G1898=TODAY(),"今日まで","予定")))))</f>
        <v/>
      </c>
      <c r="K1898" s="22" t="n"/>
      <c r="L1898" s="26" t="n"/>
    </row>
    <row r="1899">
      <c r="A1899" s="11" t="n"/>
      <c r="B1899" s="11" t="n"/>
      <c r="C1899" s="10" t="n"/>
      <c r="D1899" s="11" t="n"/>
      <c r="E1899" s="10" t="n"/>
      <c r="F1899" s="22" t="n"/>
      <c r="G1899" s="24" t="n"/>
      <c r="H1899" s="23" t="n"/>
      <c r="I1899" s="25" t="n"/>
      <c r="J1899" s="10">
        <f>IF(D1899="","",IF(H1899="✓","完了",IF(G1899="","",IF(G1899&lt;TODAY(),"期限超過",IF(G1899=TODAY(),"今日まで","予定")))))</f>
        <v/>
      </c>
      <c r="K1899" s="22" t="n"/>
      <c r="L1899" s="26" t="n"/>
    </row>
    <row r="1900">
      <c r="A1900" s="11" t="n"/>
      <c r="B1900" s="11" t="n"/>
      <c r="C1900" s="10" t="n"/>
      <c r="D1900" s="11" t="n"/>
      <c r="E1900" s="10" t="n"/>
      <c r="F1900" s="22" t="n"/>
      <c r="G1900" s="24" t="n"/>
      <c r="H1900" s="23" t="n"/>
      <c r="I1900" s="25" t="n"/>
      <c r="J1900" s="10">
        <f>IF(D1900="","",IF(H1900="✓","完了",IF(G1900="","",IF(G1900&lt;TODAY(),"期限超過",IF(G1900=TODAY(),"今日まで","予定")))))</f>
        <v/>
      </c>
      <c r="K1900" s="22" t="n"/>
      <c r="L1900" s="26" t="n"/>
    </row>
    <row r="1901">
      <c r="A1901" s="11" t="n"/>
      <c r="B1901" s="11" t="n"/>
      <c r="C1901" s="10" t="n"/>
      <c r="D1901" s="11" t="n"/>
      <c r="E1901" s="10" t="n"/>
      <c r="F1901" s="22" t="n"/>
      <c r="G1901" s="24" t="n"/>
      <c r="H1901" s="23" t="n"/>
      <c r="I1901" s="25" t="n"/>
      <c r="J1901" s="10">
        <f>IF(D1901="","",IF(H1901="✓","完了",IF(G1901="","",IF(G1901&lt;TODAY(),"期限超過",IF(G1901=TODAY(),"今日まで","予定")))))</f>
        <v/>
      </c>
      <c r="K1901" s="22" t="n"/>
      <c r="L1901" s="26" t="n"/>
    </row>
    <row r="1902">
      <c r="A1902" s="11" t="n"/>
      <c r="B1902" s="11" t="n"/>
      <c r="C1902" s="10" t="n"/>
      <c r="D1902" s="11" t="n"/>
      <c r="E1902" s="10" t="n"/>
      <c r="F1902" s="22" t="n"/>
      <c r="G1902" s="24" t="n"/>
      <c r="H1902" s="23" t="n"/>
      <c r="I1902" s="25" t="n"/>
      <c r="J1902" s="10">
        <f>IF(D1902="","",IF(H1902="✓","完了",IF(G1902="","",IF(G1902&lt;TODAY(),"期限超過",IF(G1902=TODAY(),"今日まで","予定")))))</f>
        <v/>
      </c>
      <c r="K1902" s="22" t="n"/>
      <c r="L1902" s="26" t="n"/>
    </row>
    <row r="1903">
      <c r="A1903" s="11" t="n"/>
      <c r="B1903" s="11" t="n"/>
      <c r="C1903" s="10" t="n"/>
      <c r="D1903" s="11" t="n"/>
      <c r="E1903" s="10" t="n"/>
      <c r="F1903" s="22" t="n"/>
      <c r="G1903" s="24" t="n"/>
      <c r="H1903" s="23" t="n"/>
      <c r="I1903" s="25" t="n"/>
      <c r="J1903" s="10">
        <f>IF(D1903="","",IF(H1903="✓","完了",IF(G1903="","",IF(G1903&lt;TODAY(),"期限超過",IF(G1903=TODAY(),"今日まで","予定")))))</f>
        <v/>
      </c>
      <c r="K1903" s="22" t="n"/>
      <c r="L1903" s="26" t="n"/>
    </row>
    <row r="1904">
      <c r="A1904" s="11" t="n"/>
      <c r="B1904" s="11" t="n"/>
      <c r="C1904" s="10" t="n"/>
      <c r="D1904" s="11" t="n"/>
      <c r="E1904" s="10" t="n"/>
      <c r="F1904" s="22" t="n"/>
      <c r="G1904" s="24" t="n"/>
      <c r="H1904" s="23" t="n"/>
      <c r="I1904" s="25" t="n"/>
      <c r="J1904" s="10">
        <f>IF(D1904="","",IF(H1904="✓","完了",IF(G1904="","",IF(G1904&lt;TODAY(),"期限超過",IF(G1904=TODAY(),"今日まで","予定")))))</f>
        <v/>
      </c>
      <c r="K1904" s="22" t="n"/>
      <c r="L1904" s="26" t="n"/>
    </row>
    <row r="1905">
      <c r="A1905" s="11" t="n"/>
      <c r="B1905" s="11" t="n"/>
      <c r="C1905" s="10" t="n"/>
      <c r="D1905" s="11" t="n"/>
      <c r="E1905" s="10" t="n"/>
      <c r="F1905" s="22" t="n"/>
      <c r="G1905" s="24" t="n"/>
      <c r="H1905" s="23" t="n"/>
      <c r="I1905" s="25" t="n"/>
      <c r="J1905" s="10">
        <f>IF(D1905="","",IF(H1905="✓","完了",IF(G1905="","",IF(G1905&lt;TODAY(),"期限超過",IF(G1905=TODAY(),"今日まで","予定")))))</f>
        <v/>
      </c>
      <c r="K1905" s="22" t="n"/>
      <c r="L1905" s="26" t="n"/>
    </row>
    <row r="1906">
      <c r="A1906" s="11" t="n"/>
      <c r="B1906" s="11" t="n"/>
      <c r="C1906" s="10" t="n"/>
      <c r="D1906" s="11" t="n"/>
      <c r="E1906" s="10" t="n"/>
      <c r="F1906" s="22" t="n"/>
      <c r="G1906" s="24" t="n"/>
      <c r="H1906" s="23" t="n"/>
      <c r="I1906" s="25" t="n"/>
      <c r="J1906" s="10">
        <f>IF(D1906="","",IF(H1906="✓","完了",IF(G1906="","",IF(G1906&lt;TODAY(),"期限超過",IF(G1906=TODAY(),"今日まで","予定")))))</f>
        <v/>
      </c>
      <c r="K1906" s="22" t="n"/>
      <c r="L1906" s="26" t="n"/>
    </row>
    <row r="1907">
      <c r="A1907" s="11" t="n"/>
      <c r="B1907" s="11" t="n"/>
      <c r="C1907" s="10" t="n"/>
      <c r="D1907" s="11" t="n"/>
      <c r="E1907" s="10" t="n"/>
      <c r="F1907" s="22" t="n"/>
      <c r="G1907" s="24" t="n"/>
      <c r="H1907" s="23" t="n"/>
      <c r="I1907" s="25" t="n"/>
      <c r="J1907" s="10">
        <f>IF(D1907="","",IF(H1907="✓","完了",IF(G1907="","",IF(G1907&lt;TODAY(),"期限超過",IF(G1907=TODAY(),"今日まで","予定")))))</f>
        <v/>
      </c>
      <c r="K1907" s="22" t="n"/>
      <c r="L1907" s="26" t="n"/>
    </row>
    <row r="1908">
      <c r="A1908" s="11" t="n"/>
      <c r="B1908" s="11" t="n"/>
      <c r="C1908" s="10" t="n"/>
      <c r="D1908" s="11" t="n"/>
      <c r="E1908" s="10" t="n"/>
      <c r="F1908" s="22" t="n"/>
      <c r="G1908" s="24" t="n"/>
      <c r="H1908" s="23" t="n"/>
      <c r="I1908" s="25" t="n"/>
      <c r="J1908" s="10">
        <f>IF(D1908="","",IF(H1908="✓","完了",IF(G1908="","",IF(G1908&lt;TODAY(),"期限超過",IF(G1908=TODAY(),"今日まで","予定")))))</f>
        <v/>
      </c>
      <c r="K1908" s="22" t="n"/>
      <c r="L1908" s="26" t="n"/>
    </row>
    <row r="1909">
      <c r="A1909" s="11" t="n"/>
      <c r="B1909" s="11" t="n"/>
      <c r="C1909" s="10" t="n"/>
      <c r="D1909" s="11" t="n"/>
      <c r="E1909" s="10" t="n"/>
      <c r="F1909" s="22" t="n"/>
      <c r="G1909" s="24" t="n"/>
      <c r="H1909" s="23" t="n"/>
      <c r="I1909" s="25" t="n"/>
      <c r="J1909" s="10">
        <f>IF(D1909="","",IF(H1909="✓","完了",IF(G1909="","",IF(G1909&lt;TODAY(),"期限超過",IF(G1909=TODAY(),"今日まで","予定")))))</f>
        <v/>
      </c>
      <c r="K1909" s="22" t="n"/>
      <c r="L1909" s="26" t="n"/>
    </row>
    <row r="1910">
      <c r="A1910" s="11" t="n"/>
      <c r="B1910" s="11" t="n"/>
      <c r="C1910" s="10" t="n"/>
      <c r="D1910" s="11" t="n"/>
      <c r="E1910" s="10" t="n"/>
      <c r="F1910" s="22" t="n"/>
      <c r="G1910" s="24" t="n"/>
      <c r="H1910" s="23" t="n"/>
      <c r="I1910" s="25" t="n"/>
      <c r="J1910" s="10">
        <f>IF(D1910="","",IF(H1910="✓","完了",IF(G1910="","",IF(G1910&lt;TODAY(),"期限超過",IF(G1910=TODAY(),"今日まで","予定")))))</f>
        <v/>
      </c>
      <c r="K1910" s="22" t="n"/>
      <c r="L1910" s="26" t="n"/>
    </row>
    <row r="1911">
      <c r="A1911" s="11" t="n"/>
      <c r="B1911" s="11" t="n"/>
      <c r="C1911" s="10" t="n"/>
      <c r="D1911" s="11" t="n"/>
      <c r="E1911" s="10" t="n"/>
      <c r="F1911" s="22" t="n"/>
      <c r="G1911" s="24" t="n"/>
      <c r="H1911" s="23" t="n"/>
      <c r="I1911" s="25" t="n"/>
      <c r="J1911" s="10">
        <f>IF(D1911="","",IF(H1911="✓","完了",IF(G1911="","",IF(G1911&lt;TODAY(),"期限超過",IF(G1911=TODAY(),"今日まで","予定")))))</f>
        <v/>
      </c>
      <c r="K1911" s="22" t="n"/>
      <c r="L1911" s="26" t="n"/>
    </row>
    <row r="1912">
      <c r="A1912" s="11" t="n"/>
      <c r="B1912" s="11" t="n"/>
      <c r="C1912" s="10" t="n"/>
      <c r="D1912" s="11" t="n"/>
      <c r="E1912" s="10" t="n"/>
      <c r="F1912" s="22" t="n"/>
      <c r="G1912" s="24" t="n"/>
      <c r="H1912" s="23" t="n"/>
      <c r="I1912" s="25" t="n"/>
      <c r="J1912" s="10">
        <f>IF(D1912="","",IF(H1912="✓","完了",IF(G1912="","",IF(G1912&lt;TODAY(),"期限超過",IF(G1912=TODAY(),"今日まで","予定")))))</f>
        <v/>
      </c>
      <c r="K1912" s="22" t="n"/>
      <c r="L1912" s="26" t="n"/>
    </row>
    <row r="1913">
      <c r="A1913" s="11" t="n"/>
      <c r="B1913" s="11" t="n"/>
      <c r="C1913" s="10" t="n"/>
      <c r="D1913" s="11" t="n"/>
      <c r="E1913" s="10" t="n"/>
      <c r="F1913" s="22" t="n"/>
      <c r="G1913" s="24" t="n"/>
      <c r="H1913" s="23" t="n"/>
      <c r="I1913" s="25" t="n"/>
      <c r="J1913" s="10">
        <f>IF(D1913="","",IF(H1913="✓","完了",IF(G1913="","",IF(G1913&lt;TODAY(),"期限超過",IF(G1913=TODAY(),"今日まで","予定")))))</f>
        <v/>
      </c>
      <c r="K1913" s="22" t="n"/>
      <c r="L1913" s="26" t="n"/>
    </row>
    <row r="1914">
      <c r="A1914" s="11" t="n"/>
      <c r="B1914" s="11" t="n"/>
      <c r="C1914" s="10" t="n"/>
      <c r="D1914" s="11" t="n"/>
      <c r="E1914" s="10" t="n"/>
      <c r="F1914" s="22" t="n"/>
      <c r="G1914" s="24" t="n"/>
      <c r="H1914" s="23" t="n"/>
      <c r="I1914" s="25" t="n"/>
      <c r="J1914" s="10">
        <f>IF(D1914="","",IF(H1914="✓","完了",IF(G1914="","",IF(G1914&lt;TODAY(),"期限超過",IF(G1914=TODAY(),"今日まで","予定")))))</f>
        <v/>
      </c>
      <c r="K1914" s="22" t="n"/>
      <c r="L1914" s="26" t="n"/>
    </row>
    <row r="1915">
      <c r="A1915" s="11" t="n"/>
      <c r="B1915" s="11" t="n"/>
      <c r="C1915" s="10" t="n"/>
      <c r="D1915" s="11" t="n"/>
      <c r="E1915" s="10" t="n"/>
      <c r="F1915" s="22" t="n"/>
      <c r="G1915" s="24" t="n"/>
      <c r="H1915" s="23" t="n"/>
      <c r="I1915" s="25" t="n"/>
      <c r="J1915" s="10">
        <f>IF(D1915="","",IF(H1915="✓","完了",IF(G1915="","",IF(G1915&lt;TODAY(),"期限超過",IF(G1915=TODAY(),"今日まで","予定")))))</f>
        <v/>
      </c>
      <c r="K1915" s="22" t="n"/>
      <c r="L1915" s="26" t="n"/>
    </row>
    <row r="1916">
      <c r="A1916" s="11" t="n"/>
      <c r="B1916" s="11" t="n"/>
      <c r="C1916" s="10" t="n"/>
      <c r="D1916" s="11" t="n"/>
      <c r="E1916" s="10" t="n"/>
      <c r="F1916" s="22" t="n"/>
      <c r="G1916" s="24" t="n"/>
      <c r="H1916" s="23" t="n"/>
      <c r="I1916" s="25" t="n"/>
      <c r="J1916" s="10">
        <f>IF(D1916="","",IF(H1916="✓","完了",IF(G1916="","",IF(G1916&lt;TODAY(),"期限超過",IF(G1916=TODAY(),"今日まで","予定")))))</f>
        <v/>
      </c>
      <c r="K1916" s="22" t="n"/>
      <c r="L1916" s="26" t="n"/>
    </row>
    <row r="1917">
      <c r="A1917" s="11" t="n"/>
      <c r="B1917" s="11" t="n"/>
      <c r="C1917" s="10" t="n"/>
      <c r="D1917" s="11" t="n"/>
      <c r="E1917" s="10" t="n"/>
      <c r="F1917" s="22" t="n"/>
      <c r="G1917" s="24" t="n"/>
      <c r="H1917" s="23" t="n"/>
      <c r="I1917" s="25" t="n"/>
      <c r="J1917" s="10">
        <f>IF(D1917="","",IF(H1917="✓","完了",IF(G1917="","",IF(G1917&lt;TODAY(),"期限超過",IF(G1917=TODAY(),"今日まで","予定")))))</f>
        <v/>
      </c>
      <c r="K1917" s="22" t="n"/>
      <c r="L1917" s="26" t="n"/>
    </row>
    <row r="1918">
      <c r="A1918" s="11" t="n"/>
      <c r="B1918" s="11" t="n"/>
      <c r="C1918" s="10" t="n"/>
      <c r="D1918" s="11" t="n"/>
      <c r="E1918" s="10" t="n"/>
      <c r="F1918" s="22" t="n"/>
      <c r="G1918" s="24" t="n"/>
      <c r="H1918" s="23" t="n"/>
      <c r="I1918" s="25" t="n"/>
      <c r="J1918" s="10">
        <f>IF(D1918="","",IF(H1918="✓","完了",IF(G1918="","",IF(G1918&lt;TODAY(),"期限超過",IF(G1918=TODAY(),"今日まで","予定")))))</f>
        <v/>
      </c>
      <c r="K1918" s="22" t="n"/>
      <c r="L1918" s="26" t="n"/>
    </row>
    <row r="1919">
      <c r="A1919" s="11" t="n"/>
      <c r="B1919" s="11" t="n"/>
      <c r="C1919" s="10" t="n"/>
      <c r="D1919" s="11" t="n"/>
      <c r="E1919" s="10" t="n"/>
      <c r="F1919" s="22" t="n"/>
      <c r="G1919" s="24" t="n"/>
      <c r="H1919" s="23" t="n"/>
      <c r="I1919" s="25" t="n"/>
      <c r="J1919" s="10">
        <f>IF(D1919="","",IF(H1919="✓","完了",IF(G1919="","",IF(G1919&lt;TODAY(),"期限超過",IF(G1919=TODAY(),"今日まで","予定")))))</f>
        <v/>
      </c>
      <c r="K1919" s="22" t="n"/>
      <c r="L1919" s="26" t="n"/>
    </row>
    <row r="1920">
      <c r="A1920" s="11" t="n"/>
      <c r="B1920" s="11" t="n"/>
      <c r="C1920" s="10" t="n"/>
      <c r="D1920" s="11" t="n"/>
      <c r="E1920" s="10" t="n"/>
      <c r="F1920" s="22" t="n"/>
      <c r="G1920" s="24" t="n"/>
      <c r="H1920" s="23" t="n"/>
      <c r="I1920" s="25" t="n"/>
      <c r="J1920" s="10">
        <f>IF(D1920="","",IF(H1920="✓","完了",IF(G1920="","",IF(G1920&lt;TODAY(),"期限超過",IF(G1920=TODAY(),"今日まで","予定")))))</f>
        <v/>
      </c>
      <c r="K1920" s="22" t="n"/>
      <c r="L1920" s="26" t="n"/>
    </row>
    <row r="1921">
      <c r="A1921" s="11" t="n"/>
      <c r="B1921" s="11" t="n"/>
      <c r="C1921" s="10" t="n"/>
      <c r="D1921" s="11" t="n"/>
      <c r="E1921" s="10" t="n"/>
      <c r="F1921" s="22" t="n"/>
      <c r="G1921" s="24" t="n"/>
      <c r="H1921" s="23" t="n"/>
      <c r="I1921" s="25" t="n"/>
      <c r="J1921" s="10">
        <f>IF(D1921="","",IF(H1921="✓","完了",IF(G1921="","",IF(G1921&lt;TODAY(),"期限超過",IF(G1921=TODAY(),"今日まで","予定")))))</f>
        <v/>
      </c>
      <c r="K1921" s="22" t="n"/>
      <c r="L1921" s="26" t="n"/>
    </row>
    <row r="1922">
      <c r="A1922" s="11" t="n"/>
      <c r="B1922" s="11" t="n"/>
      <c r="C1922" s="10" t="n"/>
      <c r="D1922" s="11" t="n"/>
      <c r="E1922" s="10" t="n"/>
      <c r="F1922" s="22" t="n"/>
      <c r="G1922" s="24" t="n"/>
      <c r="H1922" s="23" t="n"/>
      <c r="I1922" s="25" t="n"/>
      <c r="J1922" s="10">
        <f>IF(D1922="","",IF(H1922="✓","完了",IF(G1922="","",IF(G1922&lt;TODAY(),"期限超過",IF(G1922=TODAY(),"今日まで","予定")))))</f>
        <v/>
      </c>
      <c r="K1922" s="22" t="n"/>
      <c r="L1922" s="26" t="n"/>
    </row>
    <row r="1923">
      <c r="A1923" s="11" t="n"/>
      <c r="B1923" s="11" t="n"/>
      <c r="C1923" s="10" t="n"/>
      <c r="D1923" s="11" t="n"/>
      <c r="E1923" s="10" t="n"/>
      <c r="F1923" s="22" t="n"/>
      <c r="G1923" s="24" t="n"/>
      <c r="H1923" s="23" t="n"/>
      <c r="I1923" s="25" t="n"/>
      <c r="J1923" s="10">
        <f>IF(D1923="","",IF(H1923="✓","完了",IF(G1923="","",IF(G1923&lt;TODAY(),"期限超過",IF(G1923=TODAY(),"今日まで","予定")))))</f>
        <v/>
      </c>
      <c r="K1923" s="22" t="n"/>
      <c r="L1923" s="26" t="n"/>
    </row>
    <row r="1924">
      <c r="A1924" s="11" t="n"/>
      <c r="B1924" s="11" t="n"/>
      <c r="C1924" s="10" t="n"/>
      <c r="D1924" s="11" t="n"/>
      <c r="E1924" s="10" t="n"/>
      <c r="F1924" s="22" t="n"/>
      <c r="G1924" s="24" t="n"/>
      <c r="H1924" s="23" t="n"/>
      <c r="I1924" s="25" t="n"/>
      <c r="J1924" s="10">
        <f>IF(D1924="","",IF(H1924="✓","完了",IF(G1924="","",IF(G1924&lt;TODAY(),"期限超過",IF(G1924=TODAY(),"今日まで","予定")))))</f>
        <v/>
      </c>
      <c r="K1924" s="22" t="n"/>
      <c r="L1924" s="26" t="n"/>
    </row>
    <row r="1925">
      <c r="A1925" s="11" t="n"/>
      <c r="B1925" s="11" t="n"/>
      <c r="C1925" s="10" t="n"/>
      <c r="D1925" s="11" t="n"/>
      <c r="E1925" s="10" t="n"/>
      <c r="F1925" s="22" t="n"/>
      <c r="G1925" s="24" t="n"/>
      <c r="H1925" s="23" t="n"/>
      <c r="I1925" s="25" t="n"/>
      <c r="J1925" s="10">
        <f>IF(D1925="","",IF(H1925="✓","完了",IF(G1925="","",IF(G1925&lt;TODAY(),"期限超過",IF(G1925=TODAY(),"今日まで","予定")))))</f>
        <v/>
      </c>
      <c r="K1925" s="22" t="n"/>
      <c r="L1925" s="26" t="n"/>
    </row>
    <row r="1926">
      <c r="A1926" s="11" t="n"/>
      <c r="B1926" s="11" t="n"/>
      <c r="C1926" s="10" t="n"/>
      <c r="D1926" s="11" t="n"/>
      <c r="E1926" s="10" t="n"/>
      <c r="F1926" s="22" t="n"/>
      <c r="G1926" s="24" t="n"/>
      <c r="H1926" s="23" t="n"/>
      <c r="I1926" s="25" t="n"/>
      <c r="J1926" s="10">
        <f>IF(D1926="","",IF(H1926="✓","完了",IF(G1926="","",IF(G1926&lt;TODAY(),"期限超過",IF(G1926=TODAY(),"今日まで","予定")))))</f>
        <v/>
      </c>
      <c r="K1926" s="22" t="n"/>
      <c r="L1926" s="26" t="n"/>
    </row>
    <row r="1927">
      <c r="A1927" s="11" t="n"/>
      <c r="B1927" s="11" t="n"/>
      <c r="C1927" s="10" t="n"/>
      <c r="D1927" s="11" t="n"/>
      <c r="E1927" s="10" t="n"/>
      <c r="F1927" s="22" t="n"/>
      <c r="G1927" s="24" t="n"/>
      <c r="H1927" s="23" t="n"/>
      <c r="I1927" s="25" t="n"/>
      <c r="J1927" s="10">
        <f>IF(D1927="","",IF(H1927="✓","完了",IF(G1927="","",IF(G1927&lt;TODAY(),"期限超過",IF(G1927=TODAY(),"今日まで","予定")))))</f>
        <v/>
      </c>
      <c r="K1927" s="22" t="n"/>
      <c r="L1927" s="26" t="n"/>
    </row>
    <row r="1928">
      <c r="A1928" s="11" t="n"/>
      <c r="B1928" s="11" t="n"/>
      <c r="C1928" s="10" t="n"/>
      <c r="D1928" s="11" t="n"/>
      <c r="E1928" s="10" t="n"/>
      <c r="F1928" s="22" t="n"/>
      <c r="G1928" s="24" t="n"/>
      <c r="H1928" s="23" t="n"/>
      <c r="I1928" s="25" t="n"/>
      <c r="J1928" s="10">
        <f>IF(D1928="","",IF(H1928="✓","完了",IF(G1928="","",IF(G1928&lt;TODAY(),"期限超過",IF(G1928=TODAY(),"今日まで","予定")))))</f>
        <v/>
      </c>
      <c r="K1928" s="22" t="n"/>
      <c r="L1928" s="26" t="n"/>
    </row>
    <row r="1929">
      <c r="A1929" s="11" t="n"/>
      <c r="B1929" s="11" t="n"/>
      <c r="C1929" s="10" t="n"/>
      <c r="D1929" s="11" t="n"/>
      <c r="E1929" s="10" t="n"/>
      <c r="F1929" s="22" t="n"/>
      <c r="G1929" s="24" t="n"/>
      <c r="H1929" s="23" t="n"/>
      <c r="I1929" s="25" t="n"/>
      <c r="J1929" s="10">
        <f>IF(D1929="","",IF(H1929="✓","完了",IF(G1929="","",IF(G1929&lt;TODAY(),"期限超過",IF(G1929=TODAY(),"今日まで","予定")))))</f>
        <v/>
      </c>
      <c r="K1929" s="22" t="n"/>
      <c r="L1929" s="26" t="n"/>
    </row>
    <row r="1930">
      <c r="A1930" s="11" t="n"/>
      <c r="B1930" s="11" t="n"/>
      <c r="C1930" s="10" t="n"/>
      <c r="D1930" s="11" t="n"/>
      <c r="E1930" s="10" t="n"/>
      <c r="F1930" s="22" t="n"/>
      <c r="G1930" s="24" t="n"/>
      <c r="H1930" s="23" t="n"/>
      <c r="I1930" s="25" t="n"/>
      <c r="J1930" s="10">
        <f>IF(D1930="","",IF(H1930="✓","完了",IF(G1930="","",IF(G1930&lt;TODAY(),"期限超過",IF(G1930=TODAY(),"今日まで","予定")))))</f>
        <v/>
      </c>
      <c r="K1930" s="22" t="n"/>
      <c r="L1930" s="26" t="n"/>
    </row>
    <row r="1931">
      <c r="A1931" s="11" t="n"/>
      <c r="B1931" s="11" t="n"/>
      <c r="C1931" s="10" t="n"/>
      <c r="D1931" s="11" t="n"/>
      <c r="E1931" s="10" t="n"/>
      <c r="F1931" s="22" t="n"/>
      <c r="G1931" s="24" t="n"/>
      <c r="H1931" s="23" t="n"/>
      <c r="I1931" s="25" t="n"/>
      <c r="J1931" s="10">
        <f>IF(D1931="","",IF(H1931="✓","完了",IF(G1931="","",IF(G1931&lt;TODAY(),"期限超過",IF(G1931=TODAY(),"今日まで","予定")))))</f>
        <v/>
      </c>
      <c r="K1931" s="22" t="n"/>
      <c r="L1931" s="26" t="n"/>
    </row>
    <row r="1932">
      <c r="A1932" s="11" t="n"/>
      <c r="B1932" s="11" t="n"/>
      <c r="C1932" s="10" t="n"/>
      <c r="D1932" s="11" t="n"/>
      <c r="E1932" s="10" t="n"/>
      <c r="F1932" s="22" t="n"/>
      <c r="G1932" s="24" t="n"/>
      <c r="H1932" s="23" t="n"/>
      <c r="I1932" s="25" t="n"/>
      <c r="J1932" s="10">
        <f>IF(D1932="","",IF(H1932="✓","完了",IF(G1932="","",IF(G1932&lt;TODAY(),"期限超過",IF(G1932=TODAY(),"今日まで","予定")))))</f>
        <v/>
      </c>
      <c r="K1932" s="22" t="n"/>
      <c r="L1932" s="26" t="n"/>
    </row>
    <row r="1933">
      <c r="A1933" s="11" t="n"/>
      <c r="B1933" s="11" t="n"/>
      <c r="C1933" s="10" t="n"/>
      <c r="D1933" s="11" t="n"/>
      <c r="E1933" s="10" t="n"/>
      <c r="F1933" s="22" t="n"/>
      <c r="G1933" s="24" t="n"/>
      <c r="H1933" s="23" t="n"/>
      <c r="I1933" s="25" t="n"/>
      <c r="J1933" s="10">
        <f>IF(D1933="","",IF(H1933="✓","完了",IF(G1933="","",IF(G1933&lt;TODAY(),"期限超過",IF(G1933=TODAY(),"今日まで","予定")))))</f>
        <v/>
      </c>
      <c r="K1933" s="22" t="n"/>
      <c r="L1933" s="26" t="n"/>
    </row>
    <row r="1934">
      <c r="A1934" s="11" t="n"/>
      <c r="B1934" s="11" t="n"/>
      <c r="C1934" s="10" t="n"/>
      <c r="D1934" s="11" t="n"/>
      <c r="E1934" s="10" t="n"/>
      <c r="F1934" s="22" t="n"/>
      <c r="G1934" s="24" t="n"/>
      <c r="H1934" s="23" t="n"/>
      <c r="I1934" s="25" t="n"/>
      <c r="J1934" s="10">
        <f>IF(D1934="","",IF(H1934="✓","完了",IF(G1934="","",IF(G1934&lt;TODAY(),"期限超過",IF(G1934=TODAY(),"今日まで","予定")))))</f>
        <v/>
      </c>
      <c r="K1934" s="22" t="n"/>
      <c r="L1934" s="26" t="n"/>
    </row>
    <row r="1935">
      <c r="A1935" s="11" t="n"/>
      <c r="B1935" s="11" t="n"/>
      <c r="C1935" s="10" t="n"/>
      <c r="D1935" s="11" t="n"/>
      <c r="E1935" s="10" t="n"/>
      <c r="F1935" s="22" t="n"/>
      <c r="G1935" s="24" t="n"/>
      <c r="H1935" s="23" t="n"/>
      <c r="I1935" s="25" t="n"/>
      <c r="J1935" s="10">
        <f>IF(D1935="","",IF(H1935="✓","完了",IF(G1935="","",IF(G1935&lt;TODAY(),"期限超過",IF(G1935=TODAY(),"今日まで","予定")))))</f>
        <v/>
      </c>
      <c r="K1935" s="22" t="n"/>
      <c r="L1935" s="26" t="n"/>
    </row>
    <row r="1936">
      <c r="A1936" s="11" t="n"/>
      <c r="B1936" s="11" t="n"/>
      <c r="C1936" s="10" t="n"/>
      <c r="D1936" s="11" t="n"/>
      <c r="E1936" s="10" t="n"/>
      <c r="F1936" s="22" t="n"/>
      <c r="G1936" s="24" t="n"/>
      <c r="H1936" s="23" t="n"/>
      <c r="I1936" s="25" t="n"/>
      <c r="J1936" s="10">
        <f>IF(D1936="","",IF(H1936="✓","完了",IF(G1936="","",IF(G1936&lt;TODAY(),"期限超過",IF(G1936=TODAY(),"今日まで","予定")))))</f>
        <v/>
      </c>
      <c r="K1936" s="22" t="n"/>
      <c r="L1936" s="26" t="n"/>
    </row>
    <row r="1937">
      <c r="A1937" s="11" t="n"/>
      <c r="B1937" s="11" t="n"/>
      <c r="C1937" s="10" t="n"/>
      <c r="D1937" s="11" t="n"/>
      <c r="E1937" s="10" t="n"/>
      <c r="F1937" s="22" t="n"/>
      <c r="G1937" s="24" t="n"/>
      <c r="H1937" s="23" t="n"/>
      <c r="I1937" s="25" t="n"/>
      <c r="J1937" s="10">
        <f>IF(D1937="","",IF(H1937="✓","完了",IF(G1937="","",IF(G1937&lt;TODAY(),"期限超過",IF(G1937=TODAY(),"今日まで","予定")))))</f>
        <v/>
      </c>
      <c r="K1937" s="22" t="n"/>
      <c r="L1937" s="26" t="n"/>
    </row>
    <row r="1938">
      <c r="A1938" s="11" t="n"/>
      <c r="B1938" s="11" t="n"/>
      <c r="C1938" s="10" t="n"/>
      <c r="D1938" s="11" t="n"/>
      <c r="E1938" s="10" t="n"/>
      <c r="F1938" s="22" t="n"/>
      <c r="G1938" s="24" t="n"/>
      <c r="H1938" s="23" t="n"/>
      <c r="I1938" s="25" t="n"/>
      <c r="J1938" s="10">
        <f>IF(D1938="","",IF(H1938="✓","完了",IF(G1938="","",IF(G1938&lt;TODAY(),"期限超過",IF(G1938=TODAY(),"今日まで","予定")))))</f>
        <v/>
      </c>
      <c r="K1938" s="22" t="n"/>
      <c r="L1938" s="26" t="n"/>
    </row>
    <row r="1939">
      <c r="A1939" s="11" t="n"/>
      <c r="B1939" s="11" t="n"/>
      <c r="C1939" s="10" t="n"/>
      <c r="D1939" s="11" t="n"/>
      <c r="E1939" s="10" t="n"/>
      <c r="F1939" s="22" t="n"/>
      <c r="G1939" s="24" t="n"/>
      <c r="H1939" s="23" t="n"/>
      <c r="I1939" s="25" t="n"/>
      <c r="J1939" s="10">
        <f>IF(D1939="","",IF(H1939="✓","完了",IF(G1939="","",IF(G1939&lt;TODAY(),"期限超過",IF(G1939=TODAY(),"今日まで","予定")))))</f>
        <v/>
      </c>
      <c r="K1939" s="22" t="n"/>
      <c r="L1939" s="26" t="n"/>
    </row>
    <row r="1940">
      <c r="A1940" s="11" t="n"/>
      <c r="B1940" s="11" t="n"/>
      <c r="C1940" s="10" t="n"/>
      <c r="D1940" s="11" t="n"/>
      <c r="E1940" s="10" t="n"/>
      <c r="F1940" s="22" t="n"/>
      <c r="G1940" s="24" t="n"/>
      <c r="H1940" s="23" t="n"/>
      <c r="I1940" s="25" t="n"/>
      <c r="J1940" s="10">
        <f>IF(D1940="","",IF(H1940="✓","完了",IF(G1940="","",IF(G1940&lt;TODAY(),"期限超過",IF(G1940=TODAY(),"今日まで","予定")))))</f>
        <v/>
      </c>
      <c r="K1940" s="22" t="n"/>
      <c r="L1940" s="26" t="n"/>
    </row>
    <row r="1941">
      <c r="A1941" s="11" t="n"/>
      <c r="B1941" s="11" t="n"/>
      <c r="C1941" s="10" t="n"/>
      <c r="D1941" s="11" t="n"/>
      <c r="E1941" s="10" t="n"/>
      <c r="F1941" s="22" t="n"/>
      <c r="G1941" s="24" t="n"/>
      <c r="H1941" s="23" t="n"/>
      <c r="I1941" s="25" t="n"/>
      <c r="J1941" s="10">
        <f>IF(D1941="","",IF(H1941="✓","完了",IF(G1941="","",IF(G1941&lt;TODAY(),"期限超過",IF(G1941=TODAY(),"今日まで","予定")))))</f>
        <v/>
      </c>
      <c r="K1941" s="22" t="n"/>
      <c r="L1941" s="26" t="n"/>
    </row>
    <row r="1942">
      <c r="A1942" s="11" t="n"/>
      <c r="B1942" s="11" t="n"/>
      <c r="C1942" s="10" t="n"/>
      <c r="D1942" s="11" t="n"/>
      <c r="E1942" s="10" t="n"/>
      <c r="F1942" s="22" t="n"/>
      <c r="G1942" s="24" t="n"/>
      <c r="H1942" s="23" t="n"/>
      <c r="I1942" s="25" t="n"/>
      <c r="J1942" s="10">
        <f>IF(D1942="","",IF(H1942="✓","完了",IF(G1942="","",IF(G1942&lt;TODAY(),"期限超過",IF(G1942=TODAY(),"今日まで","予定")))))</f>
        <v/>
      </c>
      <c r="K1942" s="22" t="n"/>
      <c r="L1942" s="26" t="n"/>
    </row>
    <row r="1943">
      <c r="A1943" s="11" t="n"/>
      <c r="B1943" s="11" t="n"/>
      <c r="C1943" s="10" t="n"/>
      <c r="D1943" s="11" t="n"/>
      <c r="E1943" s="10" t="n"/>
      <c r="F1943" s="22" t="n"/>
      <c r="G1943" s="24" t="n"/>
      <c r="H1943" s="23" t="n"/>
      <c r="I1943" s="25" t="n"/>
      <c r="J1943" s="10">
        <f>IF(D1943="","",IF(H1943="✓","完了",IF(G1943="","",IF(G1943&lt;TODAY(),"期限超過",IF(G1943=TODAY(),"今日まで","予定")))))</f>
        <v/>
      </c>
      <c r="K1943" s="22" t="n"/>
      <c r="L1943" s="26" t="n"/>
    </row>
    <row r="1944">
      <c r="A1944" s="11" t="n"/>
      <c r="B1944" s="11" t="n"/>
      <c r="C1944" s="10" t="n"/>
      <c r="D1944" s="11" t="n"/>
      <c r="E1944" s="10" t="n"/>
      <c r="F1944" s="22" t="n"/>
      <c r="G1944" s="24" t="n"/>
      <c r="H1944" s="23" t="n"/>
      <c r="I1944" s="25" t="n"/>
      <c r="J1944" s="10">
        <f>IF(D1944="","",IF(H1944="✓","完了",IF(G1944="","",IF(G1944&lt;TODAY(),"期限超過",IF(G1944=TODAY(),"今日まで","予定")))))</f>
        <v/>
      </c>
      <c r="K1944" s="22" t="n"/>
      <c r="L1944" s="26" t="n"/>
    </row>
    <row r="1945">
      <c r="A1945" s="11" t="n"/>
      <c r="B1945" s="11" t="n"/>
      <c r="C1945" s="10" t="n"/>
      <c r="D1945" s="11" t="n"/>
      <c r="E1945" s="10" t="n"/>
      <c r="F1945" s="22" t="n"/>
      <c r="G1945" s="24" t="n"/>
      <c r="H1945" s="23" t="n"/>
      <c r="I1945" s="25" t="n"/>
      <c r="J1945" s="10">
        <f>IF(D1945="","",IF(H1945="✓","完了",IF(G1945="","",IF(G1945&lt;TODAY(),"期限超過",IF(G1945=TODAY(),"今日まで","予定")))))</f>
        <v/>
      </c>
      <c r="K1945" s="22" t="n"/>
      <c r="L1945" s="26" t="n"/>
    </row>
    <row r="1946">
      <c r="A1946" s="11" t="n"/>
      <c r="B1946" s="11" t="n"/>
      <c r="C1946" s="10" t="n"/>
      <c r="D1946" s="11" t="n"/>
      <c r="E1946" s="10" t="n"/>
      <c r="F1946" s="22" t="n"/>
      <c r="G1946" s="24" t="n"/>
      <c r="H1946" s="23" t="n"/>
      <c r="I1946" s="25" t="n"/>
      <c r="J1946" s="10">
        <f>IF(D1946="","",IF(H1946="✓","完了",IF(G1946="","",IF(G1946&lt;TODAY(),"期限超過",IF(G1946=TODAY(),"今日まで","予定")))))</f>
        <v/>
      </c>
      <c r="K1946" s="22" t="n"/>
      <c r="L1946" s="26" t="n"/>
    </row>
    <row r="1947">
      <c r="A1947" s="11" t="n"/>
      <c r="B1947" s="11" t="n"/>
      <c r="C1947" s="10" t="n"/>
      <c r="D1947" s="11" t="n"/>
      <c r="E1947" s="10" t="n"/>
      <c r="F1947" s="22" t="n"/>
      <c r="G1947" s="24" t="n"/>
      <c r="H1947" s="23" t="n"/>
      <c r="I1947" s="25" t="n"/>
      <c r="J1947" s="10">
        <f>IF(D1947="","",IF(H1947="✓","完了",IF(G1947="","",IF(G1947&lt;TODAY(),"期限超過",IF(G1947=TODAY(),"今日まで","予定")))))</f>
        <v/>
      </c>
      <c r="K1947" s="22" t="n"/>
      <c r="L1947" s="26" t="n"/>
    </row>
    <row r="1948">
      <c r="A1948" s="11" t="n"/>
      <c r="B1948" s="11" t="n"/>
      <c r="C1948" s="10" t="n"/>
      <c r="D1948" s="11" t="n"/>
      <c r="E1948" s="10" t="n"/>
      <c r="F1948" s="22" t="n"/>
      <c r="G1948" s="24" t="n"/>
      <c r="H1948" s="23" t="n"/>
      <c r="I1948" s="25" t="n"/>
      <c r="J1948" s="10">
        <f>IF(D1948="","",IF(H1948="✓","完了",IF(G1948="","",IF(G1948&lt;TODAY(),"期限超過",IF(G1948=TODAY(),"今日まで","予定")))))</f>
        <v/>
      </c>
      <c r="K1948" s="22" t="n"/>
      <c r="L1948" s="26" t="n"/>
    </row>
    <row r="1949">
      <c r="A1949" s="11" t="n"/>
      <c r="B1949" s="11" t="n"/>
      <c r="C1949" s="10" t="n"/>
      <c r="D1949" s="11" t="n"/>
      <c r="E1949" s="10" t="n"/>
      <c r="F1949" s="22" t="n"/>
      <c r="G1949" s="24" t="n"/>
      <c r="H1949" s="23" t="n"/>
      <c r="I1949" s="25" t="n"/>
      <c r="J1949" s="10">
        <f>IF(D1949="","",IF(H1949="✓","完了",IF(G1949="","",IF(G1949&lt;TODAY(),"期限超過",IF(G1949=TODAY(),"今日まで","予定")))))</f>
        <v/>
      </c>
      <c r="K1949" s="22" t="n"/>
      <c r="L1949" s="26" t="n"/>
    </row>
    <row r="1950">
      <c r="A1950" s="11" t="n"/>
      <c r="B1950" s="11" t="n"/>
      <c r="C1950" s="10" t="n"/>
      <c r="D1950" s="11" t="n"/>
      <c r="E1950" s="10" t="n"/>
      <c r="F1950" s="22" t="n"/>
      <c r="G1950" s="24" t="n"/>
      <c r="H1950" s="23" t="n"/>
      <c r="I1950" s="25" t="n"/>
      <c r="J1950" s="10">
        <f>IF(D1950="","",IF(H1950="✓","完了",IF(G1950="","",IF(G1950&lt;TODAY(),"期限超過",IF(G1950=TODAY(),"今日まで","予定")))))</f>
        <v/>
      </c>
      <c r="K1950" s="22" t="n"/>
      <c r="L1950" s="26" t="n"/>
    </row>
    <row r="1951">
      <c r="A1951" s="11" t="n"/>
      <c r="B1951" s="11" t="n"/>
      <c r="C1951" s="10" t="n"/>
      <c r="D1951" s="11" t="n"/>
      <c r="E1951" s="10" t="n"/>
      <c r="F1951" s="22" t="n"/>
      <c r="G1951" s="24" t="n"/>
      <c r="H1951" s="23" t="n"/>
      <c r="I1951" s="25" t="n"/>
      <c r="J1951" s="10">
        <f>IF(D1951="","",IF(H1951="✓","完了",IF(G1951="","",IF(G1951&lt;TODAY(),"期限超過",IF(G1951=TODAY(),"今日まで","予定")))))</f>
        <v/>
      </c>
      <c r="K1951" s="22" t="n"/>
      <c r="L1951" s="26" t="n"/>
    </row>
    <row r="1952">
      <c r="A1952" s="11" t="n"/>
      <c r="B1952" s="11" t="n"/>
      <c r="C1952" s="10" t="n"/>
      <c r="D1952" s="11" t="n"/>
      <c r="E1952" s="10" t="n"/>
      <c r="F1952" s="22" t="n"/>
      <c r="G1952" s="24" t="n"/>
      <c r="H1952" s="23" t="n"/>
      <c r="I1952" s="25" t="n"/>
      <c r="J1952" s="10">
        <f>IF(D1952="","",IF(H1952="✓","完了",IF(G1952="","",IF(G1952&lt;TODAY(),"期限超過",IF(G1952=TODAY(),"今日まで","予定")))))</f>
        <v/>
      </c>
      <c r="K1952" s="22" t="n"/>
      <c r="L1952" s="26" t="n"/>
    </row>
    <row r="1953">
      <c r="A1953" s="11" t="n"/>
      <c r="B1953" s="11" t="n"/>
      <c r="C1953" s="10" t="n"/>
      <c r="D1953" s="11" t="n"/>
      <c r="E1953" s="10" t="n"/>
      <c r="F1953" s="22" t="n"/>
      <c r="G1953" s="24" t="n"/>
      <c r="H1953" s="23" t="n"/>
      <c r="I1953" s="25" t="n"/>
      <c r="J1953" s="10">
        <f>IF(D1953="","",IF(H1953="✓","完了",IF(G1953="","",IF(G1953&lt;TODAY(),"期限超過",IF(G1953=TODAY(),"今日まで","予定")))))</f>
        <v/>
      </c>
      <c r="K1953" s="22" t="n"/>
      <c r="L1953" s="26" t="n"/>
    </row>
    <row r="1954">
      <c r="A1954" s="11" t="n"/>
      <c r="B1954" s="11" t="n"/>
      <c r="C1954" s="10" t="n"/>
      <c r="D1954" s="11" t="n"/>
      <c r="E1954" s="10" t="n"/>
      <c r="F1954" s="22" t="n"/>
      <c r="G1954" s="24" t="n"/>
      <c r="H1954" s="23" t="n"/>
      <c r="I1954" s="25" t="n"/>
      <c r="J1954" s="10">
        <f>IF(D1954="","",IF(H1954="✓","完了",IF(G1954="","",IF(G1954&lt;TODAY(),"期限超過",IF(G1954=TODAY(),"今日まで","予定")))))</f>
        <v/>
      </c>
      <c r="K1954" s="22" t="n"/>
      <c r="L1954" s="26" t="n"/>
    </row>
    <row r="1955">
      <c r="A1955" s="11" t="n"/>
      <c r="B1955" s="11" t="n"/>
      <c r="C1955" s="10" t="n"/>
      <c r="D1955" s="11" t="n"/>
      <c r="E1955" s="10" t="n"/>
      <c r="F1955" s="22" t="n"/>
      <c r="G1955" s="24" t="n"/>
      <c r="H1955" s="23" t="n"/>
      <c r="I1955" s="25" t="n"/>
      <c r="J1955" s="10">
        <f>IF(D1955="","",IF(H1955="✓","完了",IF(G1955="","",IF(G1955&lt;TODAY(),"期限超過",IF(G1955=TODAY(),"今日まで","予定")))))</f>
        <v/>
      </c>
      <c r="K1955" s="22" t="n"/>
      <c r="L1955" s="26" t="n"/>
    </row>
    <row r="1956">
      <c r="A1956" s="11" t="n"/>
      <c r="B1956" s="11" t="n"/>
      <c r="C1956" s="10" t="n"/>
      <c r="D1956" s="11" t="n"/>
      <c r="E1956" s="10" t="n"/>
      <c r="F1956" s="22" t="n"/>
      <c r="G1956" s="24" t="n"/>
      <c r="H1956" s="23" t="n"/>
      <c r="I1956" s="25" t="n"/>
      <c r="J1956" s="10">
        <f>IF(D1956="","",IF(H1956="✓","完了",IF(G1956="","",IF(G1956&lt;TODAY(),"期限超過",IF(G1956=TODAY(),"今日まで","予定")))))</f>
        <v/>
      </c>
      <c r="K1956" s="22" t="n"/>
      <c r="L1956" s="26" t="n"/>
    </row>
    <row r="1957">
      <c r="A1957" s="11" t="n"/>
      <c r="B1957" s="11" t="n"/>
      <c r="C1957" s="10" t="n"/>
      <c r="D1957" s="11" t="n"/>
      <c r="E1957" s="10" t="n"/>
      <c r="F1957" s="22" t="n"/>
      <c r="G1957" s="24" t="n"/>
      <c r="H1957" s="23" t="n"/>
      <c r="I1957" s="25" t="n"/>
      <c r="J1957" s="10">
        <f>IF(D1957="","",IF(H1957="✓","完了",IF(G1957="","",IF(G1957&lt;TODAY(),"期限超過",IF(G1957=TODAY(),"今日まで","予定")))))</f>
        <v/>
      </c>
      <c r="K1957" s="22" t="n"/>
      <c r="L1957" s="26" t="n"/>
    </row>
    <row r="1958">
      <c r="A1958" s="11" t="n"/>
      <c r="B1958" s="11" t="n"/>
      <c r="C1958" s="10" t="n"/>
      <c r="D1958" s="11" t="n"/>
      <c r="E1958" s="10" t="n"/>
      <c r="F1958" s="22" t="n"/>
      <c r="G1958" s="24" t="n"/>
      <c r="H1958" s="23" t="n"/>
      <c r="I1958" s="25" t="n"/>
      <c r="J1958" s="10">
        <f>IF(D1958="","",IF(H1958="✓","完了",IF(G1958="","",IF(G1958&lt;TODAY(),"期限超過",IF(G1958=TODAY(),"今日まで","予定")))))</f>
        <v/>
      </c>
      <c r="K1958" s="22" t="n"/>
      <c r="L1958" s="26" t="n"/>
    </row>
    <row r="1959">
      <c r="A1959" s="11" t="n"/>
      <c r="B1959" s="11" t="n"/>
      <c r="C1959" s="10" t="n"/>
      <c r="D1959" s="11" t="n"/>
      <c r="E1959" s="10" t="n"/>
      <c r="F1959" s="22" t="n"/>
      <c r="G1959" s="24" t="n"/>
      <c r="H1959" s="23" t="n"/>
      <c r="I1959" s="25" t="n"/>
      <c r="J1959" s="10">
        <f>IF(D1959="","",IF(H1959="✓","完了",IF(G1959="","",IF(G1959&lt;TODAY(),"期限超過",IF(G1959=TODAY(),"今日まで","予定")))))</f>
        <v/>
      </c>
      <c r="K1959" s="22" t="n"/>
      <c r="L1959" s="26" t="n"/>
    </row>
    <row r="1960">
      <c r="A1960" s="11" t="n"/>
      <c r="B1960" s="11" t="n"/>
      <c r="C1960" s="10" t="n"/>
      <c r="D1960" s="11" t="n"/>
      <c r="E1960" s="10" t="n"/>
      <c r="F1960" s="22" t="n"/>
      <c r="G1960" s="24" t="n"/>
      <c r="H1960" s="23" t="n"/>
      <c r="I1960" s="25" t="n"/>
      <c r="J1960" s="10">
        <f>IF(D1960="","",IF(H1960="✓","完了",IF(G1960="","",IF(G1960&lt;TODAY(),"期限超過",IF(G1960=TODAY(),"今日まで","予定")))))</f>
        <v/>
      </c>
      <c r="K1960" s="22" t="n"/>
      <c r="L1960" s="26" t="n"/>
    </row>
    <row r="1961">
      <c r="A1961" s="11" t="n"/>
      <c r="B1961" s="11" t="n"/>
      <c r="C1961" s="10" t="n"/>
      <c r="D1961" s="11" t="n"/>
      <c r="E1961" s="10" t="n"/>
      <c r="F1961" s="22" t="n"/>
      <c r="G1961" s="24" t="n"/>
      <c r="H1961" s="23" t="n"/>
      <c r="I1961" s="25" t="n"/>
      <c r="J1961" s="10">
        <f>IF(D1961="","",IF(H1961="✓","完了",IF(G1961="","",IF(G1961&lt;TODAY(),"期限超過",IF(G1961=TODAY(),"今日まで","予定")))))</f>
        <v/>
      </c>
      <c r="K1961" s="22" t="n"/>
      <c r="L1961" s="26" t="n"/>
    </row>
    <row r="1962">
      <c r="A1962" s="11" t="n"/>
      <c r="B1962" s="11" t="n"/>
      <c r="C1962" s="10" t="n"/>
      <c r="D1962" s="11" t="n"/>
      <c r="E1962" s="10" t="n"/>
      <c r="F1962" s="22" t="n"/>
      <c r="G1962" s="24" t="n"/>
      <c r="H1962" s="23" t="n"/>
      <c r="I1962" s="25" t="n"/>
      <c r="J1962" s="10">
        <f>IF(D1962="","",IF(H1962="✓","完了",IF(G1962="","",IF(G1962&lt;TODAY(),"期限超過",IF(G1962=TODAY(),"今日まで","予定")))))</f>
        <v/>
      </c>
      <c r="K1962" s="22" t="n"/>
      <c r="L1962" s="26" t="n"/>
    </row>
    <row r="1963">
      <c r="A1963" s="11" t="n"/>
      <c r="B1963" s="11" t="n"/>
      <c r="C1963" s="10" t="n"/>
      <c r="D1963" s="11" t="n"/>
      <c r="E1963" s="10" t="n"/>
      <c r="F1963" s="22" t="n"/>
      <c r="G1963" s="24" t="n"/>
      <c r="H1963" s="23" t="n"/>
      <c r="I1963" s="25" t="n"/>
      <c r="J1963" s="10">
        <f>IF(D1963="","",IF(H1963="✓","完了",IF(G1963="","",IF(G1963&lt;TODAY(),"期限超過",IF(G1963=TODAY(),"今日まで","予定")))))</f>
        <v/>
      </c>
      <c r="K1963" s="22" t="n"/>
      <c r="L1963" s="26" t="n"/>
    </row>
    <row r="1964">
      <c r="A1964" s="11" t="n"/>
      <c r="B1964" s="11" t="n"/>
      <c r="C1964" s="10" t="n"/>
      <c r="D1964" s="11" t="n"/>
      <c r="E1964" s="10" t="n"/>
      <c r="F1964" s="22" t="n"/>
      <c r="G1964" s="24" t="n"/>
      <c r="H1964" s="23" t="n"/>
      <c r="I1964" s="25" t="n"/>
      <c r="J1964" s="10">
        <f>IF(D1964="","",IF(H1964="✓","完了",IF(G1964="","",IF(G1964&lt;TODAY(),"期限超過",IF(G1964=TODAY(),"今日まで","予定")))))</f>
        <v/>
      </c>
      <c r="K1964" s="22" t="n"/>
      <c r="L1964" s="26" t="n"/>
    </row>
    <row r="1965">
      <c r="A1965" s="11" t="n"/>
      <c r="B1965" s="11" t="n"/>
      <c r="C1965" s="10" t="n"/>
      <c r="D1965" s="11" t="n"/>
      <c r="E1965" s="10" t="n"/>
      <c r="F1965" s="22" t="n"/>
      <c r="G1965" s="24" t="n"/>
      <c r="H1965" s="23" t="n"/>
      <c r="I1965" s="25" t="n"/>
      <c r="J1965" s="10">
        <f>IF(D1965="","",IF(H1965="✓","完了",IF(G1965="","",IF(G1965&lt;TODAY(),"期限超過",IF(G1965=TODAY(),"今日まで","予定")))))</f>
        <v/>
      </c>
      <c r="K1965" s="22" t="n"/>
      <c r="L1965" s="26" t="n"/>
    </row>
    <row r="1966">
      <c r="A1966" s="11" t="n"/>
      <c r="B1966" s="11" t="n"/>
      <c r="C1966" s="10" t="n"/>
      <c r="D1966" s="11" t="n"/>
      <c r="E1966" s="10" t="n"/>
      <c r="F1966" s="22" t="n"/>
      <c r="G1966" s="24" t="n"/>
      <c r="H1966" s="23" t="n"/>
      <c r="I1966" s="25" t="n"/>
      <c r="J1966" s="10">
        <f>IF(D1966="","",IF(H1966="✓","完了",IF(G1966="","",IF(G1966&lt;TODAY(),"期限超過",IF(G1966=TODAY(),"今日まで","予定")))))</f>
        <v/>
      </c>
      <c r="K1966" s="22" t="n"/>
      <c r="L1966" s="26" t="n"/>
    </row>
    <row r="1967">
      <c r="A1967" s="11" t="n"/>
      <c r="B1967" s="11" t="n"/>
      <c r="C1967" s="10" t="n"/>
      <c r="D1967" s="11" t="n"/>
      <c r="E1967" s="10" t="n"/>
      <c r="F1967" s="22" t="n"/>
      <c r="G1967" s="24" t="n"/>
      <c r="H1967" s="23" t="n"/>
      <c r="I1967" s="25" t="n"/>
      <c r="J1967" s="10">
        <f>IF(D1967="","",IF(H1967="✓","完了",IF(G1967="","",IF(G1967&lt;TODAY(),"期限超過",IF(G1967=TODAY(),"今日まで","予定")))))</f>
        <v/>
      </c>
      <c r="K1967" s="22" t="n"/>
      <c r="L1967" s="26" t="n"/>
    </row>
    <row r="1968">
      <c r="A1968" s="11" t="n"/>
      <c r="B1968" s="11" t="n"/>
      <c r="C1968" s="10" t="n"/>
      <c r="D1968" s="11" t="n"/>
      <c r="E1968" s="10" t="n"/>
      <c r="F1968" s="22" t="n"/>
      <c r="G1968" s="24" t="n"/>
      <c r="H1968" s="23" t="n"/>
      <c r="I1968" s="25" t="n"/>
      <c r="J1968" s="10">
        <f>IF(D1968="","",IF(H1968="✓","完了",IF(G1968="","",IF(G1968&lt;TODAY(),"期限超過",IF(G1968=TODAY(),"今日まで","予定")))))</f>
        <v/>
      </c>
      <c r="K1968" s="22" t="n"/>
      <c r="L1968" s="26" t="n"/>
    </row>
    <row r="1969">
      <c r="A1969" s="11" t="n"/>
      <c r="B1969" s="11" t="n"/>
      <c r="C1969" s="10" t="n"/>
      <c r="D1969" s="11" t="n"/>
      <c r="E1969" s="10" t="n"/>
      <c r="F1969" s="22" t="n"/>
      <c r="G1969" s="24" t="n"/>
      <c r="H1969" s="23" t="n"/>
      <c r="I1969" s="25" t="n"/>
      <c r="J1969" s="10">
        <f>IF(D1969="","",IF(H1969="✓","完了",IF(G1969="","",IF(G1969&lt;TODAY(),"期限超過",IF(G1969=TODAY(),"今日まで","予定")))))</f>
        <v/>
      </c>
      <c r="K1969" s="22" t="n"/>
      <c r="L1969" s="26" t="n"/>
    </row>
    <row r="1970">
      <c r="A1970" s="11" t="n"/>
      <c r="B1970" s="11" t="n"/>
      <c r="C1970" s="10" t="n"/>
      <c r="D1970" s="11" t="n"/>
      <c r="E1970" s="10" t="n"/>
      <c r="F1970" s="22" t="n"/>
      <c r="G1970" s="24" t="n"/>
      <c r="H1970" s="23" t="n"/>
      <c r="I1970" s="25" t="n"/>
      <c r="J1970" s="10">
        <f>IF(D1970="","",IF(H1970="✓","完了",IF(G1970="","",IF(G1970&lt;TODAY(),"期限超過",IF(G1970=TODAY(),"今日まで","予定")))))</f>
        <v/>
      </c>
      <c r="K1970" s="22" t="n"/>
      <c r="L1970" s="26" t="n"/>
    </row>
    <row r="1971">
      <c r="A1971" s="11" t="n"/>
      <c r="B1971" s="11" t="n"/>
      <c r="C1971" s="10" t="n"/>
      <c r="D1971" s="11" t="n"/>
      <c r="E1971" s="10" t="n"/>
      <c r="F1971" s="22" t="n"/>
      <c r="G1971" s="24" t="n"/>
      <c r="H1971" s="23" t="n"/>
      <c r="I1971" s="25" t="n"/>
      <c r="J1971" s="10">
        <f>IF(D1971="","",IF(H1971="✓","完了",IF(G1971="","",IF(G1971&lt;TODAY(),"期限超過",IF(G1971=TODAY(),"今日まで","予定")))))</f>
        <v/>
      </c>
      <c r="K1971" s="22" t="n"/>
      <c r="L1971" s="26" t="n"/>
    </row>
    <row r="1972">
      <c r="A1972" s="11" t="n"/>
      <c r="B1972" s="11" t="n"/>
      <c r="C1972" s="10" t="n"/>
      <c r="D1972" s="11" t="n"/>
      <c r="E1972" s="10" t="n"/>
      <c r="F1972" s="22" t="n"/>
      <c r="G1972" s="24" t="n"/>
      <c r="H1972" s="23" t="n"/>
      <c r="I1972" s="25" t="n"/>
      <c r="J1972" s="10">
        <f>IF(D1972="","",IF(H1972="✓","完了",IF(G1972="","",IF(G1972&lt;TODAY(),"期限超過",IF(G1972=TODAY(),"今日まで","予定")))))</f>
        <v/>
      </c>
      <c r="K1972" s="22" t="n"/>
      <c r="L1972" s="26" t="n"/>
    </row>
    <row r="1973">
      <c r="A1973" s="11" t="n"/>
      <c r="B1973" s="11" t="n"/>
      <c r="C1973" s="10" t="n"/>
      <c r="D1973" s="11" t="n"/>
      <c r="E1973" s="10" t="n"/>
      <c r="F1973" s="22" t="n"/>
      <c r="G1973" s="24" t="n"/>
      <c r="H1973" s="23" t="n"/>
      <c r="I1973" s="25" t="n"/>
      <c r="J1973" s="10">
        <f>IF(D1973="","",IF(H1973="✓","完了",IF(G1973="","",IF(G1973&lt;TODAY(),"期限超過",IF(G1973=TODAY(),"今日まで","予定")))))</f>
        <v/>
      </c>
      <c r="K1973" s="22" t="n"/>
      <c r="L1973" s="26" t="n"/>
    </row>
    <row r="1974">
      <c r="A1974" s="11" t="n"/>
      <c r="B1974" s="11" t="n"/>
      <c r="C1974" s="10" t="n"/>
      <c r="D1974" s="11" t="n"/>
      <c r="E1974" s="10" t="n"/>
      <c r="F1974" s="22" t="n"/>
      <c r="G1974" s="24" t="n"/>
      <c r="H1974" s="23" t="n"/>
      <c r="I1974" s="25" t="n"/>
      <c r="J1974" s="10">
        <f>IF(D1974="","",IF(H1974="✓","完了",IF(G1974="","",IF(G1974&lt;TODAY(),"期限超過",IF(G1974=TODAY(),"今日まで","予定")))))</f>
        <v/>
      </c>
      <c r="K1974" s="22" t="n"/>
      <c r="L1974" s="26" t="n"/>
    </row>
    <row r="1975">
      <c r="A1975" s="11" t="n"/>
      <c r="B1975" s="11" t="n"/>
      <c r="C1975" s="10" t="n"/>
      <c r="D1975" s="11" t="n"/>
      <c r="E1975" s="10" t="n"/>
      <c r="F1975" s="22" t="n"/>
      <c r="G1975" s="24" t="n"/>
      <c r="H1975" s="23" t="n"/>
      <c r="I1975" s="25" t="n"/>
      <c r="J1975" s="10">
        <f>IF(D1975="","",IF(H1975="✓","完了",IF(G1975="","",IF(G1975&lt;TODAY(),"期限超過",IF(G1975=TODAY(),"今日まで","予定")))))</f>
        <v/>
      </c>
      <c r="K1975" s="22" t="n"/>
      <c r="L1975" s="26" t="n"/>
    </row>
    <row r="1976">
      <c r="A1976" s="11" t="n"/>
      <c r="B1976" s="11" t="n"/>
      <c r="C1976" s="10" t="n"/>
      <c r="D1976" s="11" t="n"/>
      <c r="E1976" s="10" t="n"/>
      <c r="F1976" s="22" t="n"/>
      <c r="G1976" s="24" t="n"/>
      <c r="H1976" s="23" t="n"/>
      <c r="I1976" s="25" t="n"/>
      <c r="J1976" s="10">
        <f>IF(D1976="","",IF(H1976="✓","完了",IF(G1976="","",IF(G1976&lt;TODAY(),"期限超過",IF(G1976=TODAY(),"今日まで","予定")))))</f>
        <v/>
      </c>
      <c r="K1976" s="22" t="n"/>
      <c r="L1976" s="26" t="n"/>
    </row>
    <row r="1977">
      <c r="A1977" s="11" t="n"/>
      <c r="B1977" s="11" t="n"/>
      <c r="C1977" s="10" t="n"/>
      <c r="D1977" s="11" t="n"/>
      <c r="E1977" s="10" t="n"/>
      <c r="F1977" s="22" t="n"/>
      <c r="G1977" s="24" t="n"/>
      <c r="H1977" s="23" t="n"/>
      <c r="I1977" s="25" t="n"/>
      <c r="J1977" s="10">
        <f>IF(D1977="","",IF(H1977="✓","完了",IF(G1977="","",IF(G1977&lt;TODAY(),"期限超過",IF(G1977=TODAY(),"今日まで","予定")))))</f>
        <v/>
      </c>
      <c r="K1977" s="22" t="n"/>
      <c r="L1977" s="26" t="n"/>
    </row>
    <row r="1978">
      <c r="A1978" s="11" t="n"/>
      <c r="B1978" s="11" t="n"/>
      <c r="C1978" s="10" t="n"/>
      <c r="D1978" s="11" t="n"/>
      <c r="E1978" s="10" t="n"/>
      <c r="F1978" s="22" t="n"/>
      <c r="G1978" s="24" t="n"/>
      <c r="H1978" s="23" t="n"/>
      <c r="I1978" s="25" t="n"/>
      <c r="J1978" s="10">
        <f>IF(D1978="","",IF(H1978="✓","完了",IF(G1978="","",IF(G1978&lt;TODAY(),"期限超過",IF(G1978=TODAY(),"今日まで","予定")))))</f>
        <v/>
      </c>
      <c r="K1978" s="22" t="n"/>
      <c r="L1978" s="26" t="n"/>
    </row>
    <row r="1979">
      <c r="A1979" s="11" t="n"/>
      <c r="B1979" s="11" t="n"/>
      <c r="C1979" s="10" t="n"/>
      <c r="D1979" s="11" t="n"/>
      <c r="E1979" s="10" t="n"/>
      <c r="F1979" s="22" t="n"/>
      <c r="G1979" s="24" t="n"/>
      <c r="H1979" s="23" t="n"/>
      <c r="I1979" s="25" t="n"/>
      <c r="J1979" s="10">
        <f>IF(D1979="","",IF(H1979="✓","完了",IF(G1979="","",IF(G1979&lt;TODAY(),"期限超過",IF(G1979=TODAY(),"今日まで","予定")))))</f>
        <v/>
      </c>
      <c r="K1979" s="22" t="n"/>
      <c r="L1979" s="26" t="n"/>
    </row>
    <row r="1980">
      <c r="A1980" s="11" t="n"/>
      <c r="B1980" s="11" t="n"/>
      <c r="C1980" s="10" t="n"/>
      <c r="D1980" s="11" t="n"/>
      <c r="E1980" s="10" t="n"/>
      <c r="F1980" s="22" t="n"/>
      <c r="G1980" s="24" t="n"/>
      <c r="H1980" s="23" t="n"/>
      <c r="I1980" s="25" t="n"/>
      <c r="J1980" s="10">
        <f>IF(D1980="","",IF(H1980="✓","完了",IF(G1980="","",IF(G1980&lt;TODAY(),"期限超過",IF(G1980=TODAY(),"今日まで","予定")))))</f>
        <v/>
      </c>
      <c r="K1980" s="22" t="n"/>
      <c r="L1980" s="26" t="n"/>
    </row>
    <row r="1981">
      <c r="A1981" s="11" t="n"/>
      <c r="B1981" s="11" t="n"/>
      <c r="C1981" s="10" t="n"/>
      <c r="D1981" s="11" t="n"/>
      <c r="E1981" s="10" t="n"/>
      <c r="F1981" s="22" t="n"/>
      <c r="G1981" s="24" t="n"/>
      <c r="H1981" s="23" t="n"/>
      <c r="I1981" s="25" t="n"/>
      <c r="J1981" s="10">
        <f>IF(D1981="","",IF(H1981="✓","完了",IF(G1981="","",IF(G1981&lt;TODAY(),"期限超過",IF(G1981=TODAY(),"今日まで","予定")))))</f>
        <v/>
      </c>
      <c r="K1981" s="22" t="n"/>
      <c r="L1981" s="26" t="n"/>
    </row>
    <row r="1982">
      <c r="A1982" s="11" t="n"/>
      <c r="B1982" s="11" t="n"/>
      <c r="C1982" s="10" t="n"/>
      <c r="D1982" s="11" t="n"/>
      <c r="E1982" s="10" t="n"/>
      <c r="F1982" s="22" t="n"/>
      <c r="G1982" s="24" t="n"/>
      <c r="H1982" s="23" t="n"/>
      <c r="I1982" s="25" t="n"/>
      <c r="J1982" s="10">
        <f>IF(D1982="","",IF(H1982="✓","完了",IF(G1982="","",IF(G1982&lt;TODAY(),"期限超過",IF(G1982=TODAY(),"今日まで","予定")))))</f>
        <v/>
      </c>
      <c r="K1982" s="22" t="n"/>
      <c r="L1982" s="26" t="n"/>
    </row>
    <row r="1983">
      <c r="A1983" s="11" t="n"/>
      <c r="B1983" s="11" t="n"/>
      <c r="C1983" s="10" t="n"/>
      <c r="D1983" s="11" t="n"/>
      <c r="E1983" s="10" t="n"/>
      <c r="F1983" s="22" t="n"/>
      <c r="G1983" s="24" t="n"/>
      <c r="H1983" s="23" t="n"/>
      <c r="I1983" s="25" t="n"/>
      <c r="J1983" s="10">
        <f>IF(D1983="","",IF(H1983="✓","完了",IF(G1983="","",IF(G1983&lt;TODAY(),"期限超過",IF(G1983=TODAY(),"今日まで","予定")))))</f>
        <v/>
      </c>
      <c r="K1983" s="22" t="n"/>
      <c r="L1983" s="26" t="n"/>
    </row>
    <row r="1984">
      <c r="A1984" s="11" t="n"/>
      <c r="B1984" s="11" t="n"/>
      <c r="C1984" s="10" t="n"/>
      <c r="D1984" s="11" t="n"/>
      <c r="E1984" s="10" t="n"/>
      <c r="F1984" s="22" t="n"/>
      <c r="G1984" s="24" t="n"/>
      <c r="H1984" s="23" t="n"/>
      <c r="I1984" s="25" t="n"/>
      <c r="J1984" s="10">
        <f>IF(D1984="","",IF(H1984="✓","完了",IF(G1984="","",IF(G1984&lt;TODAY(),"期限超過",IF(G1984=TODAY(),"今日まで","予定")))))</f>
        <v/>
      </c>
      <c r="K1984" s="22" t="n"/>
      <c r="L1984" s="26" t="n"/>
    </row>
    <row r="1985">
      <c r="A1985" s="11" t="n"/>
      <c r="B1985" s="11" t="n"/>
      <c r="C1985" s="10" t="n"/>
      <c r="D1985" s="11" t="n"/>
      <c r="E1985" s="10" t="n"/>
      <c r="F1985" s="22" t="n"/>
      <c r="G1985" s="24" t="n"/>
      <c r="H1985" s="23" t="n"/>
      <c r="I1985" s="25" t="n"/>
      <c r="J1985" s="10">
        <f>IF(D1985="","",IF(H1985="✓","完了",IF(G1985="","",IF(G1985&lt;TODAY(),"期限超過",IF(G1985=TODAY(),"今日まで","予定")))))</f>
        <v/>
      </c>
      <c r="K1985" s="22" t="n"/>
      <c r="L1985" s="26" t="n"/>
    </row>
    <row r="1986">
      <c r="A1986" s="11" t="n"/>
      <c r="B1986" s="11" t="n"/>
      <c r="C1986" s="10" t="n"/>
      <c r="D1986" s="11" t="n"/>
      <c r="E1986" s="10" t="n"/>
      <c r="F1986" s="22" t="n"/>
      <c r="G1986" s="24" t="n"/>
      <c r="H1986" s="23" t="n"/>
      <c r="I1986" s="25" t="n"/>
      <c r="J1986" s="10">
        <f>IF(D1986="","",IF(H1986="✓","完了",IF(G1986="","",IF(G1986&lt;TODAY(),"期限超過",IF(G1986=TODAY(),"今日まで","予定")))))</f>
        <v/>
      </c>
      <c r="K1986" s="22" t="n"/>
      <c r="L1986" s="26" t="n"/>
    </row>
    <row r="1987">
      <c r="A1987" s="11" t="n"/>
      <c r="B1987" s="11" t="n"/>
      <c r="C1987" s="10" t="n"/>
      <c r="D1987" s="11" t="n"/>
      <c r="E1987" s="10" t="n"/>
      <c r="F1987" s="22" t="n"/>
      <c r="G1987" s="24" t="n"/>
      <c r="H1987" s="23" t="n"/>
      <c r="I1987" s="25" t="n"/>
      <c r="J1987" s="10">
        <f>IF(D1987="","",IF(H1987="✓","完了",IF(G1987="","",IF(G1987&lt;TODAY(),"期限超過",IF(G1987=TODAY(),"今日まで","予定")))))</f>
        <v/>
      </c>
      <c r="K1987" s="22" t="n"/>
      <c r="L1987" s="26" t="n"/>
    </row>
    <row r="1988">
      <c r="A1988" s="11" t="n"/>
      <c r="B1988" s="11" t="n"/>
      <c r="C1988" s="10" t="n"/>
      <c r="D1988" s="11" t="n"/>
      <c r="E1988" s="10" t="n"/>
      <c r="F1988" s="22" t="n"/>
      <c r="G1988" s="24" t="n"/>
      <c r="H1988" s="23" t="n"/>
      <c r="I1988" s="25" t="n"/>
      <c r="J1988" s="10">
        <f>IF(D1988="","",IF(H1988="✓","完了",IF(G1988="","",IF(G1988&lt;TODAY(),"期限超過",IF(G1988=TODAY(),"今日まで","予定")))))</f>
        <v/>
      </c>
      <c r="K1988" s="22" t="n"/>
      <c r="L1988" s="26" t="n"/>
    </row>
    <row r="1989">
      <c r="A1989" s="11" t="n"/>
      <c r="B1989" s="11" t="n"/>
      <c r="C1989" s="10" t="n"/>
      <c r="D1989" s="11" t="n"/>
      <c r="E1989" s="10" t="n"/>
      <c r="F1989" s="22" t="n"/>
      <c r="G1989" s="24" t="n"/>
      <c r="H1989" s="23" t="n"/>
      <c r="I1989" s="25" t="n"/>
      <c r="J1989" s="10">
        <f>IF(D1989="","",IF(H1989="✓","完了",IF(G1989="","",IF(G1989&lt;TODAY(),"期限超過",IF(G1989=TODAY(),"今日まで","予定")))))</f>
        <v/>
      </c>
      <c r="K1989" s="22" t="n"/>
      <c r="L1989" s="26" t="n"/>
    </row>
    <row r="1990">
      <c r="A1990" s="11" t="n"/>
      <c r="B1990" s="11" t="n"/>
      <c r="C1990" s="10" t="n"/>
      <c r="D1990" s="11" t="n"/>
      <c r="E1990" s="10" t="n"/>
      <c r="F1990" s="22" t="n"/>
      <c r="G1990" s="24" t="n"/>
      <c r="H1990" s="23" t="n"/>
      <c r="I1990" s="25" t="n"/>
      <c r="J1990" s="10">
        <f>IF(D1990="","",IF(H1990="✓","完了",IF(G1990="","",IF(G1990&lt;TODAY(),"期限超過",IF(G1990=TODAY(),"今日まで","予定")))))</f>
        <v/>
      </c>
      <c r="K1990" s="22" t="n"/>
      <c r="L1990" s="26" t="n"/>
    </row>
    <row r="1991">
      <c r="A1991" s="11" t="n"/>
      <c r="B1991" s="11" t="n"/>
      <c r="C1991" s="10" t="n"/>
      <c r="D1991" s="11" t="n"/>
      <c r="E1991" s="10" t="n"/>
      <c r="F1991" s="22" t="n"/>
      <c r="G1991" s="24" t="n"/>
      <c r="H1991" s="23" t="n"/>
      <c r="I1991" s="25" t="n"/>
      <c r="J1991" s="10">
        <f>IF(D1991="","",IF(H1991="✓","完了",IF(G1991="","",IF(G1991&lt;TODAY(),"期限超過",IF(G1991=TODAY(),"今日まで","予定")))))</f>
        <v/>
      </c>
      <c r="K1991" s="22" t="n"/>
      <c r="L1991" s="26" t="n"/>
    </row>
    <row r="1992">
      <c r="A1992" s="11" t="n"/>
      <c r="B1992" s="11" t="n"/>
      <c r="C1992" s="10" t="n"/>
      <c r="D1992" s="11" t="n"/>
      <c r="E1992" s="10" t="n"/>
      <c r="F1992" s="22" t="n"/>
      <c r="G1992" s="24" t="n"/>
      <c r="H1992" s="23" t="n"/>
      <c r="I1992" s="25" t="n"/>
      <c r="J1992" s="10">
        <f>IF(D1992="","",IF(H1992="✓","完了",IF(G1992="","",IF(G1992&lt;TODAY(),"期限超過",IF(G1992=TODAY(),"今日まで","予定")))))</f>
        <v/>
      </c>
      <c r="K1992" s="22" t="n"/>
      <c r="L1992" s="26" t="n"/>
    </row>
    <row r="1993">
      <c r="A1993" s="11" t="n"/>
      <c r="B1993" s="11" t="n"/>
      <c r="C1993" s="10" t="n"/>
      <c r="D1993" s="11" t="n"/>
      <c r="E1993" s="10" t="n"/>
      <c r="F1993" s="22" t="n"/>
      <c r="G1993" s="24" t="n"/>
      <c r="H1993" s="23" t="n"/>
      <c r="I1993" s="25" t="n"/>
      <c r="J1993" s="10">
        <f>IF(D1993="","",IF(H1993="✓","完了",IF(G1993="","",IF(G1993&lt;TODAY(),"期限超過",IF(G1993=TODAY(),"今日まで","予定")))))</f>
        <v/>
      </c>
      <c r="K1993" s="22" t="n"/>
      <c r="L1993" s="26" t="n"/>
    </row>
    <row r="1994">
      <c r="A1994" s="11" t="n"/>
      <c r="B1994" s="11" t="n"/>
      <c r="C1994" s="10" t="n"/>
      <c r="D1994" s="11" t="n"/>
      <c r="E1994" s="10" t="n"/>
      <c r="F1994" s="22" t="n"/>
      <c r="G1994" s="24" t="n"/>
      <c r="H1994" s="23" t="n"/>
      <c r="I1994" s="25" t="n"/>
      <c r="J1994" s="10">
        <f>IF(D1994="","",IF(H1994="✓","完了",IF(G1994="","",IF(G1994&lt;TODAY(),"期限超過",IF(G1994=TODAY(),"今日まで","予定")))))</f>
        <v/>
      </c>
      <c r="K1994" s="22" t="n"/>
      <c r="L1994" s="26" t="n"/>
    </row>
    <row r="1995">
      <c r="A1995" s="11" t="n"/>
      <c r="B1995" s="11" t="n"/>
      <c r="C1995" s="10" t="n"/>
      <c r="D1995" s="11" t="n"/>
      <c r="E1995" s="10" t="n"/>
      <c r="F1995" s="22" t="n"/>
      <c r="G1995" s="24" t="n"/>
      <c r="H1995" s="23" t="n"/>
      <c r="I1995" s="25" t="n"/>
      <c r="J1995" s="10">
        <f>IF(D1995="","",IF(H1995="✓","完了",IF(G1995="","",IF(G1995&lt;TODAY(),"期限超過",IF(G1995=TODAY(),"今日まで","予定")))))</f>
        <v/>
      </c>
      <c r="K1995" s="22" t="n"/>
      <c r="L1995" s="26" t="n"/>
    </row>
    <row r="1996">
      <c r="A1996" s="11" t="n"/>
      <c r="B1996" s="11" t="n"/>
      <c r="C1996" s="10" t="n"/>
      <c r="D1996" s="11" t="n"/>
      <c r="E1996" s="10" t="n"/>
      <c r="F1996" s="22" t="n"/>
      <c r="G1996" s="24" t="n"/>
      <c r="H1996" s="23" t="n"/>
      <c r="I1996" s="25" t="n"/>
      <c r="J1996" s="10">
        <f>IF(D1996="","",IF(H1996="✓","完了",IF(G1996="","",IF(G1996&lt;TODAY(),"期限超過",IF(G1996=TODAY(),"今日まで","予定")))))</f>
        <v/>
      </c>
      <c r="K1996" s="22" t="n"/>
      <c r="L1996" s="26" t="n"/>
    </row>
    <row r="1997">
      <c r="A1997" s="11" t="n"/>
      <c r="B1997" s="11" t="n"/>
      <c r="C1997" s="10" t="n"/>
      <c r="D1997" s="11" t="n"/>
      <c r="E1997" s="10" t="n"/>
      <c r="F1997" s="22" t="n"/>
      <c r="G1997" s="24" t="n"/>
      <c r="H1997" s="23" t="n"/>
      <c r="I1997" s="25" t="n"/>
      <c r="J1997" s="10">
        <f>IF(D1997="","",IF(H1997="✓","完了",IF(G1997="","",IF(G1997&lt;TODAY(),"期限超過",IF(G1997=TODAY(),"今日まで","予定")))))</f>
        <v/>
      </c>
      <c r="K1997" s="22" t="n"/>
      <c r="L1997" s="26" t="n"/>
    </row>
    <row r="1998">
      <c r="A1998" s="11" t="n"/>
      <c r="B1998" s="11" t="n"/>
      <c r="C1998" s="10" t="n"/>
      <c r="D1998" s="11" t="n"/>
      <c r="E1998" s="10" t="n"/>
      <c r="F1998" s="22" t="n"/>
      <c r="G1998" s="24" t="n"/>
      <c r="H1998" s="23" t="n"/>
      <c r="I1998" s="25" t="n"/>
      <c r="J1998" s="10">
        <f>IF(D1998="","",IF(H1998="✓","完了",IF(G1998="","",IF(G1998&lt;TODAY(),"期限超過",IF(G1998=TODAY(),"今日まで","予定")))))</f>
        <v/>
      </c>
      <c r="K1998" s="22" t="n"/>
      <c r="L1998" s="26" t="n"/>
    </row>
    <row r="1999">
      <c r="A1999" s="11" t="n"/>
      <c r="B1999" s="11" t="n"/>
      <c r="C1999" s="10" t="n"/>
      <c r="D1999" s="11" t="n"/>
      <c r="E1999" s="10" t="n"/>
      <c r="F1999" s="22" t="n"/>
      <c r="G1999" s="24" t="n"/>
      <c r="H1999" s="23" t="n"/>
      <c r="I1999" s="25" t="n"/>
      <c r="J1999" s="10">
        <f>IF(D1999="","",IF(H1999="✓","完了",IF(G1999="","",IF(G1999&lt;TODAY(),"期限超過",IF(G1999=TODAY(),"今日まで","予定")))))</f>
        <v/>
      </c>
      <c r="K1999" s="22" t="n"/>
      <c r="L1999" s="26" t="n"/>
    </row>
    <row r="2000">
      <c r="A2000" s="11" t="n"/>
      <c r="B2000" s="11" t="n"/>
      <c r="C2000" s="10" t="n"/>
      <c r="D2000" s="11" t="n"/>
      <c r="E2000" s="10" t="n"/>
      <c r="F2000" s="22" t="n"/>
      <c r="G2000" s="24" t="n"/>
      <c r="H2000" s="23" t="n"/>
      <c r="I2000" s="25" t="n"/>
      <c r="J2000" s="10">
        <f>IF(D2000="","",IF(H2000="✓","完了",IF(G2000="","",IF(G2000&lt;TODAY(),"期限超過",IF(G2000=TODAY(),"今日まで","予定")))))</f>
        <v/>
      </c>
      <c r="K2000" s="22" t="n"/>
      <c r="L2000" s="26" t="n"/>
    </row>
    <row r="2001">
      <c r="A2001" s="11" t="n"/>
      <c r="B2001" s="11" t="n"/>
      <c r="C2001" s="10" t="n"/>
      <c r="D2001" s="11" t="n"/>
      <c r="E2001" s="10" t="n"/>
      <c r="F2001" s="22" t="n"/>
      <c r="G2001" s="24" t="n"/>
      <c r="H2001" s="23" t="n"/>
      <c r="I2001" s="25" t="n"/>
      <c r="J2001" s="10">
        <f>IF(D2001="","",IF(H2001="✓","完了",IF(G2001="","",IF(G2001&lt;TODAY(),"期限超過",IF(G2001=TODAY(),"今日まで","予定")))))</f>
        <v/>
      </c>
      <c r="K2001" s="22" t="n"/>
      <c r="L2001" s="26" t="n"/>
    </row>
    <row r="2002">
      <c r="A2002" s="11" t="n"/>
      <c r="B2002" s="11" t="n"/>
      <c r="C2002" s="10" t="n"/>
      <c r="D2002" s="11" t="n"/>
      <c r="E2002" s="10" t="n"/>
      <c r="F2002" s="22" t="n"/>
      <c r="G2002" s="24" t="n"/>
      <c r="H2002" s="23" t="n"/>
      <c r="I2002" s="25" t="n"/>
      <c r="J2002" s="10">
        <f>IF(D2002="","",IF(H2002="✓","完了",IF(G2002="","",IF(G2002&lt;TODAY(),"期限超過",IF(G2002=TODAY(),"今日まで","予定")))))</f>
        <v/>
      </c>
      <c r="K2002" s="22" t="n"/>
      <c r="L2002" s="26" t="n"/>
    </row>
    <row r="2003">
      <c r="A2003" s="11" t="n"/>
      <c r="B2003" s="11" t="n"/>
      <c r="C2003" s="10" t="n"/>
      <c r="D2003" s="11" t="n"/>
      <c r="E2003" s="10" t="n"/>
      <c r="F2003" s="22" t="n"/>
      <c r="G2003" s="24" t="n"/>
      <c r="H2003" s="23" t="n"/>
      <c r="I2003" s="25" t="n"/>
      <c r="J2003" s="10">
        <f>IF(D2003="","",IF(H2003="✓","完了",IF(G2003="","",IF(G2003&lt;TODAY(),"期限超過",IF(G2003=TODAY(),"今日まで","予定")))))</f>
        <v/>
      </c>
      <c r="K2003" s="22" t="n"/>
      <c r="L2003" s="26" t="n"/>
    </row>
    <row r="2004">
      <c r="A2004" s="11" t="n"/>
      <c r="B2004" s="11" t="n"/>
      <c r="C2004" s="10" t="n"/>
      <c r="D2004" s="11" t="n"/>
      <c r="E2004" s="10" t="n"/>
      <c r="F2004" s="22" t="n"/>
      <c r="G2004" s="24" t="n"/>
      <c r="H2004" s="23" t="n"/>
      <c r="I2004" s="25" t="n"/>
      <c r="J2004" s="10">
        <f>IF(D2004="","",IF(H2004="✓","完了",IF(G2004="","",IF(G2004&lt;TODAY(),"期限超過",IF(G2004=TODAY(),"今日まで","予定")))))</f>
        <v/>
      </c>
      <c r="K2004" s="22" t="n"/>
      <c r="L2004" s="26" t="n"/>
    </row>
  </sheetData>
  <autoFilter ref="A4:L2004"/>
  <conditionalFormatting sqref="J5:J2004">
    <cfRule type="expression" priority="1" dxfId="5">
      <formula>$J5="期限超過"</formula>
    </cfRule>
    <cfRule type="expression" priority="2" dxfId="11">
      <formula>$J5="今日まで"</formula>
    </cfRule>
    <cfRule type="expression" priority="3" dxfId="12">
      <formula>$J5="完了"</formula>
    </cfRule>
  </conditionalFormatting>
  <conditionalFormatting sqref="E5:E2004">
    <cfRule type="expression" priority="4" dxfId="8">
      <formula>$E5="DNA"</formula>
    </cfRule>
  </conditionalFormatting>
  <conditionalFormatting sqref="A5:K2004">
    <cfRule type="expression" priority="5" dxfId="10">
      <formula>$H5="✓"</formula>
    </cfRule>
  </conditionalFormatting>
  <dataValidations count="1">
    <dataValidation sqref="H5:H2004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入会後進捗（入会者 × 行動）</t>
        </is>
      </c>
    </row>
    <row r="2">
      <c r="A2" s="2" t="inlineStr">
        <is>
          <t>メニュー「🚀ローンチ管理」→「入会者の行動リストを作成・同期」で作成／自動実行ONなら毎日自動更新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  <col width="40" customWidth="1" min="10" max="10"/>
    <col width="8" customWidth="1" min="11" max="11"/>
  </cols>
  <sheetData>
    <row r="1">
      <c r="A1" s="1" t="inlineStr">
        <is>
          <t>日次ログ（毎日1ローンチ1行・活動ゼロの日も0で入力）</t>
        </is>
      </c>
    </row>
    <row r="2">
      <c r="A2" s="2" t="inlineStr">
        <is>
          <t>数字は“その日に増えた件数”。正式プリコア数はCCS追っかけから自動集計されるので、ここには書きません</t>
        </is>
      </c>
    </row>
    <row r="4">
      <c r="A4" s="8" t="inlineStr">
        <is>
          <t>日付</t>
        </is>
      </c>
      <c r="B4" s="8" t="inlineStr">
        <is>
          <t>ローンチ（LD名）</t>
        </is>
      </c>
      <c r="C4" s="8" t="inlineStr">
        <is>
          <t>入力者</t>
        </is>
      </c>
      <c r="D4" s="8" t="inlineStr">
        <is>
          <t>声かけ数</t>
        </is>
      </c>
      <c r="E4" s="8" t="inlineStr">
        <is>
          <t>インフォ参加</t>
        </is>
      </c>
      <c r="F4" s="8" t="inlineStr">
        <is>
          <t>面談実施</t>
        </is>
      </c>
      <c r="G4" s="8" t="inlineStr">
        <is>
          <t>新規申込</t>
        </is>
      </c>
      <c r="H4" s="8" t="inlineStr">
        <is>
          <t>新規入金</t>
        </is>
      </c>
      <c r="I4" s="8" t="inlineStr">
        <is>
          <t>新規同意書</t>
        </is>
      </c>
      <c r="J4" s="8" t="inlineStr">
        <is>
          <t>今日のひとこと・課題</t>
        </is>
      </c>
      <c r="K4" s="8" t="inlineStr">
        <is>
          <t>ヘルプ要否</t>
        </is>
      </c>
    </row>
    <row r="5">
      <c r="A5" s="27" t="n"/>
      <c r="B5" s="23" t="n"/>
      <c r="C5" s="23" t="n"/>
      <c r="D5" s="28" t="n"/>
      <c r="E5" s="28" t="n"/>
      <c r="F5" s="28" t="n"/>
      <c r="G5" s="28" t="n"/>
      <c r="H5" s="28" t="n"/>
      <c r="I5" s="28" t="n"/>
      <c r="J5" s="22" t="n"/>
      <c r="K5" s="23" t="n"/>
    </row>
    <row r="6">
      <c r="A6" s="27" t="n"/>
      <c r="B6" s="23" t="n"/>
      <c r="C6" s="23" t="n"/>
      <c r="D6" s="28" t="n"/>
      <c r="E6" s="28" t="n"/>
      <c r="F6" s="28" t="n"/>
      <c r="G6" s="28" t="n"/>
      <c r="H6" s="28" t="n"/>
      <c r="I6" s="28" t="n"/>
      <c r="J6" s="22" t="n"/>
      <c r="K6" s="23" t="n"/>
    </row>
    <row r="7">
      <c r="A7" s="27" t="n"/>
      <c r="B7" s="23" t="n"/>
      <c r="C7" s="23" t="n"/>
      <c r="D7" s="28" t="n"/>
      <c r="E7" s="28" t="n"/>
      <c r="F7" s="28" t="n"/>
      <c r="G7" s="28" t="n"/>
      <c r="H7" s="28" t="n"/>
      <c r="I7" s="28" t="n"/>
      <c r="J7" s="22" t="n"/>
      <c r="K7" s="23" t="n"/>
    </row>
    <row r="8">
      <c r="A8" s="27" t="n"/>
      <c r="B8" s="23" t="n"/>
      <c r="C8" s="23" t="n"/>
      <c r="D8" s="28" t="n"/>
      <c r="E8" s="28" t="n"/>
      <c r="F8" s="28" t="n"/>
      <c r="G8" s="28" t="n"/>
      <c r="H8" s="28" t="n"/>
      <c r="I8" s="28" t="n"/>
      <c r="J8" s="22" t="n"/>
      <c r="K8" s="23" t="n"/>
    </row>
    <row r="9">
      <c r="A9" s="27" t="n"/>
      <c r="B9" s="23" t="n"/>
      <c r="C9" s="23" t="n"/>
      <c r="D9" s="28" t="n"/>
      <c r="E9" s="28" t="n"/>
      <c r="F9" s="28" t="n"/>
      <c r="G9" s="28" t="n"/>
      <c r="H9" s="28" t="n"/>
      <c r="I9" s="28" t="n"/>
      <c r="J9" s="22" t="n"/>
      <c r="K9" s="23" t="n"/>
    </row>
    <row r="10">
      <c r="A10" s="27" t="n"/>
      <c r="B10" s="23" t="n"/>
      <c r="C10" s="23" t="n"/>
      <c r="D10" s="28" t="n"/>
      <c r="E10" s="28" t="n"/>
      <c r="F10" s="28" t="n"/>
      <c r="G10" s="28" t="n"/>
      <c r="H10" s="28" t="n"/>
      <c r="I10" s="28" t="n"/>
      <c r="J10" s="22" t="n"/>
      <c r="K10" s="23" t="n"/>
    </row>
    <row r="11">
      <c r="A11" s="27" t="n"/>
      <c r="B11" s="23" t="n"/>
      <c r="C11" s="23" t="n"/>
      <c r="D11" s="28" t="n"/>
      <c r="E11" s="28" t="n"/>
      <c r="F11" s="28" t="n"/>
      <c r="G11" s="28" t="n"/>
      <c r="H11" s="28" t="n"/>
      <c r="I11" s="28" t="n"/>
      <c r="J11" s="22" t="n"/>
      <c r="K11" s="23" t="n"/>
    </row>
    <row r="12">
      <c r="A12" s="27" t="n"/>
      <c r="B12" s="23" t="n"/>
      <c r="C12" s="23" t="n"/>
      <c r="D12" s="28" t="n"/>
      <c r="E12" s="28" t="n"/>
      <c r="F12" s="28" t="n"/>
      <c r="G12" s="28" t="n"/>
      <c r="H12" s="28" t="n"/>
      <c r="I12" s="28" t="n"/>
      <c r="J12" s="22" t="n"/>
      <c r="K12" s="23" t="n"/>
    </row>
    <row r="13">
      <c r="A13" s="27" t="n"/>
      <c r="B13" s="23" t="n"/>
      <c r="C13" s="23" t="n"/>
      <c r="D13" s="28" t="n"/>
      <c r="E13" s="28" t="n"/>
      <c r="F13" s="28" t="n"/>
      <c r="G13" s="28" t="n"/>
      <c r="H13" s="28" t="n"/>
      <c r="I13" s="28" t="n"/>
      <c r="J13" s="22" t="n"/>
      <c r="K13" s="23" t="n"/>
    </row>
    <row r="14">
      <c r="A14" s="27" t="n"/>
      <c r="B14" s="23" t="n"/>
      <c r="C14" s="23" t="n"/>
      <c r="D14" s="28" t="n"/>
      <c r="E14" s="28" t="n"/>
      <c r="F14" s="28" t="n"/>
      <c r="G14" s="28" t="n"/>
      <c r="H14" s="28" t="n"/>
      <c r="I14" s="28" t="n"/>
      <c r="J14" s="22" t="n"/>
      <c r="K14" s="23" t="n"/>
    </row>
    <row r="15">
      <c r="A15" s="27" t="n"/>
      <c r="B15" s="23" t="n"/>
      <c r="C15" s="23" t="n"/>
      <c r="D15" s="28" t="n"/>
      <c r="E15" s="28" t="n"/>
      <c r="F15" s="28" t="n"/>
      <c r="G15" s="28" t="n"/>
      <c r="H15" s="28" t="n"/>
      <c r="I15" s="28" t="n"/>
      <c r="J15" s="22" t="n"/>
      <c r="K15" s="23" t="n"/>
    </row>
    <row r="16">
      <c r="A16" s="27" t="n"/>
      <c r="B16" s="23" t="n"/>
      <c r="C16" s="23" t="n"/>
      <c r="D16" s="28" t="n"/>
      <c r="E16" s="28" t="n"/>
      <c r="F16" s="28" t="n"/>
      <c r="G16" s="28" t="n"/>
      <c r="H16" s="28" t="n"/>
      <c r="I16" s="28" t="n"/>
      <c r="J16" s="22" t="n"/>
      <c r="K16" s="23" t="n"/>
    </row>
    <row r="17">
      <c r="A17" s="27" t="n"/>
      <c r="B17" s="23" t="n"/>
      <c r="C17" s="23" t="n"/>
      <c r="D17" s="28" t="n"/>
      <c r="E17" s="28" t="n"/>
      <c r="F17" s="28" t="n"/>
      <c r="G17" s="28" t="n"/>
      <c r="H17" s="28" t="n"/>
      <c r="I17" s="28" t="n"/>
      <c r="J17" s="22" t="n"/>
      <c r="K17" s="23" t="n"/>
    </row>
    <row r="18">
      <c r="A18" s="27" t="n"/>
      <c r="B18" s="23" t="n"/>
      <c r="C18" s="23" t="n"/>
      <c r="D18" s="28" t="n"/>
      <c r="E18" s="28" t="n"/>
      <c r="F18" s="28" t="n"/>
      <c r="G18" s="28" t="n"/>
      <c r="H18" s="28" t="n"/>
      <c r="I18" s="28" t="n"/>
      <c r="J18" s="22" t="n"/>
      <c r="K18" s="23" t="n"/>
    </row>
    <row r="19">
      <c r="A19" s="27" t="n"/>
      <c r="B19" s="23" t="n"/>
      <c r="C19" s="23" t="n"/>
      <c r="D19" s="28" t="n"/>
      <c r="E19" s="28" t="n"/>
      <c r="F19" s="28" t="n"/>
      <c r="G19" s="28" t="n"/>
      <c r="H19" s="28" t="n"/>
      <c r="I19" s="28" t="n"/>
      <c r="J19" s="22" t="n"/>
      <c r="K19" s="23" t="n"/>
    </row>
    <row r="20">
      <c r="A20" s="27" t="n"/>
      <c r="B20" s="23" t="n"/>
      <c r="C20" s="23" t="n"/>
      <c r="D20" s="28" t="n"/>
      <c r="E20" s="28" t="n"/>
      <c r="F20" s="28" t="n"/>
      <c r="G20" s="28" t="n"/>
      <c r="H20" s="28" t="n"/>
      <c r="I20" s="28" t="n"/>
      <c r="J20" s="22" t="n"/>
      <c r="K20" s="23" t="n"/>
    </row>
    <row r="21">
      <c r="A21" s="27" t="n"/>
      <c r="B21" s="23" t="n"/>
      <c r="C21" s="23" t="n"/>
      <c r="D21" s="28" t="n"/>
      <c r="E21" s="28" t="n"/>
      <c r="F21" s="28" t="n"/>
      <c r="G21" s="28" t="n"/>
      <c r="H21" s="28" t="n"/>
      <c r="I21" s="28" t="n"/>
      <c r="J21" s="22" t="n"/>
      <c r="K21" s="23" t="n"/>
    </row>
    <row r="22">
      <c r="A22" s="27" t="n"/>
      <c r="B22" s="23" t="n"/>
      <c r="C22" s="23" t="n"/>
      <c r="D22" s="28" t="n"/>
      <c r="E22" s="28" t="n"/>
      <c r="F22" s="28" t="n"/>
      <c r="G22" s="28" t="n"/>
      <c r="H22" s="28" t="n"/>
      <c r="I22" s="28" t="n"/>
      <c r="J22" s="22" t="n"/>
      <c r="K22" s="23" t="n"/>
    </row>
    <row r="23">
      <c r="A23" s="27" t="n"/>
      <c r="B23" s="23" t="n"/>
      <c r="C23" s="23" t="n"/>
      <c r="D23" s="28" t="n"/>
      <c r="E23" s="28" t="n"/>
      <c r="F23" s="28" t="n"/>
      <c r="G23" s="28" t="n"/>
      <c r="H23" s="28" t="n"/>
      <c r="I23" s="28" t="n"/>
      <c r="J23" s="22" t="n"/>
      <c r="K23" s="23" t="n"/>
    </row>
    <row r="24">
      <c r="A24" s="27" t="n"/>
      <c r="B24" s="23" t="n"/>
      <c r="C24" s="23" t="n"/>
      <c r="D24" s="28" t="n"/>
      <c r="E24" s="28" t="n"/>
      <c r="F24" s="28" t="n"/>
      <c r="G24" s="28" t="n"/>
      <c r="H24" s="28" t="n"/>
      <c r="I24" s="28" t="n"/>
      <c r="J24" s="22" t="n"/>
      <c r="K24" s="23" t="n"/>
    </row>
    <row r="25">
      <c r="A25" s="27" t="n"/>
      <c r="B25" s="23" t="n"/>
      <c r="C25" s="23" t="n"/>
      <c r="D25" s="28" t="n"/>
      <c r="E25" s="28" t="n"/>
      <c r="F25" s="28" t="n"/>
      <c r="G25" s="28" t="n"/>
      <c r="H25" s="28" t="n"/>
      <c r="I25" s="28" t="n"/>
      <c r="J25" s="22" t="n"/>
      <c r="K25" s="23" t="n"/>
    </row>
    <row r="26">
      <c r="A26" s="27" t="n"/>
      <c r="B26" s="23" t="n"/>
      <c r="C26" s="23" t="n"/>
      <c r="D26" s="28" t="n"/>
      <c r="E26" s="28" t="n"/>
      <c r="F26" s="28" t="n"/>
      <c r="G26" s="28" t="n"/>
      <c r="H26" s="28" t="n"/>
      <c r="I26" s="28" t="n"/>
      <c r="J26" s="22" t="n"/>
      <c r="K26" s="23" t="n"/>
    </row>
    <row r="27">
      <c r="A27" s="27" t="n"/>
      <c r="B27" s="23" t="n"/>
      <c r="C27" s="23" t="n"/>
      <c r="D27" s="28" t="n"/>
      <c r="E27" s="28" t="n"/>
      <c r="F27" s="28" t="n"/>
      <c r="G27" s="28" t="n"/>
      <c r="H27" s="28" t="n"/>
      <c r="I27" s="28" t="n"/>
      <c r="J27" s="22" t="n"/>
      <c r="K27" s="23" t="n"/>
    </row>
    <row r="28">
      <c r="A28" s="27" t="n"/>
      <c r="B28" s="23" t="n"/>
      <c r="C28" s="23" t="n"/>
      <c r="D28" s="28" t="n"/>
      <c r="E28" s="28" t="n"/>
      <c r="F28" s="28" t="n"/>
      <c r="G28" s="28" t="n"/>
      <c r="H28" s="28" t="n"/>
      <c r="I28" s="28" t="n"/>
      <c r="J28" s="22" t="n"/>
      <c r="K28" s="23" t="n"/>
    </row>
    <row r="29">
      <c r="A29" s="27" t="n"/>
      <c r="B29" s="23" t="n"/>
      <c r="C29" s="23" t="n"/>
      <c r="D29" s="28" t="n"/>
      <c r="E29" s="28" t="n"/>
      <c r="F29" s="28" t="n"/>
      <c r="G29" s="28" t="n"/>
      <c r="H29" s="28" t="n"/>
      <c r="I29" s="28" t="n"/>
      <c r="J29" s="22" t="n"/>
      <c r="K29" s="23" t="n"/>
    </row>
    <row r="30">
      <c r="A30" s="27" t="n"/>
      <c r="B30" s="23" t="n"/>
      <c r="C30" s="23" t="n"/>
      <c r="D30" s="28" t="n"/>
      <c r="E30" s="28" t="n"/>
      <c r="F30" s="28" t="n"/>
      <c r="G30" s="28" t="n"/>
      <c r="H30" s="28" t="n"/>
      <c r="I30" s="28" t="n"/>
      <c r="J30" s="22" t="n"/>
      <c r="K30" s="23" t="n"/>
    </row>
    <row r="31">
      <c r="A31" s="27" t="n"/>
      <c r="B31" s="23" t="n"/>
      <c r="C31" s="23" t="n"/>
      <c r="D31" s="28" t="n"/>
      <c r="E31" s="28" t="n"/>
      <c r="F31" s="28" t="n"/>
      <c r="G31" s="28" t="n"/>
      <c r="H31" s="28" t="n"/>
      <c r="I31" s="28" t="n"/>
      <c r="J31" s="22" t="n"/>
      <c r="K31" s="23" t="n"/>
    </row>
    <row r="32">
      <c r="A32" s="27" t="n"/>
      <c r="B32" s="23" t="n"/>
      <c r="C32" s="23" t="n"/>
      <c r="D32" s="28" t="n"/>
      <c r="E32" s="28" t="n"/>
      <c r="F32" s="28" t="n"/>
      <c r="G32" s="28" t="n"/>
      <c r="H32" s="28" t="n"/>
      <c r="I32" s="28" t="n"/>
      <c r="J32" s="22" t="n"/>
      <c r="K32" s="23" t="n"/>
    </row>
    <row r="33">
      <c r="A33" s="27" t="n"/>
      <c r="B33" s="23" t="n"/>
      <c r="C33" s="23" t="n"/>
      <c r="D33" s="28" t="n"/>
      <c r="E33" s="28" t="n"/>
      <c r="F33" s="28" t="n"/>
      <c r="G33" s="28" t="n"/>
      <c r="H33" s="28" t="n"/>
      <c r="I33" s="28" t="n"/>
      <c r="J33" s="22" t="n"/>
      <c r="K33" s="23" t="n"/>
    </row>
    <row r="34">
      <c r="A34" s="27" t="n"/>
      <c r="B34" s="23" t="n"/>
      <c r="C34" s="23" t="n"/>
      <c r="D34" s="28" t="n"/>
      <c r="E34" s="28" t="n"/>
      <c r="F34" s="28" t="n"/>
      <c r="G34" s="28" t="n"/>
      <c r="H34" s="28" t="n"/>
      <c r="I34" s="28" t="n"/>
      <c r="J34" s="22" t="n"/>
      <c r="K34" s="23" t="n"/>
    </row>
    <row r="35">
      <c r="A35" s="27" t="n"/>
      <c r="B35" s="23" t="n"/>
      <c r="C35" s="23" t="n"/>
      <c r="D35" s="28" t="n"/>
      <c r="E35" s="28" t="n"/>
      <c r="F35" s="28" t="n"/>
      <c r="G35" s="28" t="n"/>
      <c r="H35" s="28" t="n"/>
      <c r="I35" s="28" t="n"/>
      <c r="J35" s="22" t="n"/>
      <c r="K35" s="23" t="n"/>
    </row>
    <row r="36">
      <c r="A36" s="27" t="n"/>
      <c r="B36" s="23" t="n"/>
      <c r="C36" s="23" t="n"/>
      <c r="D36" s="28" t="n"/>
      <c r="E36" s="28" t="n"/>
      <c r="F36" s="28" t="n"/>
      <c r="G36" s="28" t="n"/>
      <c r="H36" s="28" t="n"/>
      <c r="I36" s="28" t="n"/>
      <c r="J36" s="22" t="n"/>
      <c r="K36" s="23" t="n"/>
    </row>
    <row r="37">
      <c r="A37" s="27" t="n"/>
      <c r="B37" s="23" t="n"/>
      <c r="C37" s="23" t="n"/>
      <c r="D37" s="28" t="n"/>
      <c r="E37" s="28" t="n"/>
      <c r="F37" s="28" t="n"/>
      <c r="G37" s="28" t="n"/>
      <c r="H37" s="28" t="n"/>
      <c r="I37" s="28" t="n"/>
      <c r="J37" s="22" t="n"/>
      <c r="K37" s="23" t="n"/>
    </row>
    <row r="38">
      <c r="A38" s="27" t="n"/>
      <c r="B38" s="23" t="n"/>
      <c r="C38" s="23" t="n"/>
      <c r="D38" s="28" t="n"/>
      <c r="E38" s="28" t="n"/>
      <c r="F38" s="28" t="n"/>
      <c r="G38" s="28" t="n"/>
      <c r="H38" s="28" t="n"/>
      <c r="I38" s="28" t="n"/>
      <c r="J38" s="22" t="n"/>
      <c r="K38" s="23" t="n"/>
    </row>
    <row r="39">
      <c r="A39" s="27" t="n"/>
      <c r="B39" s="23" t="n"/>
      <c r="C39" s="23" t="n"/>
      <c r="D39" s="28" t="n"/>
      <c r="E39" s="28" t="n"/>
      <c r="F39" s="28" t="n"/>
      <c r="G39" s="28" t="n"/>
      <c r="H39" s="28" t="n"/>
      <c r="I39" s="28" t="n"/>
      <c r="J39" s="22" t="n"/>
      <c r="K39" s="23" t="n"/>
    </row>
    <row r="40">
      <c r="A40" s="27" t="n"/>
      <c r="B40" s="23" t="n"/>
      <c r="C40" s="23" t="n"/>
      <c r="D40" s="28" t="n"/>
      <c r="E40" s="28" t="n"/>
      <c r="F40" s="28" t="n"/>
      <c r="G40" s="28" t="n"/>
      <c r="H40" s="28" t="n"/>
      <c r="I40" s="28" t="n"/>
      <c r="J40" s="22" t="n"/>
      <c r="K40" s="23" t="n"/>
    </row>
    <row r="41">
      <c r="A41" s="27" t="n"/>
      <c r="B41" s="23" t="n"/>
      <c r="C41" s="23" t="n"/>
      <c r="D41" s="28" t="n"/>
      <c r="E41" s="28" t="n"/>
      <c r="F41" s="28" t="n"/>
      <c r="G41" s="28" t="n"/>
      <c r="H41" s="28" t="n"/>
      <c r="I41" s="28" t="n"/>
      <c r="J41" s="22" t="n"/>
      <c r="K41" s="23" t="n"/>
    </row>
    <row r="42">
      <c r="A42" s="27" t="n"/>
      <c r="B42" s="23" t="n"/>
      <c r="C42" s="23" t="n"/>
      <c r="D42" s="28" t="n"/>
      <c r="E42" s="28" t="n"/>
      <c r="F42" s="28" t="n"/>
      <c r="G42" s="28" t="n"/>
      <c r="H42" s="28" t="n"/>
      <c r="I42" s="28" t="n"/>
      <c r="J42" s="22" t="n"/>
      <c r="K42" s="23" t="n"/>
    </row>
    <row r="43">
      <c r="A43" s="27" t="n"/>
      <c r="B43" s="23" t="n"/>
      <c r="C43" s="23" t="n"/>
      <c r="D43" s="28" t="n"/>
      <c r="E43" s="28" t="n"/>
      <c r="F43" s="28" t="n"/>
      <c r="G43" s="28" t="n"/>
      <c r="H43" s="28" t="n"/>
      <c r="I43" s="28" t="n"/>
      <c r="J43" s="22" t="n"/>
      <c r="K43" s="23" t="n"/>
    </row>
    <row r="44">
      <c r="A44" s="27" t="n"/>
      <c r="B44" s="23" t="n"/>
      <c r="C44" s="23" t="n"/>
      <c r="D44" s="28" t="n"/>
      <c r="E44" s="28" t="n"/>
      <c r="F44" s="28" t="n"/>
      <c r="G44" s="28" t="n"/>
      <c r="H44" s="28" t="n"/>
      <c r="I44" s="28" t="n"/>
      <c r="J44" s="22" t="n"/>
      <c r="K44" s="23" t="n"/>
    </row>
    <row r="45">
      <c r="A45" s="27" t="n"/>
      <c r="B45" s="23" t="n"/>
      <c r="C45" s="23" t="n"/>
      <c r="D45" s="28" t="n"/>
      <c r="E45" s="28" t="n"/>
      <c r="F45" s="28" t="n"/>
      <c r="G45" s="28" t="n"/>
      <c r="H45" s="28" t="n"/>
      <c r="I45" s="28" t="n"/>
      <c r="J45" s="22" t="n"/>
      <c r="K45" s="23" t="n"/>
    </row>
    <row r="46">
      <c r="A46" s="27" t="n"/>
      <c r="B46" s="23" t="n"/>
      <c r="C46" s="23" t="n"/>
      <c r="D46" s="28" t="n"/>
      <c r="E46" s="28" t="n"/>
      <c r="F46" s="28" t="n"/>
      <c r="G46" s="28" t="n"/>
      <c r="H46" s="28" t="n"/>
      <c r="I46" s="28" t="n"/>
      <c r="J46" s="22" t="n"/>
      <c r="K46" s="23" t="n"/>
    </row>
    <row r="47">
      <c r="A47" s="27" t="n"/>
      <c r="B47" s="23" t="n"/>
      <c r="C47" s="23" t="n"/>
      <c r="D47" s="28" t="n"/>
      <c r="E47" s="28" t="n"/>
      <c r="F47" s="28" t="n"/>
      <c r="G47" s="28" t="n"/>
      <c r="H47" s="28" t="n"/>
      <c r="I47" s="28" t="n"/>
      <c r="J47" s="22" t="n"/>
      <c r="K47" s="23" t="n"/>
    </row>
    <row r="48">
      <c r="A48" s="27" t="n"/>
      <c r="B48" s="23" t="n"/>
      <c r="C48" s="23" t="n"/>
      <c r="D48" s="28" t="n"/>
      <c r="E48" s="28" t="n"/>
      <c r="F48" s="28" t="n"/>
      <c r="G48" s="28" t="n"/>
      <c r="H48" s="28" t="n"/>
      <c r="I48" s="28" t="n"/>
      <c r="J48" s="22" t="n"/>
      <c r="K48" s="23" t="n"/>
    </row>
    <row r="49">
      <c r="A49" s="27" t="n"/>
      <c r="B49" s="23" t="n"/>
      <c r="C49" s="23" t="n"/>
      <c r="D49" s="28" t="n"/>
      <c r="E49" s="28" t="n"/>
      <c r="F49" s="28" t="n"/>
      <c r="G49" s="28" t="n"/>
      <c r="H49" s="28" t="n"/>
      <c r="I49" s="28" t="n"/>
      <c r="J49" s="22" t="n"/>
      <c r="K49" s="23" t="n"/>
    </row>
    <row r="50">
      <c r="A50" s="27" t="n"/>
      <c r="B50" s="23" t="n"/>
      <c r="C50" s="23" t="n"/>
      <c r="D50" s="28" t="n"/>
      <c r="E50" s="28" t="n"/>
      <c r="F50" s="28" t="n"/>
      <c r="G50" s="28" t="n"/>
      <c r="H50" s="28" t="n"/>
      <c r="I50" s="28" t="n"/>
      <c r="J50" s="22" t="n"/>
      <c r="K50" s="23" t="n"/>
    </row>
    <row r="51">
      <c r="A51" s="27" t="n"/>
      <c r="B51" s="23" t="n"/>
      <c r="C51" s="23" t="n"/>
      <c r="D51" s="28" t="n"/>
      <c r="E51" s="28" t="n"/>
      <c r="F51" s="28" t="n"/>
      <c r="G51" s="28" t="n"/>
      <c r="H51" s="28" t="n"/>
      <c r="I51" s="28" t="n"/>
      <c r="J51" s="22" t="n"/>
      <c r="K51" s="23" t="n"/>
    </row>
    <row r="52">
      <c r="A52" s="27" t="n"/>
      <c r="B52" s="23" t="n"/>
      <c r="C52" s="23" t="n"/>
      <c r="D52" s="28" t="n"/>
      <c r="E52" s="28" t="n"/>
      <c r="F52" s="28" t="n"/>
      <c r="G52" s="28" t="n"/>
      <c r="H52" s="28" t="n"/>
      <c r="I52" s="28" t="n"/>
      <c r="J52" s="22" t="n"/>
      <c r="K52" s="23" t="n"/>
    </row>
    <row r="53">
      <c r="A53" s="27" t="n"/>
      <c r="B53" s="23" t="n"/>
      <c r="C53" s="23" t="n"/>
      <c r="D53" s="28" t="n"/>
      <c r="E53" s="28" t="n"/>
      <c r="F53" s="28" t="n"/>
      <c r="G53" s="28" t="n"/>
      <c r="H53" s="28" t="n"/>
      <c r="I53" s="28" t="n"/>
      <c r="J53" s="22" t="n"/>
      <c r="K53" s="23" t="n"/>
    </row>
    <row r="54">
      <c r="A54" s="27" t="n"/>
      <c r="B54" s="23" t="n"/>
      <c r="C54" s="23" t="n"/>
      <c r="D54" s="28" t="n"/>
      <c r="E54" s="28" t="n"/>
      <c r="F54" s="28" t="n"/>
      <c r="G54" s="28" t="n"/>
      <c r="H54" s="28" t="n"/>
      <c r="I54" s="28" t="n"/>
      <c r="J54" s="22" t="n"/>
      <c r="K54" s="23" t="n"/>
    </row>
    <row r="55">
      <c r="A55" s="27" t="n"/>
      <c r="B55" s="23" t="n"/>
      <c r="C55" s="23" t="n"/>
      <c r="D55" s="28" t="n"/>
      <c r="E55" s="28" t="n"/>
      <c r="F55" s="28" t="n"/>
      <c r="G55" s="28" t="n"/>
      <c r="H55" s="28" t="n"/>
      <c r="I55" s="28" t="n"/>
      <c r="J55" s="22" t="n"/>
      <c r="K55" s="23" t="n"/>
    </row>
    <row r="56">
      <c r="A56" s="27" t="n"/>
      <c r="B56" s="23" t="n"/>
      <c r="C56" s="23" t="n"/>
      <c r="D56" s="28" t="n"/>
      <c r="E56" s="28" t="n"/>
      <c r="F56" s="28" t="n"/>
      <c r="G56" s="28" t="n"/>
      <c r="H56" s="28" t="n"/>
      <c r="I56" s="28" t="n"/>
      <c r="J56" s="22" t="n"/>
      <c r="K56" s="23" t="n"/>
    </row>
    <row r="57">
      <c r="A57" s="27" t="n"/>
      <c r="B57" s="23" t="n"/>
      <c r="C57" s="23" t="n"/>
      <c r="D57" s="28" t="n"/>
      <c r="E57" s="28" t="n"/>
      <c r="F57" s="28" t="n"/>
      <c r="G57" s="28" t="n"/>
      <c r="H57" s="28" t="n"/>
      <c r="I57" s="28" t="n"/>
      <c r="J57" s="22" t="n"/>
      <c r="K57" s="23" t="n"/>
    </row>
    <row r="58">
      <c r="A58" s="27" t="n"/>
      <c r="B58" s="23" t="n"/>
      <c r="C58" s="23" t="n"/>
      <c r="D58" s="28" t="n"/>
      <c r="E58" s="28" t="n"/>
      <c r="F58" s="28" t="n"/>
      <c r="G58" s="28" t="n"/>
      <c r="H58" s="28" t="n"/>
      <c r="I58" s="28" t="n"/>
      <c r="J58" s="22" t="n"/>
      <c r="K58" s="23" t="n"/>
    </row>
    <row r="59">
      <c r="A59" s="27" t="n"/>
      <c r="B59" s="23" t="n"/>
      <c r="C59" s="23" t="n"/>
      <c r="D59" s="28" t="n"/>
      <c r="E59" s="28" t="n"/>
      <c r="F59" s="28" t="n"/>
      <c r="G59" s="28" t="n"/>
      <c r="H59" s="28" t="n"/>
      <c r="I59" s="28" t="n"/>
      <c r="J59" s="22" t="n"/>
      <c r="K59" s="23" t="n"/>
    </row>
    <row r="60">
      <c r="A60" s="27" t="n"/>
      <c r="B60" s="23" t="n"/>
      <c r="C60" s="23" t="n"/>
      <c r="D60" s="28" t="n"/>
      <c r="E60" s="28" t="n"/>
      <c r="F60" s="28" t="n"/>
      <c r="G60" s="28" t="n"/>
      <c r="H60" s="28" t="n"/>
      <c r="I60" s="28" t="n"/>
      <c r="J60" s="22" t="n"/>
      <c r="K60" s="23" t="n"/>
    </row>
    <row r="61">
      <c r="A61" s="27" t="n"/>
      <c r="B61" s="23" t="n"/>
      <c r="C61" s="23" t="n"/>
      <c r="D61" s="28" t="n"/>
      <c r="E61" s="28" t="n"/>
      <c r="F61" s="28" t="n"/>
      <c r="G61" s="28" t="n"/>
      <c r="H61" s="28" t="n"/>
      <c r="I61" s="28" t="n"/>
      <c r="J61" s="22" t="n"/>
      <c r="K61" s="23" t="n"/>
    </row>
    <row r="62">
      <c r="A62" s="27" t="n"/>
      <c r="B62" s="23" t="n"/>
      <c r="C62" s="23" t="n"/>
      <c r="D62" s="28" t="n"/>
      <c r="E62" s="28" t="n"/>
      <c r="F62" s="28" t="n"/>
      <c r="G62" s="28" t="n"/>
      <c r="H62" s="28" t="n"/>
      <c r="I62" s="28" t="n"/>
      <c r="J62" s="22" t="n"/>
      <c r="K62" s="23" t="n"/>
    </row>
    <row r="63">
      <c r="A63" s="27" t="n"/>
      <c r="B63" s="23" t="n"/>
      <c r="C63" s="23" t="n"/>
      <c r="D63" s="28" t="n"/>
      <c r="E63" s="28" t="n"/>
      <c r="F63" s="28" t="n"/>
      <c r="G63" s="28" t="n"/>
      <c r="H63" s="28" t="n"/>
      <c r="I63" s="28" t="n"/>
      <c r="J63" s="22" t="n"/>
      <c r="K63" s="23" t="n"/>
    </row>
    <row r="64">
      <c r="A64" s="27" t="n"/>
      <c r="B64" s="23" t="n"/>
      <c r="C64" s="23" t="n"/>
      <c r="D64" s="28" t="n"/>
      <c r="E64" s="28" t="n"/>
      <c r="F64" s="28" t="n"/>
      <c r="G64" s="28" t="n"/>
      <c r="H64" s="28" t="n"/>
      <c r="I64" s="28" t="n"/>
      <c r="J64" s="22" t="n"/>
      <c r="K64" s="23" t="n"/>
    </row>
    <row r="65">
      <c r="A65" s="27" t="n"/>
      <c r="B65" s="23" t="n"/>
      <c r="C65" s="23" t="n"/>
      <c r="D65" s="28" t="n"/>
      <c r="E65" s="28" t="n"/>
      <c r="F65" s="28" t="n"/>
      <c r="G65" s="28" t="n"/>
      <c r="H65" s="28" t="n"/>
      <c r="I65" s="28" t="n"/>
      <c r="J65" s="22" t="n"/>
      <c r="K65" s="23" t="n"/>
    </row>
    <row r="66">
      <c r="A66" s="27" t="n"/>
      <c r="B66" s="23" t="n"/>
      <c r="C66" s="23" t="n"/>
      <c r="D66" s="28" t="n"/>
      <c r="E66" s="28" t="n"/>
      <c r="F66" s="28" t="n"/>
      <c r="G66" s="28" t="n"/>
      <c r="H66" s="28" t="n"/>
      <c r="I66" s="28" t="n"/>
      <c r="J66" s="22" t="n"/>
      <c r="K66" s="23" t="n"/>
    </row>
    <row r="67">
      <c r="A67" s="27" t="n"/>
      <c r="B67" s="23" t="n"/>
      <c r="C67" s="23" t="n"/>
      <c r="D67" s="28" t="n"/>
      <c r="E67" s="28" t="n"/>
      <c r="F67" s="28" t="n"/>
      <c r="G67" s="28" t="n"/>
      <c r="H67" s="28" t="n"/>
      <c r="I67" s="28" t="n"/>
      <c r="J67" s="22" t="n"/>
      <c r="K67" s="23" t="n"/>
    </row>
    <row r="68">
      <c r="A68" s="27" t="n"/>
      <c r="B68" s="23" t="n"/>
      <c r="C68" s="23" t="n"/>
      <c r="D68" s="28" t="n"/>
      <c r="E68" s="28" t="n"/>
      <c r="F68" s="28" t="n"/>
      <c r="G68" s="28" t="n"/>
      <c r="H68" s="28" t="n"/>
      <c r="I68" s="28" t="n"/>
      <c r="J68" s="22" t="n"/>
      <c r="K68" s="23" t="n"/>
    </row>
    <row r="69">
      <c r="A69" s="27" t="n"/>
      <c r="B69" s="23" t="n"/>
      <c r="C69" s="23" t="n"/>
      <c r="D69" s="28" t="n"/>
      <c r="E69" s="28" t="n"/>
      <c r="F69" s="28" t="n"/>
      <c r="G69" s="28" t="n"/>
      <c r="H69" s="28" t="n"/>
      <c r="I69" s="28" t="n"/>
      <c r="J69" s="22" t="n"/>
      <c r="K69" s="23" t="n"/>
    </row>
    <row r="70">
      <c r="A70" s="27" t="n"/>
      <c r="B70" s="23" t="n"/>
      <c r="C70" s="23" t="n"/>
      <c r="D70" s="28" t="n"/>
      <c r="E70" s="28" t="n"/>
      <c r="F70" s="28" t="n"/>
      <c r="G70" s="28" t="n"/>
      <c r="H70" s="28" t="n"/>
      <c r="I70" s="28" t="n"/>
      <c r="J70" s="22" t="n"/>
      <c r="K70" s="23" t="n"/>
    </row>
    <row r="71">
      <c r="A71" s="27" t="n"/>
      <c r="B71" s="23" t="n"/>
      <c r="C71" s="23" t="n"/>
      <c r="D71" s="28" t="n"/>
      <c r="E71" s="28" t="n"/>
      <c r="F71" s="28" t="n"/>
      <c r="G71" s="28" t="n"/>
      <c r="H71" s="28" t="n"/>
      <c r="I71" s="28" t="n"/>
      <c r="J71" s="22" t="n"/>
      <c r="K71" s="23" t="n"/>
    </row>
    <row r="72">
      <c r="A72" s="27" t="n"/>
      <c r="B72" s="23" t="n"/>
      <c r="C72" s="23" t="n"/>
      <c r="D72" s="28" t="n"/>
      <c r="E72" s="28" t="n"/>
      <c r="F72" s="28" t="n"/>
      <c r="G72" s="28" t="n"/>
      <c r="H72" s="28" t="n"/>
      <c r="I72" s="28" t="n"/>
      <c r="J72" s="22" t="n"/>
      <c r="K72" s="23" t="n"/>
    </row>
    <row r="73">
      <c r="A73" s="27" t="n"/>
      <c r="B73" s="23" t="n"/>
      <c r="C73" s="23" t="n"/>
      <c r="D73" s="28" t="n"/>
      <c r="E73" s="28" t="n"/>
      <c r="F73" s="28" t="n"/>
      <c r="G73" s="28" t="n"/>
      <c r="H73" s="28" t="n"/>
      <c r="I73" s="28" t="n"/>
      <c r="J73" s="22" t="n"/>
      <c r="K73" s="23" t="n"/>
    </row>
    <row r="74">
      <c r="A74" s="27" t="n"/>
      <c r="B74" s="23" t="n"/>
      <c r="C74" s="23" t="n"/>
      <c r="D74" s="28" t="n"/>
      <c r="E74" s="28" t="n"/>
      <c r="F74" s="28" t="n"/>
      <c r="G74" s="28" t="n"/>
      <c r="H74" s="28" t="n"/>
      <c r="I74" s="28" t="n"/>
      <c r="J74" s="22" t="n"/>
      <c r="K74" s="23" t="n"/>
    </row>
    <row r="75">
      <c r="A75" s="27" t="n"/>
      <c r="B75" s="23" t="n"/>
      <c r="C75" s="23" t="n"/>
      <c r="D75" s="28" t="n"/>
      <c r="E75" s="28" t="n"/>
      <c r="F75" s="28" t="n"/>
      <c r="G75" s="28" t="n"/>
      <c r="H75" s="28" t="n"/>
      <c r="I75" s="28" t="n"/>
      <c r="J75" s="22" t="n"/>
      <c r="K75" s="23" t="n"/>
    </row>
    <row r="76">
      <c r="A76" s="27" t="n"/>
      <c r="B76" s="23" t="n"/>
      <c r="C76" s="23" t="n"/>
      <c r="D76" s="28" t="n"/>
      <c r="E76" s="28" t="n"/>
      <c r="F76" s="28" t="n"/>
      <c r="G76" s="28" t="n"/>
      <c r="H76" s="28" t="n"/>
      <c r="I76" s="28" t="n"/>
      <c r="J76" s="22" t="n"/>
      <c r="K76" s="23" t="n"/>
    </row>
    <row r="77">
      <c r="A77" s="27" t="n"/>
      <c r="B77" s="23" t="n"/>
      <c r="C77" s="23" t="n"/>
      <c r="D77" s="28" t="n"/>
      <c r="E77" s="28" t="n"/>
      <c r="F77" s="28" t="n"/>
      <c r="G77" s="28" t="n"/>
      <c r="H77" s="28" t="n"/>
      <c r="I77" s="28" t="n"/>
      <c r="J77" s="22" t="n"/>
      <c r="K77" s="23" t="n"/>
    </row>
    <row r="78">
      <c r="A78" s="27" t="n"/>
      <c r="B78" s="23" t="n"/>
      <c r="C78" s="23" t="n"/>
      <c r="D78" s="28" t="n"/>
      <c r="E78" s="28" t="n"/>
      <c r="F78" s="28" t="n"/>
      <c r="G78" s="28" t="n"/>
      <c r="H78" s="28" t="n"/>
      <c r="I78" s="28" t="n"/>
      <c r="J78" s="22" t="n"/>
      <c r="K78" s="23" t="n"/>
    </row>
    <row r="79">
      <c r="A79" s="27" t="n"/>
      <c r="B79" s="23" t="n"/>
      <c r="C79" s="23" t="n"/>
      <c r="D79" s="28" t="n"/>
      <c r="E79" s="28" t="n"/>
      <c r="F79" s="28" t="n"/>
      <c r="G79" s="28" t="n"/>
      <c r="H79" s="28" t="n"/>
      <c r="I79" s="28" t="n"/>
      <c r="J79" s="22" t="n"/>
      <c r="K79" s="23" t="n"/>
    </row>
    <row r="80">
      <c r="A80" s="27" t="n"/>
      <c r="B80" s="23" t="n"/>
      <c r="C80" s="23" t="n"/>
      <c r="D80" s="28" t="n"/>
      <c r="E80" s="28" t="n"/>
      <c r="F80" s="28" t="n"/>
      <c r="G80" s="28" t="n"/>
      <c r="H80" s="28" t="n"/>
      <c r="I80" s="28" t="n"/>
      <c r="J80" s="22" t="n"/>
      <c r="K80" s="23" t="n"/>
    </row>
    <row r="81">
      <c r="A81" s="27" t="n"/>
      <c r="B81" s="23" t="n"/>
      <c r="C81" s="23" t="n"/>
      <c r="D81" s="28" t="n"/>
      <c r="E81" s="28" t="n"/>
      <c r="F81" s="28" t="n"/>
      <c r="G81" s="28" t="n"/>
      <c r="H81" s="28" t="n"/>
      <c r="I81" s="28" t="n"/>
      <c r="J81" s="22" t="n"/>
      <c r="K81" s="23" t="n"/>
    </row>
    <row r="82">
      <c r="A82" s="27" t="n"/>
      <c r="B82" s="23" t="n"/>
      <c r="C82" s="23" t="n"/>
      <c r="D82" s="28" t="n"/>
      <c r="E82" s="28" t="n"/>
      <c r="F82" s="28" t="n"/>
      <c r="G82" s="28" t="n"/>
      <c r="H82" s="28" t="n"/>
      <c r="I82" s="28" t="n"/>
      <c r="J82" s="22" t="n"/>
      <c r="K82" s="23" t="n"/>
    </row>
    <row r="83">
      <c r="A83" s="27" t="n"/>
      <c r="B83" s="23" t="n"/>
      <c r="C83" s="23" t="n"/>
      <c r="D83" s="28" t="n"/>
      <c r="E83" s="28" t="n"/>
      <c r="F83" s="28" t="n"/>
      <c r="G83" s="28" t="n"/>
      <c r="H83" s="28" t="n"/>
      <c r="I83" s="28" t="n"/>
      <c r="J83" s="22" t="n"/>
      <c r="K83" s="23" t="n"/>
    </row>
    <row r="84">
      <c r="A84" s="27" t="n"/>
      <c r="B84" s="23" t="n"/>
      <c r="C84" s="23" t="n"/>
      <c r="D84" s="28" t="n"/>
      <c r="E84" s="28" t="n"/>
      <c r="F84" s="28" t="n"/>
      <c r="G84" s="28" t="n"/>
      <c r="H84" s="28" t="n"/>
      <c r="I84" s="28" t="n"/>
      <c r="J84" s="22" t="n"/>
      <c r="K84" s="23" t="n"/>
    </row>
    <row r="85">
      <c r="A85" s="27" t="n"/>
      <c r="B85" s="23" t="n"/>
      <c r="C85" s="23" t="n"/>
      <c r="D85" s="28" t="n"/>
      <c r="E85" s="28" t="n"/>
      <c r="F85" s="28" t="n"/>
      <c r="G85" s="28" t="n"/>
      <c r="H85" s="28" t="n"/>
      <c r="I85" s="28" t="n"/>
      <c r="J85" s="22" t="n"/>
      <c r="K85" s="23" t="n"/>
    </row>
    <row r="86">
      <c r="A86" s="27" t="n"/>
      <c r="B86" s="23" t="n"/>
      <c r="C86" s="23" t="n"/>
      <c r="D86" s="28" t="n"/>
      <c r="E86" s="28" t="n"/>
      <c r="F86" s="28" t="n"/>
      <c r="G86" s="28" t="n"/>
      <c r="H86" s="28" t="n"/>
      <c r="I86" s="28" t="n"/>
      <c r="J86" s="22" t="n"/>
      <c r="K86" s="23" t="n"/>
    </row>
    <row r="87">
      <c r="A87" s="27" t="n"/>
      <c r="B87" s="23" t="n"/>
      <c r="C87" s="23" t="n"/>
      <c r="D87" s="28" t="n"/>
      <c r="E87" s="28" t="n"/>
      <c r="F87" s="28" t="n"/>
      <c r="G87" s="28" t="n"/>
      <c r="H87" s="28" t="n"/>
      <c r="I87" s="28" t="n"/>
      <c r="J87" s="22" t="n"/>
      <c r="K87" s="23" t="n"/>
    </row>
    <row r="88">
      <c r="A88" s="27" t="n"/>
      <c r="B88" s="23" t="n"/>
      <c r="C88" s="23" t="n"/>
      <c r="D88" s="28" t="n"/>
      <c r="E88" s="28" t="n"/>
      <c r="F88" s="28" t="n"/>
      <c r="G88" s="28" t="n"/>
      <c r="H88" s="28" t="n"/>
      <c r="I88" s="28" t="n"/>
      <c r="J88" s="22" t="n"/>
      <c r="K88" s="23" t="n"/>
    </row>
    <row r="89">
      <c r="A89" s="27" t="n"/>
      <c r="B89" s="23" t="n"/>
      <c r="C89" s="23" t="n"/>
      <c r="D89" s="28" t="n"/>
      <c r="E89" s="28" t="n"/>
      <c r="F89" s="28" t="n"/>
      <c r="G89" s="28" t="n"/>
      <c r="H89" s="28" t="n"/>
      <c r="I89" s="28" t="n"/>
      <c r="J89" s="22" t="n"/>
      <c r="K89" s="23" t="n"/>
    </row>
    <row r="90">
      <c r="A90" s="27" t="n"/>
      <c r="B90" s="23" t="n"/>
      <c r="C90" s="23" t="n"/>
      <c r="D90" s="28" t="n"/>
      <c r="E90" s="28" t="n"/>
      <c r="F90" s="28" t="n"/>
      <c r="G90" s="28" t="n"/>
      <c r="H90" s="28" t="n"/>
      <c r="I90" s="28" t="n"/>
      <c r="J90" s="22" t="n"/>
      <c r="K90" s="23" t="n"/>
    </row>
    <row r="91">
      <c r="A91" s="27" t="n"/>
      <c r="B91" s="23" t="n"/>
      <c r="C91" s="23" t="n"/>
      <c r="D91" s="28" t="n"/>
      <c r="E91" s="28" t="n"/>
      <c r="F91" s="28" t="n"/>
      <c r="G91" s="28" t="n"/>
      <c r="H91" s="28" t="n"/>
      <c r="I91" s="28" t="n"/>
      <c r="J91" s="22" t="n"/>
      <c r="K91" s="23" t="n"/>
    </row>
    <row r="92">
      <c r="A92" s="27" t="n"/>
      <c r="B92" s="23" t="n"/>
      <c r="C92" s="23" t="n"/>
      <c r="D92" s="28" t="n"/>
      <c r="E92" s="28" t="n"/>
      <c r="F92" s="28" t="n"/>
      <c r="G92" s="28" t="n"/>
      <c r="H92" s="28" t="n"/>
      <c r="I92" s="28" t="n"/>
      <c r="J92" s="22" t="n"/>
      <c r="K92" s="23" t="n"/>
    </row>
    <row r="93">
      <c r="A93" s="27" t="n"/>
      <c r="B93" s="23" t="n"/>
      <c r="C93" s="23" t="n"/>
      <c r="D93" s="28" t="n"/>
      <c r="E93" s="28" t="n"/>
      <c r="F93" s="28" t="n"/>
      <c r="G93" s="28" t="n"/>
      <c r="H93" s="28" t="n"/>
      <c r="I93" s="28" t="n"/>
      <c r="J93" s="22" t="n"/>
      <c r="K93" s="23" t="n"/>
    </row>
    <row r="94">
      <c r="A94" s="27" t="n"/>
      <c r="B94" s="23" t="n"/>
      <c r="C94" s="23" t="n"/>
      <c r="D94" s="28" t="n"/>
      <c r="E94" s="28" t="n"/>
      <c r="F94" s="28" t="n"/>
      <c r="G94" s="28" t="n"/>
      <c r="H94" s="28" t="n"/>
      <c r="I94" s="28" t="n"/>
      <c r="J94" s="22" t="n"/>
      <c r="K94" s="23" t="n"/>
    </row>
    <row r="95">
      <c r="A95" s="27" t="n"/>
      <c r="B95" s="23" t="n"/>
      <c r="C95" s="23" t="n"/>
      <c r="D95" s="28" t="n"/>
      <c r="E95" s="28" t="n"/>
      <c r="F95" s="28" t="n"/>
      <c r="G95" s="28" t="n"/>
      <c r="H95" s="28" t="n"/>
      <c r="I95" s="28" t="n"/>
      <c r="J95" s="22" t="n"/>
      <c r="K95" s="23" t="n"/>
    </row>
    <row r="96">
      <c r="A96" s="27" t="n"/>
      <c r="B96" s="23" t="n"/>
      <c r="C96" s="23" t="n"/>
      <c r="D96" s="28" t="n"/>
      <c r="E96" s="28" t="n"/>
      <c r="F96" s="28" t="n"/>
      <c r="G96" s="28" t="n"/>
      <c r="H96" s="28" t="n"/>
      <c r="I96" s="28" t="n"/>
      <c r="J96" s="22" t="n"/>
      <c r="K96" s="23" t="n"/>
    </row>
    <row r="97">
      <c r="A97" s="27" t="n"/>
      <c r="B97" s="23" t="n"/>
      <c r="C97" s="23" t="n"/>
      <c r="D97" s="28" t="n"/>
      <c r="E97" s="28" t="n"/>
      <c r="F97" s="28" t="n"/>
      <c r="G97" s="28" t="n"/>
      <c r="H97" s="28" t="n"/>
      <c r="I97" s="28" t="n"/>
      <c r="J97" s="22" t="n"/>
      <c r="K97" s="23" t="n"/>
    </row>
    <row r="98">
      <c r="A98" s="27" t="n"/>
      <c r="B98" s="23" t="n"/>
      <c r="C98" s="23" t="n"/>
      <c r="D98" s="28" t="n"/>
      <c r="E98" s="28" t="n"/>
      <c r="F98" s="28" t="n"/>
      <c r="G98" s="28" t="n"/>
      <c r="H98" s="28" t="n"/>
      <c r="I98" s="28" t="n"/>
      <c r="J98" s="22" t="n"/>
      <c r="K98" s="23" t="n"/>
    </row>
    <row r="99">
      <c r="A99" s="27" t="n"/>
      <c r="B99" s="23" t="n"/>
      <c r="C99" s="23" t="n"/>
      <c r="D99" s="28" t="n"/>
      <c r="E99" s="28" t="n"/>
      <c r="F99" s="28" t="n"/>
      <c r="G99" s="28" t="n"/>
      <c r="H99" s="28" t="n"/>
      <c r="I99" s="28" t="n"/>
      <c r="J99" s="22" t="n"/>
      <c r="K99" s="23" t="n"/>
    </row>
    <row r="100">
      <c r="A100" s="27" t="n"/>
      <c r="B100" s="23" t="n"/>
      <c r="C100" s="23" t="n"/>
      <c r="D100" s="28" t="n"/>
      <c r="E100" s="28" t="n"/>
      <c r="F100" s="28" t="n"/>
      <c r="G100" s="28" t="n"/>
      <c r="H100" s="28" t="n"/>
      <c r="I100" s="28" t="n"/>
      <c r="J100" s="22" t="n"/>
      <c r="K100" s="23" t="n"/>
    </row>
    <row r="101">
      <c r="A101" s="27" t="n"/>
      <c r="B101" s="23" t="n"/>
      <c r="C101" s="23" t="n"/>
      <c r="D101" s="28" t="n"/>
      <c r="E101" s="28" t="n"/>
      <c r="F101" s="28" t="n"/>
      <c r="G101" s="28" t="n"/>
      <c r="H101" s="28" t="n"/>
      <c r="I101" s="28" t="n"/>
      <c r="J101" s="22" t="n"/>
      <c r="K101" s="23" t="n"/>
    </row>
    <row r="102">
      <c r="A102" s="27" t="n"/>
      <c r="B102" s="23" t="n"/>
      <c r="C102" s="23" t="n"/>
      <c r="D102" s="28" t="n"/>
      <c r="E102" s="28" t="n"/>
      <c r="F102" s="28" t="n"/>
      <c r="G102" s="28" t="n"/>
      <c r="H102" s="28" t="n"/>
      <c r="I102" s="28" t="n"/>
      <c r="J102" s="22" t="n"/>
      <c r="K102" s="23" t="n"/>
    </row>
    <row r="103">
      <c r="A103" s="27" t="n"/>
      <c r="B103" s="23" t="n"/>
      <c r="C103" s="23" t="n"/>
      <c r="D103" s="28" t="n"/>
      <c r="E103" s="28" t="n"/>
      <c r="F103" s="28" t="n"/>
      <c r="G103" s="28" t="n"/>
      <c r="H103" s="28" t="n"/>
      <c r="I103" s="28" t="n"/>
      <c r="J103" s="22" t="n"/>
      <c r="K103" s="23" t="n"/>
    </row>
    <row r="104">
      <c r="A104" s="27" t="n"/>
      <c r="B104" s="23" t="n"/>
      <c r="C104" s="23" t="n"/>
      <c r="D104" s="28" t="n"/>
      <c r="E104" s="28" t="n"/>
      <c r="F104" s="28" t="n"/>
      <c r="G104" s="28" t="n"/>
      <c r="H104" s="28" t="n"/>
      <c r="I104" s="28" t="n"/>
      <c r="J104" s="22" t="n"/>
      <c r="K104" s="23" t="n"/>
    </row>
    <row r="105">
      <c r="A105" s="27" t="n"/>
      <c r="B105" s="23" t="n"/>
      <c r="C105" s="23" t="n"/>
      <c r="D105" s="28" t="n"/>
      <c r="E105" s="28" t="n"/>
      <c r="F105" s="28" t="n"/>
      <c r="G105" s="28" t="n"/>
      <c r="H105" s="28" t="n"/>
      <c r="I105" s="28" t="n"/>
      <c r="J105" s="22" t="n"/>
      <c r="K105" s="23" t="n"/>
    </row>
    <row r="106">
      <c r="A106" s="27" t="n"/>
      <c r="B106" s="23" t="n"/>
      <c r="C106" s="23" t="n"/>
      <c r="D106" s="28" t="n"/>
      <c r="E106" s="28" t="n"/>
      <c r="F106" s="28" t="n"/>
      <c r="G106" s="28" t="n"/>
      <c r="H106" s="28" t="n"/>
      <c r="I106" s="28" t="n"/>
      <c r="J106" s="22" t="n"/>
      <c r="K106" s="23" t="n"/>
    </row>
    <row r="107">
      <c r="A107" s="27" t="n"/>
      <c r="B107" s="23" t="n"/>
      <c r="C107" s="23" t="n"/>
      <c r="D107" s="28" t="n"/>
      <c r="E107" s="28" t="n"/>
      <c r="F107" s="28" t="n"/>
      <c r="G107" s="28" t="n"/>
      <c r="H107" s="28" t="n"/>
      <c r="I107" s="28" t="n"/>
      <c r="J107" s="22" t="n"/>
      <c r="K107" s="23" t="n"/>
    </row>
    <row r="108">
      <c r="A108" s="27" t="n"/>
      <c r="B108" s="23" t="n"/>
      <c r="C108" s="23" t="n"/>
      <c r="D108" s="28" t="n"/>
      <c r="E108" s="28" t="n"/>
      <c r="F108" s="28" t="n"/>
      <c r="G108" s="28" t="n"/>
      <c r="H108" s="28" t="n"/>
      <c r="I108" s="28" t="n"/>
      <c r="J108" s="22" t="n"/>
      <c r="K108" s="23" t="n"/>
    </row>
    <row r="109">
      <c r="A109" s="27" t="n"/>
      <c r="B109" s="23" t="n"/>
      <c r="C109" s="23" t="n"/>
      <c r="D109" s="28" t="n"/>
      <c r="E109" s="28" t="n"/>
      <c r="F109" s="28" t="n"/>
      <c r="G109" s="28" t="n"/>
      <c r="H109" s="28" t="n"/>
      <c r="I109" s="28" t="n"/>
      <c r="J109" s="22" t="n"/>
      <c r="K109" s="23" t="n"/>
    </row>
    <row r="110">
      <c r="A110" s="27" t="n"/>
      <c r="B110" s="23" t="n"/>
      <c r="C110" s="23" t="n"/>
      <c r="D110" s="28" t="n"/>
      <c r="E110" s="28" t="n"/>
      <c r="F110" s="28" t="n"/>
      <c r="G110" s="28" t="n"/>
      <c r="H110" s="28" t="n"/>
      <c r="I110" s="28" t="n"/>
      <c r="J110" s="22" t="n"/>
      <c r="K110" s="23" t="n"/>
    </row>
    <row r="111">
      <c r="A111" s="27" t="n"/>
      <c r="B111" s="23" t="n"/>
      <c r="C111" s="23" t="n"/>
      <c r="D111" s="28" t="n"/>
      <c r="E111" s="28" t="n"/>
      <c r="F111" s="28" t="n"/>
      <c r="G111" s="28" t="n"/>
      <c r="H111" s="28" t="n"/>
      <c r="I111" s="28" t="n"/>
      <c r="J111" s="22" t="n"/>
      <c r="K111" s="23" t="n"/>
    </row>
    <row r="112">
      <c r="A112" s="27" t="n"/>
      <c r="B112" s="23" t="n"/>
      <c r="C112" s="23" t="n"/>
      <c r="D112" s="28" t="n"/>
      <c r="E112" s="28" t="n"/>
      <c r="F112" s="28" t="n"/>
      <c r="G112" s="28" t="n"/>
      <c r="H112" s="28" t="n"/>
      <c r="I112" s="28" t="n"/>
      <c r="J112" s="22" t="n"/>
      <c r="K112" s="23" t="n"/>
    </row>
    <row r="113">
      <c r="A113" s="27" t="n"/>
      <c r="B113" s="23" t="n"/>
      <c r="C113" s="23" t="n"/>
      <c r="D113" s="28" t="n"/>
      <c r="E113" s="28" t="n"/>
      <c r="F113" s="28" t="n"/>
      <c r="G113" s="28" t="n"/>
      <c r="H113" s="28" t="n"/>
      <c r="I113" s="28" t="n"/>
      <c r="J113" s="22" t="n"/>
      <c r="K113" s="23" t="n"/>
    </row>
    <row r="114">
      <c r="A114" s="27" t="n"/>
      <c r="B114" s="23" t="n"/>
      <c r="C114" s="23" t="n"/>
      <c r="D114" s="28" t="n"/>
      <c r="E114" s="28" t="n"/>
      <c r="F114" s="28" t="n"/>
      <c r="G114" s="28" t="n"/>
      <c r="H114" s="28" t="n"/>
      <c r="I114" s="28" t="n"/>
      <c r="J114" s="22" t="n"/>
      <c r="K114" s="23" t="n"/>
    </row>
    <row r="115">
      <c r="A115" s="27" t="n"/>
      <c r="B115" s="23" t="n"/>
      <c r="C115" s="23" t="n"/>
      <c r="D115" s="28" t="n"/>
      <c r="E115" s="28" t="n"/>
      <c r="F115" s="28" t="n"/>
      <c r="G115" s="28" t="n"/>
      <c r="H115" s="28" t="n"/>
      <c r="I115" s="28" t="n"/>
      <c r="J115" s="22" t="n"/>
      <c r="K115" s="23" t="n"/>
    </row>
    <row r="116">
      <c r="A116" s="27" t="n"/>
      <c r="B116" s="23" t="n"/>
      <c r="C116" s="23" t="n"/>
      <c r="D116" s="28" t="n"/>
      <c r="E116" s="28" t="n"/>
      <c r="F116" s="28" t="n"/>
      <c r="G116" s="28" t="n"/>
      <c r="H116" s="28" t="n"/>
      <c r="I116" s="28" t="n"/>
      <c r="J116" s="22" t="n"/>
      <c r="K116" s="23" t="n"/>
    </row>
    <row r="117">
      <c r="A117" s="27" t="n"/>
      <c r="B117" s="23" t="n"/>
      <c r="C117" s="23" t="n"/>
      <c r="D117" s="28" t="n"/>
      <c r="E117" s="28" t="n"/>
      <c r="F117" s="28" t="n"/>
      <c r="G117" s="28" t="n"/>
      <c r="H117" s="28" t="n"/>
      <c r="I117" s="28" t="n"/>
      <c r="J117" s="22" t="n"/>
      <c r="K117" s="23" t="n"/>
    </row>
    <row r="118">
      <c r="A118" s="27" t="n"/>
      <c r="B118" s="23" t="n"/>
      <c r="C118" s="23" t="n"/>
      <c r="D118" s="28" t="n"/>
      <c r="E118" s="28" t="n"/>
      <c r="F118" s="28" t="n"/>
      <c r="G118" s="28" t="n"/>
      <c r="H118" s="28" t="n"/>
      <c r="I118" s="28" t="n"/>
      <c r="J118" s="22" t="n"/>
      <c r="K118" s="23" t="n"/>
    </row>
    <row r="119">
      <c r="A119" s="27" t="n"/>
      <c r="B119" s="23" t="n"/>
      <c r="C119" s="23" t="n"/>
      <c r="D119" s="28" t="n"/>
      <c r="E119" s="28" t="n"/>
      <c r="F119" s="28" t="n"/>
      <c r="G119" s="28" t="n"/>
      <c r="H119" s="28" t="n"/>
      <c r="I119" s="28" t="n"/>
      <c r="J119" s="22" t="n"/>
      <c r="K119" s="23" t="n"/>
    </row>
    <row r="120">
      <c r="A120" s="27" t="n"/>
      <c r="B120" s="23" t="n"/>
      <c r="C120" s="23" t="n"/>
      <c r="D120" s="28" t="n"/>
      <c r="E120" s="28" t="n"/>
      <c r="F120" s="28" t="n"/>
      <c r="G120" s="28" t="n"/>
      <c r="H120" s="28" t="n"/>
      <c r="I120" s="28" t="n"/>
      <c r="J120" s="22" t="n"/>
      <c r="K120" s="23" t="n"/>
    </row>
    <row r="121">
      <c r="A121" s="27" t="n"/>
      <c r="B121" s="23" t="n"/>
      <c r="C121" s="23" t="n"/>
      <c r="D121" s="28" t="n"/>
      <c r="E121" s="28" t="n"/>
      <c r="F121" s="28" t="n"/>
      <c r="G121" s="28" t="n"/>
      <c r="H121" s="28" t="n"/>
      <c r="I121" s="28" t="n"/>
      <c r="J121" s="22" t="n"/>
      <c r="K121" s="23" t="n"/>
    </row>
    <row r="122">
      <c r="A122" s="27" t="n"/>
      <c r="B122" s="23" t="n"/>
      <c r="C122" s="23" t="n"/>
      <c r="D122" s="28" t="n"/>
      <c r="E122" s="28" t="n"/>
      <c r="F122" s="28" t="n"/>
      <c r="G122" s="28" t="n"/>
      <c r="H122" s="28" t="n"/>
      <c r="I122" s="28" t="n"/>
      <c r="J122" s="22" t="n"/>
      <c r="K122" s="23" t="n"/>
    </row>
    <row r="123">
      <c r="A123" s="27" t="n"/>
      <c r="B123" s="23" t="n"/>
      <c r="C123" s="23" t="n"/>
      <c r="D123" s="28" t="n"/>
      <c r="E123" s="28" t="n"/>
      <c r="F123" s="28" t="n"/>
      <c r="G123" s="28" t="n"/>
      <c r="H123" s="28" t="n"/>
      <c r="I123" s="28" t="n"/>
      <c r="J123" s="22" t="n"/>
      <c r="K123" s="23" t="n"/>
    </row>
    <row r="124">
      <c r="A124" s="27" t="n"/>
      <c r="B124" s="23" t="n"/>
      <c r="C124" s="23" t="n"/>
      <c r="D124" s="28" t="n"/>
      <c r="E124" s="28" t="n"/>
      <c r="F124" s="28" t="n"/>
      <c r="G124" s="28" t="n"/>
      <c r="H124" s="28" t="n"/>
      <c r="I124" s="28" t="n"/>
      <c r="J124" s="22" t="n"/>
      <c r="K124" s="23" t="n"/>
    </row>
    <row r="125">
      <c r="A125" s="27" t="n"/>
      <c r="B125" s="23" t="n"/>
      <c r="C125" s="23" t="n"/>
      <c r="D125" s="28" t="n"/>
      <c r="E125" s="28" t="n"/>
      <c r="F125" s="28" t="n"/>
      <c r="G125" s="28" t="n"/>
      <c r="H125" s="28" t="n"/>
      <c r="I125" s="28" t="n"/>
      <c r="J125" s="22" t="n"/>
      <c r="K125" s="23" t="n"/>
    </row>
    <row r="126">
      <c r="A126" s="27" t="n"/>
      <c r="B126" s="23" t="n"/>
      <c r="C126" s="23" t="n"/>
      <c r="D126" s="28" t="n"/>
      <c r="E126" s="28" t="n"/>
      <c r="F126" s="28" t="n"/>
      <c r="G126" s="28" t="n"/>
      <c r="H126" s="28" t="n"/>
      <c r="I126" s="28" t="n"/>
      <c r="J126" s="22" t="n"/>
      <c r="K126" s="23" t="n"/>
    </row>
    <row r="127">
      <c r="A127" s="27" t="n"/>
      <c r="B127" s="23" t="n"/>
      <c r="C127" s="23" t="n"/>
      <c r="D127" s="28" t="n"/>
      <c r="E127" s="28" t="n"/>
      <c r="F127" s="28" t="n"/>
      <c r="G127" s="28" t="n"/>
      <c r="H127" s="28" t="n"/>
      <c r="I127" s="28" t="n"/>
      <c r="J127" s="22" t="n"/>
      <c r="K127" s="23" t="n"/>
    </row>
    <row r="128">
      <c r="A128" s="27" t="n"/>
      <c r="B128" s="23" t="n"/>
      <c r="C128" s="23" t="n"/>
      <c r="D128" s="28" t="n"/>
      <c r="E128" s="28" t="n"/>
      <c r="F128" s="28" t="n"/>
      <c r="G128" s="28" t="n"/>
      <c r="H128" s="28" t="n"/>
      <c r="I128" s="28" t="n"/>
      <c r="J128" s="22" t="n"/>
      <c r="K128" s="23" t="n"/>
    </row>
    <row r="129">
      <c r="A129" s="27" t="n"/>
      <c r="B129" s="23" t="n"/>
      <c r="C129" s="23" t="n"/>
      <c r="D129" s="28" t="n"/>
      <c r="E129" s="28" t="n"/>
      <c r="F129" s="28" t="n"/>
      <c r="G129" s="28" t="n"/>
      <c r="H129" s="28" t="n"/>
      <c r="I129" s="28" t="n"/>
      <c r="J129" s="22" t="n"/>
      <c r="K129" s="23" t="n"/>
    </row>
    <row r="130">
      <c r="A130" s="27" t="n"/>
      <c r="B130" s="23" t="n"/>
      <c r="C130" s="23" t="n"/>
      <c r="D130" s="28" t="n"/>
      <c r="E130" s="28" t="n"/>
      <c r="F130" s="28" t="n"/>
      <c r="G130" s="28" t="n"/>
      <c r="H130" s="28" t="n"/>
      <c r="I130" s="28" t="n"/>
      <c r="J130" s="22" t="n"/>
      <c r="K130" s="23" t="n"/>
    </row>
    <row r="131">
      <c r="A131" s="27" t="n"/>
      <c r="B131" s="23" t="n"/>
      <c r="C131" s="23" t="n"/>
      <c r="D131" s="28" t="n"/>
      <c r="E131" s="28" t="n"/>
      <c r="F131" s="28" t="n"/>
      <c r="G131" s="28" t="n"/>
      <c r="H131" s="28" t="n"/>
      <c r="I131" s="28" t="n"/>
      <c r="J131" s="22" t="n"/>
      <c r="K131" s="23" t="n"/>
    </row>
    <row r="132">
      <c r="A132" s="27" t="n"/>
      <c r="B132" s="23" t="n"/>
      <c r="C132" s="23" t="n"/>
      <c r="D132" s="28" t="n"/>
      <c r="E132" s="28" t="n"/>
      <c r="F132" s="28" t="n"/>
      <c r="G132" s="28" t="n"/>
      <c r="H132" s="28" t="n"/>
      <c r="I132" s="28" t="n"/>
      <c r="J132" s="22" t="n"/>
      <c r="K132" s="23" t="n"/>
    </row>
    <row r="133">
      <c r="A133" s="27" t="n"/>
      <c r="B133" s="23" t="n"/>
      <c r="C133" s="23" t="n"/>
      <c r="D133" s="28" t="n"/>
      <c r="E133" s="28" t="n"/>
      <c r="F133" s="28" t="n"/>
      <c r="G133" s="28" t="n"/>
      <c r="H133" s="28" t="n"/>
      <c r="I133" s="28" t="n"/>
      <c r="J133" s="22" t="n"/>
      <c r="K133" s="23" t="n"/>
    </row>
    <row r="134">
      <c r="A134" s="27" t="n"/>
      <c r="B134" s="23" t="n"/>
      <c r="C134" s="23" t="n"/>
      <c r="D134" s="28" t="n"/>
      <c r="E134" s="28" t="n"/>
      <c r="F134" s="28" t="n"/>
      <c r="G134" s="28" t="n"/>
      <c r="H134" s="28" t="n"/>
      <c r="I134" s="28" t="n"/>
      <c r="J134" s="22" t="n"/>
      <c r="K134" s="23" t="n"/>
    </row>
    <row r="135">
      <c r="A135" s="27" t="n"/>
      <c r="B135" s="23" t="n"/>
      <c r="C135" s="23" t="n"/>
      <c r="D135" s="28" t="n"/>
      <c r="E135" s="28" t="n"/>
      <c r="F135" s="28" t="n"/>
      <c r="G135" s="28" t="n"/>
      <c r="H135" s="28" t="n"/>
      <c r="I135" s="28" t="n"/>
      <c r="J135" s="22" t="n"/>
      <c r="K135" s="23" t="n"/>
    </row>
    <row r="136">
      <c r="A136" s="27" t="n"/>
      <c r="B136" s="23" t="n"/>
      <c r="C136" s="23" t="n"/>
      <c r="D136" s="28" t="n"/>
      <c r="E136" s="28" t="n"/>
      <c r="F136" s="28" t="n"/>
      <c r="G136" s="28" t="n"/>
      <c r="H136" s="28" t="n"/>
      <c r="I136" s="28" t="n"/>
      <c r="J136" s="22" t="n"/>
      <c r="K136" s="23" t="n"/>
    </row>
    <row r="137">
      <c r="A137" s="27" t="n"/>
      <c r="B137" s="23" t="n"/>
      <c r="C137" s="23" t="n"/>
      <c r="D137" s="28" t="n"/>
      <c r="E137" s="28" t="n"/>
      <c r="F137" s="28" t="n"/>
      <c r="G137" s="28" t="n"/>
      <c r="H137" s="28" t="n"/>
      <c r="I137" s="28" t="n"/>
      <c r="J137" s="22" t="n"/>
      <c r="K137" s="23" t="n"/>
    </row>
    <row r="138">
      <c r="A138" s="27" t="n"/>
      <c r="B138" s="23" t="n"/>
      <c r="C138" s="23" t="n"/>
      <c r="D138" s="28" t="n"/>
      <c r="E138" s="28" t="n"/>
      <c r="F138" s="28" t="n"/>
      <c r="G138" s="28" t="n"/>
      <c r="H138" s="28" t="n"/>
      <c r="I138" s="28" t="n"/>
      <c r="J138" s="22" t="n"/>
      <c r="K138" s="23" t="n"/>
    </row>
    <row r="139">
      <c r="A139" s="27" t="n"/>
      <c r="B139" s="23" t="n"/>
      <c r="C139" s="23" t="n"/>
      <c r="D139" s="28" t="n"/>
      <c r="E139" s="28" t="n"/>
      <c r="F139" s="28" t="n"/>
      <c r="G139" s="28" t="n"/>
      <c r="H139" s="28" t="n"/>
      <c r="I139" s="28" t="n"/>
      <c r="J139" s="22" t="n"/>
      <c r="K139" s="23" t="n"/>
    </row>
    <row r="140">
      <c r="A140" s="27" t="n"/>
      <c r="B140" s="23" t="n"/>
      <c r="C140" s="23" t="n"/>
      <c r="D140" s="28" t="n"/>
      <c r="E140" s="28" t="n"/>
      <c r="F140" s="28" t="n"/>
      <c r="G140" s="28" t="n"/>
      <c r="H140" s="28" t="n"/>
      <c r="I140" s="28" t="n"/>
      <c r="J140" s="22" t="n"/>
      <c r="K140" s="23" t="n"/>
    </row>
    <row r="141">
      <c r="A141" s="27" t="n"/>
      <c r="B141" s="23" t="n"/>
      <c r="C141" s="23" t="n"/>
      <c r="D141" s="28" t="n"/>
      <c r="E141" s="28" t="n"/>
      <c r="F141" s="28" t="n"/>
      <c r="G141" s="28" t="n"/>
      <c r="H141" s="28" t="n"/>
      <c r="I141" s="28" t="n"/>
      <c r="J141" s="22" t="n"/>
      <c r="K141" s="23" t="n"/>
    </row>
    <row r="142">
      <c r="A142" s="27" t="n"/>
      <c r="B142" s="23" t="n"/>
      <c r="C142" s="23" t="n"/>
      <c r="D142" s="28" t="n"/>
      <c r="E142" s="28" t="n"/>
      <c r="F142" s="28" t="n"/>
      <c r="G142" s="28" t="n"/>
      <c r="H142" s="28" t="n"/>
      <c r="I142" s="28" t="n"/>
      <c r="J142" s="22" t="n"/>
      <c r="K142" s="23" t="n"/>
    </row>
    <row r="143">
      <c r="A143" s="27" t="n"/>
      <c r="B143" s="23" t="n"/>
      <c r="C143" s="23" t="n"/>
      <c r="D143" s="28" t="n"/>
      <c r="E143" s="28" t="n"/>
      <c r="F143" s="28" t="n"/>
      <c r="G143" s="28" t="n"/>
      <c r="H143" s="28" t="n"/>
      <c r="I143" s="28" t="n"/>
      <c r="J143" s="22" t="n"/>
      <c r="K143" s="23" t="n"/>
    </row>
    <row r="144">
      <c r="A144" s="27" t="n"/>
      <c r="B144" s="23" t="n"/>
      <c r="C144" s="23" t="n"/>
      <c r="D144" s="28" t="n"/>
      <c r="E144" s="28" t="n"/>
      <c r="F144" s="28" t="n"/>
      <c r="G144" s="28" t="n"/>
      <c r="H144" s="28" t="n"/>
      <c r="I144" s="28" t="n"/>
      <c r="J144" s="22" t="n"/>
      <c r="K144" s="23" t="n"/>
    </row>
    <row r="145">
      <c r="A145" s="27" t="n"/>
      <c r="B145" s="23" t="n"/>
      <c r="C145" s="23" t="n"/>
      <c r="D145" s="28" t="n"/>
      <c r="E145" s="28" t="n"/>
      <c r="F145" s="28" t="n"/>
      <c r="G145" s="28" t="n"/>
      <c r="H145" s="28" t="n"/>
      <c r="I145" s="28" t="n"/>
      <c r="J145" s="22" t="n"/>
      <c r="K145" s="23" t="n"/>
    </row>
    <row r="146">
      <c r="A146" s="27" t="n"/>
      <c r="B146" s="23" t="n"/>
      <c r="C146" s="23" t="n"/>
      <c r="D146" s="28" t="n"/>
      <c r="E146" s="28" t="n"/>
      <c r="F146" s="28" t="n"/>
      <c r="G146" s="28" t="n"/>
      <c r="H146" s="28" t="n"/>
      <c r="I146" s="28" t="n"/>
      <c r="J146" s="22" t="n"/>
      <c r="K146" s="23" t="n"/>
    </row>
    <row r="147">
      <c r="A147" s="27" t="n"/>
      <c r="B147" s="23" t="n"/>
      <c r="C147" s="23" t="n"/>
      <c r="D147" s="28" t="n"/>
      <c r="E147" s="28" t="n"/>
      <c r="F147" s="28" t="n"/>
      <c r="G147" s="28" t="n"/>
      <c r="H147" s="28" t="n"/>
      <c r="I147" s="28" t="n"/>
      <c r="J147" s="22" t="n"/>
      <c r="K147" s="23" t="n"/>
    </row>
    <row r="148">
      <c r="A148" s="27" t="n"/>
      <c r="B148" s="23" t="n"/>
      <c r="C148" s="23" t="n"/>
      <c r="D148" s="28" t="n"/>
      <c r="E148" s="28" t="n"/>
      <c r="F148" s="28" t="n"/>
      <c r="G148" s="28" t="n"/>
      <c r="H148" s="28" t="n"/>
      <c r="I148" s="28" t="n"/>
      <c r="J148" s="22" t="n"/>
      <c r="K148" s="23" t="n"/>
    </row>
    <row r="149">
      <c r="A149" s="27" t="n"/>
      <c r="B149" s="23" t="n"/>
      <c r="C149" s="23" t="n"/>
      <c r="D149" s="28" t="n"/>
      <c r="E149" s="28" t="n"/>
      <c r="F149" s="28" t="n"/>
      <c r="G149" s="28" t="n"/>
      <c r="H149" s="28" t="n"/>
      <c r="I149" s="28" t="n"/>
      <c r="J149" s="22" t="n"/>
      <c r="K149" s="23" t="n"/>
    </row>
    <row r="150">
      <c r="A150" s="27" t="n"/>
      <c r="B150" s="23" t="n"/>
      <c r="C150" s="23" t="n"/>
      <c r="D150" s="28" t="n"/>
      <c r="E150" s="28" t="n"/>
      <c r="F150" s="28" t="n"/>
      <c r="G150" s="28" t="n"/>
      <c r="H150" s="28" t="n"/>
      <c r="I150" s="28" t="n"/>
      <c r="J150" s="22" t="n"/>
      <c r="K150" s="23" t="n"/>
    </row>
    <row r="151">
      <c r="A151" s="27" t="n"/>
      <c r="B151" s="23" t="n"/>
      <c r="C151" s="23" t="n"/>
      <c r="D151" s="28" t="n"/>
      <c r="E151" s="28" t="n"/>
      <c r="F151" s="28" t="n"/>
      <c r="G151" s="28" t="n"/>
      <c r="H151" s="28" t="n"/>
      <c r="I151" s="28" t="n"/>
      <c r="J151" s="22" t="n"/>
      <c r="K151" s="23" t="n"/>
    </row>
    <row r="152">
      <c r="A152" s="27" t="n"/>
      <c r="B152" s="23" t="n"/>
      <c r="C152" s="23" t="n"/>
      <c r="D152" s="28" t="n"/>
      <c r="E152" s="28" t="n"/>
      <c r="F152" s="28" t="n"/>
      <c r="G152" s="28" t="n"/>
      <c r="H152" s="28" t="n"/>
      <c r="I152" s="28" t="n"/>
      <c r="J152" s="22" t="n"/>
      <c r="K152" s="23" t="n"/>
    </row>
    <row r="153">
      <c r="A153" s="27" t="n"/>
      <c r="B153" s="23" t="n"/>
      <c r="C153" s="23" t="n"/>
      <c r="D153" s="28" t="n"/>
      <c r="E153" s="28" t="n"/>
      <c r="F153" s="28" t="n"/>
      <c r="G153" s="28" t="n"/>
      <c r="H153" s="28" t="n"/>
      <c r="I153" s="28" t="n"/>
      <c r="J153" s="22" t="n"/>
      <c r="K153" s="23" t="n"/>
    </row>
    <row r="154">
      <c r="A154" s="27" t="n"/>
      <c r="B154" s="23" t="n"/>
      <c r="C154" s="23" t="n"/>
      <c r="D154" s="28" t="n"/>
      <c r="E154" s="28" t="n"/>
      <c r="F154" s="28" t="n"/>
      <c r="G154" s="28" t="n"/>
      <c r="H154" s="28" t="n"/>
      <c r="I154" s="28" t="n"/>
      <c r="J154" s="22" t="n"/>
      <c r="K154" s="23" t="n"/>
    </row>
    <row r="155">
      <c r="A155" s="27" t="n"/>
      <c r="B155" s="23" t="n"/>
      <c r="C155" s="23" t="n"/>
      <c r="D155" s="28" t="n"/>
      <c r="E155" s="28" t="n"/>
      <c r="F155" s="28" t="n"/>
      <c r="G155" s="28" t="n"/>
      <c r="H155" s="28" t="n"/>
      <c r="I155" s="28" t="n"/>
      <c r="J155" s="22" t="n"/>
      <c r="K155" s="23" t="n"/>
    </row>
    <row r="156">
      <c r="A156" s="27" t="n"/>
      <c r="B156" s="23" t="n"/>
      <c r="C156" s="23" t="n"/>
      <c r="D156" s="28" t="n"/>
      <c r="E156" s="28" t="n"/>
      <c r="F156" s="28" t="n"/>
      <c r="G156" s="28" t="n"/>
      <c r="H156" s="28" t="n"/>
      <c r="I156" s="28" t="n"/>
      <c r="J156" s="22" t="n"/>
      <c r="K156" s="23" t="n"/>
    </row>
    <row r="157">
      <c r="A157" s="27" t="n"/>
      <c r="B157" s="23" t="n"/>
      <c r="C157" s="23" t="n"/>
      <c r="D157" s="28" t="n"/>
      <c r="E157" s="28" t="n"/>
      <c r="F157" s="28" t="n"/>
      <c r="G157" s="28" t="n"/>
      <c r="H157" s="28" t="n"/>
      <c r="I157" s="28" t="n"/>
      <c r="J157" s="22" t="n"/>
      <c r="K157" s="23" t="n"/>
    </row>
    <row r="158">
      <c r="A158" s="27" t="n"/>
      <c r="B158" s="23" t="n"/>
      <c r="C158" s="23" t="n"/>
      <c r="D158" s="28" t="n"/>
      <c r="E158" s="28" t="n"/>
      <c r="F158" s="28" t="n"/>
      <c r="G158" s="28" t="n"/>
      <c r="H158" s="28" t="n"/>
      <c r="I158" s="28" t="n"/>
      <c r="J158" s="22" t="n"/>
      <c r="K158" s="23" t="n"/>
    </row>
    <row r="159">
      <c r="A159" s="27" t="n"/>
      <c r="B159" s="23" t="n"/>
      <c r="C159" s="23" t="n"/>
      <c r="D159" s="28" t="n"/>
      <c r="E159" s="28" t="n"/>
      <c r="F159" s="28" t="n"/>
      <c r="G159" s="28" t="n"/>
      <c r="H159" s="28" t="n"/>
      <c r="I159" s="28" t="n"/>
      <c r="J159" s="22" t="n"/>
      <c r="K159" s="23" t="n"/>
    </row>
    <row r="160">
      <c r="A160" s="27" t="n"/>
      <c r="B160" s="23" t="n"/>
      <c r="C160" s="23" t="n"/>
      <c r="D160" s="28" t="n"/>
      <c r="E160" s="28" t="n"/>
      <c r="F160" s="28" t="n"/>
      <c r="G160" s="28" t="n"/>
      <c r="H160" s="28" t="n"/>
      <c r="I160" s="28" t="n"/>
      <c r="J160" s="22" t="n"/>
      <c r="K160" s="23" t="n"/>
    </row>
    <row r="161">
      <c r="A161" s="27" t="n"/>
      <c r="B161" s="23" t="n"/>
      <c r="C161" s="23" t="n"/>
      <c r="D161" s="28" t="n"/>
      <c r="E161" s="28" t="n"/>
      <c r="F161" s="28" t="n"/>
      <c r="G161" s="28" t="n"/>
      <c r="H161" s="28" t="n"/>
      <c r="I161" s="28" t="n"/>
      <c r="J161" s="22" t="n"/>
      <c r="K161" s="23" t="n"/>
    </row>
    <row r="162">
      <c r="A162" s="27" t="n"/>
      <c r="B162" s="23" t="n"/>
      <c r="C162" s="23" t="n"/>
      <c r="D162" s="28" t="n"/>
      <c r="E162" s="28" t="n"/>
      <c r="F162" s="28" t="n"/>
      <c r="G162" s="28" t="n"/>
      <c r="H162" s="28" t="n"/>
      <c r="I162" s="28" t="n"/>
      <c r="J162" s="22" t="n"/>
      <c r="K162" s="23" t="n"/>
    </row>
    <row r="163">
      <c r="A163" s="27" t="n"/>
      <c r="B163" s="23" t="n"/>
      <c r="C163" s="23" t="n"/>
      <c r="D163" s="28" t="n"/>
      <c r="E163" s="28" t="n"/>
      <c r="F163" s="28" t="n"/>
      <c r="G163" s="28" t="n"/>
      <c r="H163" s="28" t="n"/>
      <c r="I163" s="28" t="n"/>
      <c r="J163" s="22" t="n"/>
      <c r="K163" s="23" t="n"/>
    </row>
    <row r="164">
      <c r="A164" s="27" t="n"/>
      <c r="B164" s="23" t="n"/>
      <c r="C164" s="23" t="n"/>
      <c r="D164" s="28" t="n"/>
      <c r="E164" s="28" t="n"/>
      <c r="F164" s="28" t="n"/>
      <c r="G164" s="28" t="n"/>
      <c r="H164" s="28" t="n"/>
      <c r="I164" s="28" t="n"/>
      <c r="J164" s="22" t="n"/>
      <c r="K164" s="23" t="n"/>
    </row>
    <row r="165">
      <c r="A165" s="27" t="n"/>
      <c r="B165" s="23" t="n"/>
      <c r="C165" s="23" t="n"/>
      <c r="D165" s="28" t="n"/>
      <c r="E165" s="28" t="n"/>
      <c r="F165" s="28" t="n"/>
      <c r="G165" s="28" t="n"/>
      <c r="H165" s="28" t="n"/>
      <c r="I165" s="28" t="n"/>
      <c r="J165" s="22" t="n"/>
      <c r="K165" s="23" t="n"/>
    </row>
    <row r="166">
      <c r="A166" s="27" t="n"/>
      <c r="B166" s="23" t="n"/>
      <c r="C166" s="23" t="n"/>
      <c r="D166" s="28" t="n"/>
      <c r="E166" s="28" t="n"/>
      <c r="F166" s="28" t="n"/>
      <c r="G166" s="28" t="n"/>
      <c r="H166" s="28" t="n"/>
      <c r="I166" s="28" t="n"/>
      <c r="J166" s="22" t="n"/>
      <c r="K166" s="23" t="n"/>
    </row>
    <row r="167">
      <c r="A167" s="27" t="n"/>
      <c r="B167" s="23" t="n"/>
      <c r="C167" s="23" t="n"/>
      <c r="D167" s="28" t="n"/>
      <c r="E167" s="28" t="n"/>
      <c r="F167" s="28" t="n"/>
      <c r="G167" s="28" t="n"/>
      <c r="H167" s="28" t="n"/>
      <c r="I167" s="28" t="n"/>
      <c r="J167" s="22" t="n"/>
      <c r="K167" s="23" t="n"/>
    </row>
    <row r="168">
      <c r="A168" s="27" t="n"/>
      <c r="B168" s="23" t="n"/>
      <c r="C168" s="23" t="n"/>
      <c r="D168" s="28" t="n"/>
      <c r="E168" s="28" t="n"/>
      <c r="F168" s="28" t="n"/>
      <c r="G168" s="28" t="n"/>
      <c r="H168" s="28" t="n"/>
      <c r="I168" s="28" t="n"/>
      <c r="J168" s="22" t="n"/>
      <c r="K168" s="23" t="n"/>
    </row>
    <row r="169">
      <c r="A169" s="27" t="n"/>
      <c r="B169" s="23" t="n"/>
      <c r="C169" s="23" t="n"/>
      <c r="D169" s="28" t="n"/>
      <c r="E169" s="28" t="n"/>
      <c r="F169" s="28" t="n"/>
      <c r="G169" s="28" t="n"/>
      <c r="H169" s="28" t="n"/>
      <c r="I169" s="28" t="n"/>
      <c r="J169" s="22" t="n"/>
      <c r="K169" s="23" t="n"/>
    </row>
    <row r="170">
      <c r="A170" s="27" t="n"/>
      <c r="B170" s="23" t="n"/>
      <c r="C170" s="23" t="n"/>
      <c r="D170" s="28" t="n"/>
      <c r="E170" s="28" t="n"/>
      <c r="F170" s="28" t="n"/>
      <c r="G170" s="28" t="n"/>
      <c r="H170" s="28" t="n"/>
      <c r="I170" s="28" t="n"/>
      <c r="J170" s="22" t="n"/>
      <c r="K170" s="23" t="n"/>
    </row>
    <row r="171">
      <c r="A171" s="27" t="n"/>
      <c r="B171" s="23" t="n"/>
      <c r="C171" s="23" t="n"/>
      <c r="D171" s="28" t="n"/>
      <c r="E171" s="28" t="n"/>
      <c r="F171" s="28" t="n"/>
      <c r="G171" s="28" t="n"/>
      <c r="H171" s="28" t="n"/>
      <c r="I171" s="28" t="n"/>
      <c r="J171" s="22" t="n"/>
      <c r="K171" s="23" t="n"/>
    </row>
    <row r="172">
      <c r="A172" s="27" t="n"/>
      <c r="B172" s="23" t="n"/>
      <c r="C172" s="23" t="n"/>
      <c r="D172" s="28" t="n"/>
      <c r="E172" s="28" t="n"/>
      <c r="F172" s="28" t="n"/>
      <c r="G172" s="28" t="n"/>
      <c r="H172" s="28" t="n"/>
      <c r="I172" s="28" t="n"/>
      <c r="J172" s="22" t="n"/>
      <c r="K172" s="23" t="n"/>
    </row>
    <row r="173">
      <c r="A173" s="27" t="n"/>
      <c r="B173" s="23" t="n"/>
      <c r="C173" s="23" t="n"/>
      <c r="D173" s="28" t="n"/>
      <c r="E173" s="28" t="n"/>
      <c r="F173" s="28" t="n"/>
      <c r="G173" s="28" t="n"/>
      <c r="H173" s="28" t="n"/>
      <c r="I173" s="28" t="n"/>
      <c r="J173" s="22" t="n"/>
      <c r="K173" s="23" t="n"/>
    </row>
    <row r="174">
      <c r="A174" s="27" t="n"/>
      <c r="B174" s="23" t="n"/>
      <c r="C174" s="23" t="n"/>
      <c r="D174" s="28" t="n"/>
      <c r="E174" s="28" t="n"/>
      <c r="F174" s="28" t="n"/>
      <c r="G174" s="28" t="n"/>
      <c r="H174" s="28" t="n"/>
      <c r="I174" s="28" t="n"/>
      <c r="J174" s="22" t="n"/>
      <c r="K174" s="23" t="n"/>
    </row>
    <row r="175">
      <c r="A175" s="27" t="n"/>
      <c r="B175" s="23" t="n"/>
      <c r="C175" s="23" t="n"/>
      <c r="D175" s="28" t="n"/>
      <c r="E175" s="28" t="n"/>
      <c r="F175" s="28" t="n"/>
      <c r="G175" s="28" t="n"/>
      <c r="H175" s="28" t="n"/>
      <c r="I175" s="28" t="n"/>
      <c r="J175" s="22" t="n"/>
      <c r="K175" s="23" t="n"/>
    </row>
    <row r="176">
      <c r="A176" s="27" t="n"/>
      <c r="B176" s="23" t="n"/>
      <c r="C176" s="23" t="n"/>
      <c r="D176" s="28" t="n"/>
      <c r="E176" s="28" t="n"/>
      <c r="F176" s="28" t="n"/>
      <c r="G176" s="28" t="n"/>
      <c r="H176" s="28" t="n"/>
      <c r="I176" s="28" t="n"/>
      <c r="J176" s="22" t="n"/>
      <c r="K176" s="23" t="n"/>
    </row>
    <row r="177">
      <c r="A177" s="27" t="n"/>
      <c r="B177" s="23" t="n"/>
      <c r="C177" s="23" t="n"/>
      <c r="D177" s="28" t="n"/>
      <c r="E177" s="28" t="n"/>
      <c r="F177" s="28" t="n"/>
      <c r="G177" s="28" t="n"/>
      <c r="H177" s="28" t="n"/>
      <c r="I177" s="28" t="n"/>
      <c r="J177" s="22" t="n"/>
      <c r="K177" s="23" t="n"/>
    </row>
    <row r="178">
      <c r="A178" s="27" t="n"/>
      <c r="B178" s="23" t="n"/>
      <c r="C178" s="23" t="n"/>
      <c r="D178" s="28" t="n"/>
      <c r="E178" s="28" t="n"/>
      <c r="F178" s="28" t="n"/>
      <c r="G178" s="28" t="n"/>
      <c r="H178" s="28" t="n"/>
      <c r="I178" s="28" t="n"/>
      <c r="J178" s="22" t="n"/>
      <c r="K178" s="23" t="n"/>
    </row>
    <row r="179">
      <c r="A179" s="27" t="n"/>
      <c r="B179" s="23" t="n"/>
      <c r="C179" s="23" t="n"/>
      <c r="D179" s="28" t="n"/>
      <c r="E179" s="28" t="n"/>
      <c r="F179" s="28" t="n"/>
      <c r="G179" s="28" t="n"/>
      <c r="H179" s="28" t="n"/>
      <c r="I179" s="28" t="n"/>
      <c r="J179" s="22" t="n"/>
      <c r="K179" s="23" t="n"/>
    </row>
    <row r="180">
      <c r="A180" s="27" t="n"/>
      <c r="B180" s="23" t="n"/>
      <c r="C180" s="23" t="n"/>
      <c r="D180" s="28" t="n"/>
      <c r="E180" s="28" t="n"/>
      <c r="F180" s="28" t="n"/>
      <c r="G180" s="28" t="n"/>
      <c r="H180" s="28" t="n"/>
      <c r="I180" s="28" t="n"/>
      <c r="J180" s="22" t="n"/>
      <c r="K180" s="23" t="n"/>
    </row>
    <row r="181">
      <c r="A181" s="27" t="n"/>
      <c r="B181" s="23" t="n"/>
      <c r="C181" s="23" t="n"/>
      <c r="D181" s="28" t="n"/>
      <c r="E181" s="28" t="n"/>
      <c r="F181" s="28" t="n"/>
      <c r="G181" s="28" t="n"/>
      <c r="H181" s="28" t="n"/>
      <c r="I181" s="28" t="n"/>
      <c r="J181" s="22" t="n"/>
      <c r="K181" s="23" t="n"/>
    </row>
    <row r="182">
      <c r="A182" s="27" t="n"/>
      <c r="B182" s="23" t="n"/>
      <c r="C182" s="23" t="n"/>
      <c r="D182" s="28" t="n"/>
      <c r="E182" s="28" t="n"/>
      <c r="F182" s="28" t="n"/>
      <c r="G182" s="28" t="n"/>
      <c r="H182" s="28" t="n"/>
      <c r="I182" s="28" t="n"/>
      <c r="J182" s="22" t="n"/>
      <c r="K182" s="23" t="n"/>
    </row>
    <row r="183">
      <c r="A183" s="27" t="n"/>
      <c r="B183" s="23" t="n"/>
      <c r="C183" s="23" t="n"/>
      <c r="D183" s="28" t="n"/>
      <c r="E183" s="28" t="n"/>
      <c r="F183" s="28" t="n"/>
      <c r="G183" s="28" t="n"/>
      <c r="H183" s="28" t="n"/>
      <c r="I183" s="28" t="n"/>
      <c r="J183" s="22" t="n"/>
      <c r="K183" s="23" t="n"/>
    </row>
    <row r="184">
      <c r="A184" s="27" t="n"/>
      <c r="B184" s="23" t="n"/>
      <c r="C184" s="23" t="n"/>
      <c r="D184" s="28" t="n"/>
      <c r="E184" s="28" t="n"/>
      <c r="F184" s="28" t="n"/>
      <c r="G184" s="28" t="n"/>
      <c r="H184" s="28" t="n"/>
      <c r="I184" s="28" t="n"/>
      <c r="J184" s="22" t="n"/>
      <c r="K184" s="23" t="n"/>
    </row>
    <row r="185">
      <c r="A185" s="27" t="n"/>
      <c r="B185" s="23" t="n"/>
      <c r="C185" s="23" t="n"/>
      <c r="D185" s="28" t="n"/>
      <c r="E185" s="28" t="n"/>
      <c r="F185" s="28" t="n"/>
      <c r="G185" s="28" t="n"/>
      <c r="H185" s="28" t="n"/>
      <c r="I185" s="28" t="n"/>
      <c r="J185" s="22" t="n"/>
      <c r="K185" s="23" t="n"/>
    </row>
    <row r="186">
      <c r="A186" s="27" t="n"/>
      <c r="B186" s="23" t="n"/>
      <c r="C186" s="23" t="n"/>
      <c r="D186" s="28" t="n"/>
      <c r="E186" s="28" t="n"/>
      <c r="F186" s="28" t="n"/>
      <c r="G186" s="28" t="n"/>
      <c r="H186" s="28" t="n"/>
      <c r="I186" s="28" t="n"/>
      <c r="J186" s="22" t="n"/>
      <c r="K186" s="23" t="n"/>
    </row>
    <row r="187">
      <c r="A187" s="27" t="n"/>
      <c r="B187" s="23" t="n"/>
      <c r="C187" s="23" t="n"/>
      <c r="D187" s="28" t="n"/>
      <c r="E187" s="28" t="n"/>
      <c r="F187" s="28" t="n"/>
      <c r="G187" s="28" t="n"/>
      <c r="H187" s="28" t="n"/>
      <c r="I187" s="28" t="n"/>
      <c r="J187" s="22" t="n"/>
      <c r="K187" s="23" t="n"/>
    </row>
    <row r="188">
      <c r="A188" s="27" t="n"/>
      <c r="B188" s="23" t="n"/>
      <c r="C188" s="23" t="n"/>
      <c r="D188" s="28" t="n"/>
      <c r="E188" s="28" t="n"/>
      <c r="F188" s="28" t="n"/>
      <c r="G188" s="28" t="n"/>
      <c r="H188" s="28" t="n"/>
      <c r="I188" s="28" t="n"/>
      <c r="J188" s="22" t="n"/>
      <c r="K188" s="23" t="n"/>
    </row>
    <row r="189">
      <c r="A189" s="27" t="n"/>
      <c r="B189" s="23" t="n"/>
      <c r="C189" s="23" t="n"/>
      <c r="D189" s="28" t="n"/>
      <c r="E189" s="28" t="n"/>
      <c r="F189" s="28" t="n"/>
      <c r="G189" s="28" t="n"/>
      <c r="H189" s="28" t="n"/>
      <c r="I189" s="28" t="n"/>
      <c r="J189" s="22" t="n"/>
      <c r="K189" s="23" t="n"/>
    </row>
    <row r="190">
      <c r="A190" s="27" t="n"/>
      <c r="B190" s="23" t="n"/>
      <c r="C190" s="23" t="n"/>
      <c r="D190" s="28" t="n"/>
      <c r="E190" s="28" t="n"/>
      <c r="F190" s="28" t="n"/>
      <c r="G190" s="28" t="n"/>
      <c r="H190" s="28" t="n"/>
      <c r="I190" s="28" t="n"/>
      <c r="J190" s="22" t="n"/>
      <c r="K190" s="23" t="n"/>
    </row>
    <row r="191">
      <c r="A191" s="27" t="n"/>
      <c r="B191" s="23" t="n"/>
      <c r="C191" s="23" t="n"/>
      <c r="D191" s="28" t="n"/>
      <c r="E191" s="28" t="n"/>
      <c r="F191" s="28" t="n"/>
      <c r="G191" s="28" t="n"/>
      <c r="H191" s="28" t="n"/>
      <c r="I191" s="28" t="n"/>
      <c r="J191" s="22" t="n"/>
      <c r="K191" s="23" t="n"/>
    </row>
    <row r="192">
      <c r="A192" s="27" t="n"/>
      <c r="B192" s="23" t="n"/>
      <c r="C192" s="23" t="n"/>
      <c r="D192" s="28" t="n"/>
      <c r="E192" s="28" t="n"/>
      <c r="F192" s="28" t="n"/>
      <c r="G192" s="28" t="n"/>
      <c r="H192" s="28" t="n"/>
      <c r="I192" s="28" t="n"/>
      <c r="J192" s="22" t="n"/>
      <c r="K192" s="23" t="n"/>
    </row>
    <row r="193">
      <c r="A193" s="27" t="n"/>
      <c r="B193" s="23" t="n"/>
      <c r="C193" s="23" t="n"/>
      <c r="D193" s="28" t="n"/>
      <c r="E193" s="28" t="n"/>
      <c r="F193" s="28" t="n"/>
      <c r="G193" s="28" t="n"/>
      <c r="H193" s="28" t="n"/>
      <c r="I193" s="28" t="n"/>
      <c r="J193" s="22" t="n"/>
      <c r="K193" s="23" t="n"/>
    </row>
    <row r="194">
      <c r="A194" s="27" t="n"/>
      <c r="B194" s="23" t="n"/>
      <c r="C194" s="23" t="n"/>
      <c r="D194" s="28" t="n"/>
      <c r="E194" s="28" t="n"/>
      <c r="F194" s="28" t="n"/>
      <c r="G194" s="28" t="n"/>
      <c r="H194" s="28" t="n"/>
      <c r="I194" s="28" t="n"/>
      <c r="J194" s="22" t="n"/>
      <c r="K194" s="23" t="n"/>
    </row>
    <row r="195">
      <c r="A195" s="27" t="n"/>
      <c r="B195" s="23" t="n"/>
      <c r="C195" s="23" t="n"/>
      <c r="D195" s="28" t="n"/>
      <c r="E195" s="28" t="n"/>
      <c r="F195" s="28" t="n"/>
      <c r="G195" s="28" t="n"/>
      <c r="H195" s="28" t="n"/>
      <c r="I195" s="28" t="n"/>
      <c r="J195" s="22" t="n"/>
      <c r="K195" s="23" t="n"/>
    </row>
    <row r="196">
      <c r="A196" s="27" t="n"/>
      <c r="B196" s="23" t="n"/>
      <c r="C196" s="23" t="n"/>
      <c r="D196" s="28" t="n"/>
      <c r="E196" s="28" t="n"/>
      <c r="F196" s="28" t="n"/>
      <c r="G196" s="28" t="n"/>
      <c r="H196" s="28" t="n"/>
      <c r="I196" s="28" t="n"/>
      <c r="J196" s="22" t="n"/>
      <c r="K196" s="23" t="n"/>
    </row>
    <row r="197">
      <c r="A197" s="27" t="n"/>
      <c r="B197" s="23" t="n"/>
      <c r="C197" s="23" t="n"/>
      <c r="D197" s="28" t="n"/>
      <c r="E197" s="28" t="n"/>
      <c r="F197" s="28" t="n"/>
      <c r="G197" s="28" t="n"/>
      <c r="H197" s="28" t="n"/>
      <c r="I197" s="28" t="n"/>
      <c r="J197" s="22" t="n"/>
      <c r="K197" s="23" t="n"/>
    </row>
    <row r="198">
      <c r="A198" s="27" t="n"/>
      <c r="B198" s="23" t="n"/>
      <c r="C198" s="23" t="n"/>
      <c r="D198" s="28" t="n"/>
      <c r="E198" s="28" t="n"/>
      <c r="F198" s="28" t="n"/>
      <c r="G198" s="28" t="n"/>
      <c r="H198" s="28" t="n"/>
      <c r="I198" s="28" t="n"/>
      <c r="J198" s="22" t="n"/>
      <c r="K198" s="23" t="n"/>
    </row>
    <row r="199">
      <c r="A199" s="27" t="n"/>
      <c r="B199" s="23" t="n"/>
      <c r="C199" s="23" t="n"/>
      <c r="D199" s="28" t="n"/>
      <c r="E199" s="28" t="n"/>
      <c r="F199" s="28" t="n"/>
      <c r="G199" s="28" t="n"/>
      <c r="H199" s="28" t="n"/>
      <c r="I199" s="28" t="n"/>
      <c r="J199" s="22" t="n"/>
      <c r="K199" s="23" t="n"/>
    </row>
    <row r="200">
      <c r="A200" s="27" t="n"/>
      <c r="B200" s="23" t="n"/>
      <c r="C200" s="23" t="n"/>
      <c r="D200" s="28" t="n"/>
      <c r="E200" s="28" t="n"/>
      <c r="F200" s="28" t="n"/>
      <c r="G200" s="28" t="n"/>
      <c r="H200" s="28" t="n"/>
      <c r="I200" s="28" t="n"/>
      <c r="J200" s="22" t="n"/>
      <c r="K200" s="23" t="n"/>
    </row>
    <row r="201">
      <c r="A201" s="27" t="n"/>
      <c r="B201" s="23" t="n"/>
      <c r="C201" s="23" t="n"/>
      <c r="D201" s="28" t="n"/>
      <c r="E201" s="28" t="n"/>
      <c r="F201" s="28" t="n"/>
      <c r="G201" s="28" t="n"/>
      <c r="H201" s="28" t="n"/>
      <c r="I201" s="28" t="n"/>
      <c r="J201" s="22" t="n"/>
      <c r="K201" s="23" t="n"/>
    </row>
    <row r="202">
      <c r="A202" s="27" t="n"/>
      <c r="B202" s="23" t="n"/>
      <c r="C202" s="23" t="n"/>
      <c r="D202" s="28" t="n"/>
      <c r="E202" s="28" t="n"/>
      <c r="F202" s="28" t="n"/>
      <c r="G202" s="28" t="n"/>
      <c r="H202" s="28" t="n"/>
      <c r="I202" s="28" t="n"/>
      <c r="J202" s="22" t="n"/>
      <c r="K202" s="23" t="n"/>
    </row>
    <row r="203">
      <c r="A203" s="27" t="n"/>
      <c r="B203" s="23" t="n"/>
      <c r="C203" s="23" t="n"/>
      <c r="D203" s="28" t="n"/>
      <c r="E203" s="28" t="n"/>
      <c r="F203" s="28" t="n"/>
      <c r="G203" s="28" t="n"/>
      <c r="H203" s="28" t="n"/>
      <c r="I203" s="28" t="n"/>
      <c r="J203" s="22" t="n"/>
      <c r="K203" s="23" t="n"/>
    </row>
    <row r="204">
      <c r="A204" s="27" t="n"/>
      <c r="B204" s="23" t="n"/>
      <c r="C204" s="23" t="n"/>
      <c r="D204" s="28" t="n"/>
      <c r="E204" s="28" t="n"/>
      <c r="F204" s="28" t="n"/>
      <c r="G204" s="28" t="n"/>
      <c r="H204" s="28" t="n"/>
      <c r="I204" s="28" t="n"/>
      <c r="J204" s="22" t="n"/>
      <c r="K204" s="23" t="n"/>
    </row>
    <row r="205">
      <c r="A205" s="27" t="n"/>
      <c r="B205" s="23" t="n"/>
      <c r="C205" s="23" t="n"/>
      <c r="D205" s="28" t="n"/>
      <c r="E205" s="28" t="n"/>
      <c r="F205" s="28" t="n"/>
      <c r="G205" s="28" t="n"/>
      <c r="H205" s="28" t="n"/>
      <c r="I205" s="28" t="n"/>
      <c r="J205" s="22" t="n"/>
      <c r="K205" s="23" t="n"/>
    </row>
    <row r="206">
      <c r="A206" s="27" t="n"/>
      <c r="B206" s="23" t="n"/>
      <c r="C206" s="23" t="n"/>
      <c r="D206" s="28" t="n"/>
      <c r="E206" s="28" t="n"/>
      <c r="F206" s="28" t="n"/>
      <c r="G206" s="28" t="n"/>
      <c r="H206" s="28" t="n"/>
      <c r="I206" s="28" t="n"/>
      <c r="J206" s="22" t="n"/>
      <c r="K206" s="23" t="n"/>
    </row>
    <row r="207">
      <c r="A207" s="27" t="n"/>
      <c r="B207" s="23" t="n"/>
      <c r="C207" s="23" t="n"/>
      <c r="D207" s="28" t="n"/>
      <c r="E207" s="28" t="n"/>
      <c r="F207" s="28" t="n"/>
      <c r="G207" s="28" t="n"/>
      <c r="H207" s="28" t="n"/>
      <c r="I207" s="28" t="n"/>
      <c r="J207" s="22" t="n"/>
      <c r="K207" s="23" t="n"/>
    </row>
    <row r="208">
      <c r="A208" s="27" t="n"/>
      <c r="B208" s="23" t="n"/>
      <c r="C208" s="23" t="n"/>
      <c r="D208" s="28" t="n"/>
      <c r="E208" s="28" t="n"/>
      <c r="F208" s="28" t="n"/>
      <c r="G208" s="28" t="n"/>
      <c r="H208" s="28" t="n"/>
      <c r="I208" s="28" t="n"/>
      <c r="J208" s="22" t="n"/>
      <c r="K208" s="23" t="n"/>
    </row>
    <row r="209">
      <c r="A209" s="27" t="n"/>
      <c r="B209" s="23" t="n"/>
      <c r="C209" s="23" t="n"/>
      <c r="D209" s="28" t="n"/>
      <c r="E209" s="28" t="n"/>
      <c r="F209" s="28" t="n"/>
      <c r="G209" s="28" t="n"/>
      <c r="H209" s="28" t="n"/>
      <c r="I209" s="28" t="n"/>
      <c r="J209" s="22" t="n"/>
      <c r="K209" s="23" t="n"/>
    </row>
    <row r="210">
      <c r="A210" s="27" t="n"/>
      <c r="B210" s="23" t="n"/>
      <c r="C210" s="23" t="n"/>
      <c r="D210" s="28" t="n"/>
      <c r="E210" s="28" t="n"/>
      <c r="F210" s="28" t="n"/>
      <c r="G210" s="28" t="n"/>
      <c r="H210" s="28" t="n"/>
      <c r="I210" s="28" t="n"/>
      <c r="J210" s="22" t="n"/>
      <c r="K210" s="23" t="n"/>
    </row>
    <row r="211">
      <c r="A211" s="27" t="n"/>
      <c r="B211" s="23" t="n"/>
      <c r="C211" s="23" t="n"/>
      <c r="D211" s="28" t="n"/>
      <c r="E211" s="28" t="n"/>
      <c r="F211" s="28" t="n"/>
      <c r="G211" s="28" t="n"/>
      <c r="H211" s="28" t="n"/>
      <c r="I211" s="28" t="n"/>
      <c r="J211" s="22" t="n"/>
      <c r="K211" s="23" t="n"/>
    </row>
    <row r="212">
      <c r="A212" s="27" t="n"/>
      <c r="B212" s="23" t="n"/>
      <c r="C212" s="23" t="n"/>
      <c r="D212" s="28" t="n"/>
      <c r="E212" s="28" t="n"/>
      <c r="F212" s="28" t="n"/>
      <c r="G212" s="28" t="n"/>
      <c r="H212" s="28" t="n"/>
      <c r="I212" s="28" t="n"/>
      <c r="J212" s="22" t="n"/>
      <c r="K212" s="23" t="n"/>
    </row>
    <row r="213">
      <c r="A213" s="27" t="n"/>
      <c r="B213" s="23" t="n"/>
      <c r="C213" s="23" t="n"/>
      <c r="D213" s="28" t="n"/>
      <c r="E213" s="28" t="n"/>
      <c r="F213" s="28" t="n"/>
      <c r="G213" s="28" t="n"/>
      <c r="H213" s="28" t="n"/>
      <c r="I213" s="28" t="n"/>
      <c r="J213" s="22" t="n"/>
      <c r="K213" s="23" t="n"/>
    </row>
    <row r="214">
      <c r="A214" s="27" t="n"/>
      <c r="B214" s="23" t="n"/>
      <c r="C214" s="23" t="n"/>
      <c r="D214" s="28" t="n"/>
      <c r="E214" s="28" t="n"/>
      <c r="F214" s="28" t="n"/>
      <c r="G214" s="28" t="n"/>
      <c r="H214" s="28" t="n"/>
      <c r="I214" s="28" t="n"/>
      <c r="J214" s="22" t="n"/>
      <c r="K214" s="23" t="n"/>
    </row>
    <row r="215">
      <c r="A215" s="27" t="n"/>
      <c r="B215" s="23" t="n"/>
      <c r="C215" s="23" t="n"/>
      <c r="D215" s="28" t="n"/>
      <c r="E215" s="28" t="n"/>
      <c r="F215" s="28" t="n"/>
      <c r="G215" s="28" t="n"/>
      <c r="H215" s="28" t="n"/>
      <c r="I215" s="28" t="n"/>
      <c r="J215" s="22" t="n"/>
      <c r="K215" s="23" t="n"/>
    </row>
    <row r="216">
      <c r="A216" s="27" t="n"/>
      <c r="B216" s="23" t="n"/>
      <c r="C216" s="23" t="n"/>
      <c r="D216" s="28" t="n"/>
      <c r="E216" s="28" t="n"/>
      <c r="F216" s="28" t="n"/>
      <c r="G216" s="28" t="n"/>
      <c r="H216" s="28" t="n"/>
      <c r="I216" s="28" t="n"/>
      <c r="J216" s="22" t="n"/>
      <c r="K216" s="23" t="n"/>
    </row>
    <row r="217">
      <c r="A217" s="27" t="n"/>
      <c r="B217" s="23" t="n"/>
      <c r="C217" s="23" t="n"/>
      <c r="D217" s="28" t="n"/>
      <c r="E217" s="28" t="n"/>
      <c r="F217" s="28" t="n"/>
      <c r="G217" s="28" t="n"/>
      <c r="H217" s="28" t="n"/>
      <c r="I217" s="28" t="n"/>
      <c r="J217" s="22" t="n"/>
      <c r="K217" s="23" t="n"/>
    </row>
    <row r="218">
      <c r="A218" s="27" t="n"/>
      <c r="B218" s="23" t="n"/>
      <c r="C218" s="23" t="n"/>
      <c r="D218" s="28" t="n"/>
      <c r="E218" s="28" t="n"/>
      <c r="F218" s="28" t="n"/>
      <c r="G218" s="28" t="n"/>
      <c r="H218" s="28" t="n"/>
      <c r="I218" s="28" t="n"/>
      <c r="J218" s="22" t="n"/>
      <c r="K218" s="23" t="n"/>
    </row>
    <row r="219">
      <c r="A219" s="27" t="n"/>
      <c r="B219" s="23" t="n"/>
      <c r="C219" s="23" t="n"/>
      <c r="D219" s="28" t="n"/>
      <c r="E219" s="28" t="n"/>
      <c r="F219" s="28" t="n"/>
      <c r="G219" s="28" t="n"/>
      <c r="H219" s="28" t="n"/>
      <c r="I219" s="28" t="n"/>
      <c r="J219" s="22" t="n"/>
      <c r="K219" s="23" t="n"/>
    </row>
    <row r="220">
      <c r="A220" s="27" t="n"/>
      <c r="B220" s="23" t="n"/>
      <c r="C220" s="23" t="n"/>
      <c r="D220" s="28" t="n"/>
      <c r="E220" s="28" t="n"/>
      <c r="F220" s="28" t="n"/>
      <c r="G220" s="28" t="n"/>
      <c r="H220" s="28" t="n"/>
      <c r="I220" s="28" t="n"/>
      <c r="J220" s="22" t="n"/>
      <c r="K220" s="23" t="n"/>
    </row>
    <row r="221">
      <c r="A221" s="27" t="n"/>
      <c r="B221" s="23" t="n"/>
      <c r="C221" s="23" t="n"/>
      <c r="D221" s="28" t="n"/>
      <c r="E221" s="28" t="n"/>
      <c r="F221" s="28" t="n"/>
      <c r="G221" s="28" t="n"/>
      <c r="H221" s="28" t="n"/>
      <c r="I221" s="28" t="n"/>
      <c r="J221" s="22" t="n"/>
      <c r="K221" s="23" t="n"/>
    </row>
    <row r="222">
      <c r="A222" s="27" t="n"/>
      <c r="B222" s="23" t="n"/>
      <c r="C222" s="23" t="n"/>
      <c r="D222" s="28" t="n"/>
      <c r="E222" s="28" t="n"/>
      <c r="F222" s="28" t="n"/>
      <c r="G222" s="28" t="n"/>
      <c r="H222" s="28" t="n"/>
      <c r="I222" s="28" t="n"/>
      <c r="J222" s="22" t="n"/>
      <c r="K222" s="23" t="n"/>
    </row>
    <row r="223">
      <c r="A223" s="27" t="n"/>
      <c r="B223" s="23" t="n"/>
      <c r="C223" s="23" t="n"/>
      <c r="D223" s="28" t="n"/>
      <c r="E223" s="28" t="n"/>
      <c r="F223" s="28" t="n"/>
      <c r="G223" s="28" t="n"/>
      <c r="H223" s="28" t="n"/>
      <c r="I223" s="28" t="n"/>
      <c r="J223" s="22" t="n"/>
      <c r="K223" s="23" t="n"/>
    </row>
    <row r="224">
      <c r="A224" s="27" t="n"/>
      <c r="B224" s="23" t="n"/>
      <c r="C224" s="23" t="n"/>
      <c r="D224" s="28" t="n"/>
      <c r="E224" s="28" t="n"/>
      <c r="F224" s="28" t="n"/>
      <c r="G224" s="28" t="n"/>
      <c r="H224" s="28" t="n"/>
      <c r="I224" s="28" t="n"/>
      <c r="J224" s="22" t="n"/>
      <c r="K224" s="23" t="n"/>
    </row>
    <row r="225">
      <c r="A225" s="27" t="n"/>
      <c r="B225" s="23" t="n"/>
      <c r="C225" s="23" t="n"/>
      <c r="D225" s="28" t="n"/>
      <c r="E225" s="28" t="n"/>
      <c r="F225" s="28" t="n"/>
      <c r="G225" s="28" t="n"/>
      <c r="H225" s="28" t="n"/>
      <c r="I225" s="28" t="n"/>
      <c r="J225" s="22" t="n"/>
      <c r="K225" s="23" t="n"/>
    </row>
    <row r="226">
      <c r="A226" s="27" t="n"/>
      <c r="B226" s="23" t="n"/>
      <c r="C226" s="23" t="n"/>
      <c r="D226" s="28" t="n"/>
      <c r="E226" s="28" t="n"/>
      <c r="F226" s="28" t="n"/>
      <c r="G226" s="28" t="n"/>
      <c r="H226" s="28" t="n"/>
      <c r="I226" s="28" t="n"/>
      <c r="J226" s="22" t="n"/>
      <c r="K226" s="23" t="n"/>
    </row>
    <row r="227">
      <c r="A227" s="27" t="n"/>
      <c r="B227" s="23" t="n"/>
      <c r="C227" s="23" t="n"/>
      <c r="D227" s="28" t="n"/>
      <c r="E227" s="28" t="n"/>
      <c r="F227" s="28" t="n"/>
      <c r="G227" s="28" t="n"/>
      <c r="H227" s="28" t="n"/>
      <c r="I227" s="28" t="n"/>
      <c r="J227" s="22" t="n"/>
      <c r="K227" s="23" t="n"/>
    </row>
    <row r="228">
      <c r="A228" s="27" t="n"/>
      <c r="B228" s="23" t="n"/>
      <c r="C228" s="23" t="n"/>
      <c r="D228" s="28" t="n"/>
      <c r="E228" s="28" t="n"/>
      <c r="F228" s="28" t="n"/>
      <c r="G228" s="28" t="n"/>
      <c r="H228" s="28" t="n"/>
      <c r="I228" s="28" t="n"/>
      <c r="J228" s="22" t="n"/>
      <c r="K228" s="23" t="n"/>
    </row>
    <row r="229">
      <c r="A229" s="27" t="n"/>
      <c r="B229" s="23" t="n"/>
      <c r="C229" s="23" t="n"/>
      <c r="D229" s="28" t="n"/>
      <c r="E229" s="28" t="n"/>
      <c r="F229" s="28" t="n"/>
      <c r="G229" s="28" t="n"/>
      <c r="H229" s="28" t="n"/>
      <c r="I229" s="28" t="n"/>
      <c r="J229" s="22" t="n"/>
      <c r="K229" s="23" t="n"/>
    </row>
    <row r="230">
      <c r="A230" s="27" t="n"/>
      <c r="B230" s="23" t="n"/>
      <c r="C230" s="23" t="n"/>
      <c r="D230" s="28" t="n"/>
      <c r="E230" s="28" t="n"/>
      <c r="F230" s="28" t="n"/>
      <c r="G230" s="28" t="n"/>
      <c r="H230" s="28" t="n"/>
      <c r="I230" s="28" t="n"/>
      <c r="J230" s="22" t="n"/>
      <c r="K230" s="23" t="n"/>
    </row>
    <row r="231">
      <c r="A231" s="27" t="n"/>
      <c r="B231" s="23" t="n"/>
      <c r="C231" s="23" t="n"/>
      <c r="D231" s="28" t="n"/>
      <c r="E231" s="28" t="n"/>
      <c r="F231" s="28" t="n"/>
      <c r="G231" s="28" t="n"/>
      <c r="H231" s="28" t="n"/>
      <c r="I231" s="28" t="n"/>
      <c r="J231" s="22" t="n"/>
      <c r="K231" s="23" t="n"/>
    </row>
    <row r="232">
      <c r="A232" s="27" t="n"/>
      <c r="B232" s="23" t="n"/>
      <c r="C232" s="23" t="n"/>
      <c r="D232" s="28" t="n"/>
      <c r="E232" s="28" t="n"/>
      <c r="F232" s="28" t="n"/>
      <c r="G232" s="28" t="n"/>
      <c r="H232" s="28" t="n"/>
      <c r="I232" s="28" t="n"/>
      <c r="J232" s="22" t="n"/>
      <c r="K232" s="23" t="n"/>
    </row>
    <row r="233">
      <c r="A233" s="27" t="n"/>
      <c r="B233" s="23" t="n"/>
      <c r="C233" s="23" t="n"/>
      <c r="D233" s="28" t="n"/>
      <c r="E233" s="28" t="n"/>
      <c r="F233" s="28" t="n"/>
      <c r="G233" s="28" t="n"/>
      <c r="H233" s="28" t="n"/>
      <c r="I233" s="28" t="n"/>
      <c r="J233" s="22" t="n"/>
      <c r="K233" s="23" t="n"/>
    </row>
    <row r="234">
      <c r="A234" s="27" t="n"/>
      <c r="B234" s="23" t="n"/>
      <c r="C234" s="23" t="n"/>
      <c r="D234" s="28" t="n"/>
      <c r="E234" s="28" t="n"/>
      <c r="F234" s="28" t="n"/>
      <c r="G234" s="28" t="n"/>
      <c r="H234" s="28" t="n"/>
      <c r="I234" s="28" t="n"/>
      <c r="J234" s="22" t="n"/>
      <c r="K234" s="23" t="n"/>
    </row>
    <row r="235">
      <c r="A235" s="27" t="n"/>
      <c r="B235" s="23" t="n"/>
      <c r="C235" s="23" t="n"/>
      <c r="D235" s="28" t="n"/>
      <c r="E235" s="28" t="n"/>
      <c r="F235" s="28" t="n"/>
      <c r="G235" s="28" t="n"/>
      <c r="H235" s="28" t="n"/>
      <c r="I235" s="28" t="n"/>
      <c r="J235" s="22" t="n"/>
      <c r="K235" s="23" t="n"/>
    </row>
    <row r="236">
      <c r="A236" s="27" t="n"/>
      <c r="B236" s="23" t="n"/>
      <c r="C236" s="23" t="n"/>
      <c r="D236" s="28" t="n"/>
      <c r="E236" s="28" t="n"/>
      <c r="F236" s="28" t="n"/>
      <c r="G236" s="28" t="n"/>
      <c r="H236" s="28" t="n"/>
      <c r="I236" s="28" t="n"/>
      <c r="J236" s="22" t="n"/>
      <c r="K236" s="23" t="n"/>
    </row>
    <row r="237">
      <c r="A237" s="27" t="n"/>
      <c r="B237" s="23" t="n"/>
      <c r="C237" s="23" t="n"/>
      <c r="D237" s="28" t="n"/>
      <c r="E237" s="28" t="n"/>
      <c r="F237" s="28" t="n"/>
      <c r="G237" s="28" t="n"/>
      <c r="H237" s="28" t="n"/>
      <c r="I237" s="28" t="n"/>
      <c r="J237" s="22" t="n"/>
      <c r="K237" s="23" t="n"/>
    </row>
    <row r="238">
      <c r="A238" s="27" t="n"/>
      <c r="B238" s="23" t="n"/>
      <c r="C238" s="23" t="n"/>
      <c r="D238" s="28" t="n"/>
      <c r="E238" s="28" t="n"/>
      <c r="F238" s="28" t="n"/>
      <c r="G238" s="28" t="n"/>
      <c r="H238" s="28" t="n"/>
      <c r="I238" s="28" t="n"/>
      <c r="J238" s="22" t="n"/>
      <c r="K238" s="23" t="n"/>
    </row>
    <row r="239">
      <c r="A239" s="27" t="n"/>
      <c r="B239" s="23" t="n"/>
      <c r="C239" s="23" t="n"/>
      <c r="D239" s="28" t="n"/>
      <c r="E239" s="28" t="n"/>
      <c r="F239" s="28" t="n"/>
      <c r="G239" s="28" t="n"/>
      <c r="H239" s="28" t="n"/>
      <c r="I239" s="28" t="n"/>
      <c r="J239" s="22" t="n"/>
      <c r="K239" s="23" t="n"/>
    </row>
    <row r="240">
      <c r="A240" s="27" t="n"/>
      <c r="B240" s="23" t="n"/>
      <c r="C240" s="23" t="n"/>
      <c r="D240" s="28" t="n"/>
      <c r="E240" s="28" t="n"/>
      <c r="F240" s="28" t="n"/>
      <c r="G240" s="28" t="n"/>
      <c r="H240" s="28" t="n"/>
      <c r="I240" s="28" t="n"/>
      <c r="J240" s="22" t="n"/>
      <c r="K240" s="23" t="n"/>
    </row>
    <row r="241">
      <c r="A241" s="27" t="n"/>
      <c r="B241" s="23" t="n"/>
      <c r="C241" s="23" t="n"/>
      <c r="D241" s="28" t="n"/>
      <c r="E241" s="28" t="n"/>
      <c r="F241" s="28" t="n"/>
      <c r="G241" s="28" t="n"/>
      <c r="H241" s="28" t="n"/>
      <c r="I241" s="28" t="n"/>
      <c r="J241" s="22" t="n"/>
      <c r="K241" s="23" t="n"/>
    </row>
    <row r="242">
      <c r="A242" s="27" t="n"/>
      <c r="B242" s="23" t="n"/>
      <c r="C242" s="23" t="n"/>
      <c r="D242" s="28" t="n"/>
      <c r="E242" s="28" t="n"/>
      <c r="F242" s="28" t="n"/>
      <c r="G242" s="28" t="n"/>
      <c r="H242" s="28" t="n"/>
      <c r="I242" s="28" t="n"/>
      <c r="J242" s="22" t="n"/>
      <c r="K242" s="23" t="n"/>
    </row>
    <row r="243">
      <c r="A243" s="27" t="n"/>
      <c r="B243" s="23" t="n"/>
      <c r="C243" s="23" t="n"/>
      <c r="D243" s="28" t="n"/>
      <c r="E243" s="28" t="n"/>
      <c r="F243" s="28" t="n"/>
      <c r="G243" s="28" t="n"/>
      <c r="H243" s="28" t="n"/>
      <c r="I243" s="28" t="n"/>
      <c r="J243" s="22" t="n"/>
      <c r="K243" s="23" t="n"/>
    </row>
    <row r="244">
      <c r="A244" s="27" t="n"/>
      <c r="B244" s="23" t="n"/>
      <c r="C244" s="23" t="n"/>
      <c r="D244" s="28" t="n"/>
      <c r="E244" s="28" t="n"/>
      <c r="F244" s="28" t="n"/>
      <c r="G244" s="28" t="n"/>
      <c r="H244" s="28" t="n"/>
      <c r="I244" s="28" t="n"/>
      <c r="J244" s="22" t="n"/>
      <c r="K244" s="23" t="n"/>
    </row>
    <row r="245">
      <c r="A245" s="27" t="n"/>
      <c r="B245" s="23" t="n"/>
      <c r="C245" s="23" t="n"/>
      <c r="D245" s="28" t="n"/>
      <c r="E245" s="28" t="n"/>
      <c r="F245" s="28" t="n"/>
      <c r="G245" s="28" t="n"/>
      <c r="H245" s="28" t="n"/>
      <c r="I245" s="28" t="n"/>
      <c r="J245" s="22" t="n"/>
      <c r="K245" s="23" t="n"/>
    </row>
    <row r="246">
      <c r="A246" s="27" t="n"/>
      <c r="B246" s="23" t="n"/>
      <c r="C246" s="23" t="n"/>
      <c r="D246" s="28" t="n"/>
      <c r="E246" s="28" t="n"/>
      <c r="F246" s="28" t="n"/>
      <c r="G246" s="28" t="n"/>
      <c r="H246" s="28" t="n"/>
      <c r="I246" s="28" t="n"/>
      <c r="J246" s="22" t="n"/>
      <c r="K246" s="23" t="n"/>
    </row>
    <row r="247">
      <c r="A247" s="27" t="n"/>
      <c r="B247" s="23" t="n"/>
      <c r="C247" s="23" t="n"/>
      <c r="D247" s="28" t="n"/>
      <c r="E247" s="28" t="n"/>
      <c r="F247" s="28" t="n"/>
      <c r="G247" s="28" t="n"/>
      <c r="H247" s="28" t="n"/>
      <c r="I247" s="28" t="n"/>
      <c r="J247" s="22" t="n"/>
      <c r="K247" s="23" t="n"/>
    </row>
    <row r="248">
      <c r="A248" s="27" t="n"/>
      <c r="B248" s="23" t="n"/>
      <c r="C248" s="23" t="n"/>
      <c r="D248" s="28" t="n"/>
      <c r="E248" s="28" t="n"/>
      <c r="F248" s="28" t="n"/>
      <c r="G248" s="28" t="n"/>
      <c r="H248" s="28" t="n"/>
      <c r="I248" s="28" t="n"/>
      <c r="J248" s="22" t="n"/>
      <c r="K248" s="23" t="n"/>
    </row>
    <row r="249">
      <c r="A249" s="27" t="n"/>
      <c r="B249" s="23" t="n"/>
      <c r="C249" s="23" t="n"/>
      <c r="D249" s="28" t="n"/>
      <c r="E249" s="28" t="n"/>
      <c r="F249" s="28" t="n"/>
      <c r="G249" s="28" t="n"/>
      <c r="H249" s="28" t="n"/>
      <c r="I249" s="28" t="n"/>
      <c r="J249" s="22" t="n"/>
      <c r="K249" s="23" t="n"/>
    </row>
    <row r="250">
      <c r="A250" s="27" t="n"/>
      <c r="B250" s="23" t="n"/>
      <c r="C250" s="23" t="n"/>
      <c r="D250" s="28" t="n"/>
      <c r="E250" s="28" t="n"/>
      <c r="F250" s="28" t="n"/>
      <c r="G250" s="28" t="n"/>
      <c r="H250" s="28" t="n"/>
      <c r="I250" s="28" t="n"/>
      <c r="J250" s="22" t="n"/>
      <c r="K250" s="23" t="n"/>
    </row>
    <row r="251">
      <c r="A251" s="27" t="n"/>
      <c r="B251" s="23" t="n"/>
      <c r="C251" s="23" t="n"/>
      <c r="D251" s="28" t="n"/>
      <c r="E251" s="28" t="n"/>
      <c r="F251" s="28" t="n"/>
      <c r="G251" s="28" t="n"/>
      <c r="H251" s="28" t="n"/>
      <c r="I251" s="28" t="n"/>
      <c r="J251" s="22" t="n"/>
      <c r="K251" s="23" t="n"/>
    </row>
    <row r="252">
      <c r="A252" s="27" t="n"/>
      <c r="B252" s="23" t="n"/>
      <c r="C252" s="23" t="n"/>
      <c r="D252" s="28" t="n"/>
      <c r="E252" s="28" t="n"/>
      <c r="F252" s="28" t="n"/>
      <c r="G252" s="28" t="n"/>
      <c r="H252" s="28" t="n"/>
      <c r="I252" s="28" t="n"/>
      <c r="J252" s="22" t="n"/>
      <c r="K252" s="23" t="n"/>
    </row>
    <row r="253">
      <c r="A253" s="27" t="n"/>
      <c r="B253" s="23" t="n"/>
      <c r="C253" s="23" t="n"/>
      <c r="D253" s="28" t="n"/>
      <c r="E253" s="28" t="n"/>
      <c r="F253" s="28" t="n"/>
      <c r="G253" s="28" t="n"/>
      <c r="H253" s="28" t="n"/>
      <c r="I253" s="28" t="n"/>
      <c r="J253" s="22" t="n"/>
      <c r="K253" s="23" t="n"/>
    </row>
    <row r="254">
      <c r="A254" s="27" t="n"/>
      <c r="B254" s="23" t="n"/>
      <c r="C254" s="23" t="n"/>
      <c r="D254" s="28" t="n"/>
      <c r="E254" s="28" t="n"/>
      <c r="F254" s="28" t="n"/>
      <c r="G254" s="28" t="n"/>
      <c r="H254" s="28" t="n"/>
      <c r="I254" s="28" t="n"/>
      <c r="J254" s="22" t="n"/>
      <c r="K254" s="23" t="n"/>
    </row>
    <row r="255">
      <c r="A255" s="27" t="n"/>
      <c r="B255" s="23" t="n"/>
      <c r="C255" s="23" t="n"/>
      <c r="D255" s="28" t="n"/>
      <c r="E255" s="28" t="n"/>
      <c r="F255" s="28" t="n"/>
      <c r="G255" s="28" t="n"/>
      <c r="H255" s="28" t="n"/>
      <c r="I255" s="28" t="n"/>
      <c r="J255" s="22" t="n"/>
      <c r="K255" s="23" t="n"/>
    </row>
    <row r="256">
      <c r="A256" s="27" t="n"/>
      <c r="B256" s="23" t="n"/>
      <c r="C256" s="23" t="n"/>
      <c r="D256" s="28" t="n"/>
      <c r="E256" s="28" t="n"/>
      <c r="F256" s="28" t="n"/>
      <c r="G256" s="28" t="n"/>
      <c r="H256" s="28" t="n"/>
      <c r="I256" s="28" t="n"/>
      <c r="J256" s="22" t="n"/>
      <c r="K256" s="23" t="n"/>
    </row>
    <row r="257">
      <c r="A257" s="27" t="n"/>
      <c r="B257" s="23" t="n"/>
      <c r="C257" s="23" t="n"/>
      <c r="D257" s="28" t="n"/>
      <c r="E257" s="28" t="n"/>
      <c r="F257" s="28" t="n"/>
      <c r="G257" s="28" t="n"/>
      <c r="H257" s="28" t="n"/>
      <c r="I257" s="28" t="n"/>
      <c r="J257" s="22" t="n"/>
      <c r="K257" s="23" t="n"/>
    </row>
    <row r="258">
      <c r="A258" s="27" t="n"/>
      <c r="B258" s="23" t="n"/>
      <c r="C258" s="23" t="n"/>
      <c r="D258" s="28" t="n"/>
      <c r="E258" s="28" t="n"/>
      <c r="F258" s="28" t="n"/>
      <c r="G258" s="28" t="n"/>
      <c r="H258" s="28" t="n"/>
      <c r="I258" s="28" t="n"/>
      <c r="J258" s="22" t="n"/>
      <c r="K258" s="23" t="n"/>
    </row>
    <row r="259">
      <c r="A259" s="27" t="n"/>
      <c r="B259" s="23" t="n"/>
      <c r="C259" s="23" t="n"/>
      <c r="D259" s="28" t="n"/>
      <c r="E259" s="28" t="n"/>
      <c r="F259" s="28" t="n"/>
      <c r="G259" s="28" t="n"/>
      <c r="H259" s="28" t="n"/>
      <c r="I259" s="28" t="n"/>
      <c r="J259" s="22" t="n"/>
      <c r="K259" s="23" t="n"/>
    </row>
    <row r="260">
      <c r="A260" s="27" t="n"/>
      <c r="B260" s="23" t="n"/>
      <c r="C260" s="23" t="n"/>
      <c r="D260" s="28" t="n"/>
      <c r="E260" s="28" t="n"/>
      <c r="F260" s="28" t="n"/>
      <c r="G260" s="28" t="n"/>
      <c r="H260" s="28" t="n"/>
      <c r="I260" s="28" t="n"/>
      <c r="J260" s="22" t="n"/>
      <c r="K260" s="23" t="n"/>
    </row>
    <row r="261">
      <c r="A261" s="27" t="n"/>
      <c r="B261" s="23" t="n"/>
      <c r="C261" s="23" t="n"/>
      <c r="D261" s="28" t="n"/>
      <c r="E261" s="28" t="n"/>
      <c r="F261" s="28" t="n"/>
      <c r="G261" s="28" t="n"/>
      <c r="H261" s="28" t="n"/>
      <c r="I261" s="28" t="n"/>
      <c r="J261" s="22" t="n"/>
      <c r="K261" s="23" t="n"/>
    </row>
    <row r="262">
      <c r="A262" s="27" t="n"/>
      <c r="B262" s="23" t="n"/>
      <c r="C262" s="23" t="n"/>
      <c r="D262" s="28" t="n"/>
      <c r="E262" s="28" t="n"/>
      <c r="F262" s="28" t="n"/>
      <c r="G262" s="28" t="n"/>
      <c r="H262" s="28" t="n"/>
      <c r="I262" s="28" t="n"/>
      <c r="J262" s="22" t="n"/>
      <c r="K262" s="23" t="n"/>
    </row>
    <row r="263">
      <c r="A263" s="27" t="n"/>
      <c r="B263" s="23" t="n"/>
      <c r="C263" s="23" t="n"/>
      <c r="D263" s="28" t="n"/>
      <c r="E263" s="28" t="n"/>
      <c r="F263" s="28" t="n"/>
      <c r="G263" s="28" t="n"/>
      <c r="H263" s="28" t="n"/>
      <c r="I263" s="28" t="n"/>
      <c r="J263" s="22" t="n"/>
      <c r="K263" s="23" t="n"/>
    </row>
    <row r="264">
      <c r="A264" s="27" t="n"/>
      <c r="B264" s="23" t="n"/>
      <c r="C264" s="23" t="n"/>
      <c r="D264" s="28" t="n"/>
      <c r="E264" s="28" t="n"/>
      <c r="F264" s="28" t="n"/>
      <c r="G264" s="28" t="n"/>
      <c r="H264" s="28" t="n"/>
      <c r="I264" s="28" t="n"/>
      <c r="J264" s="22" t="n"/>
      <c r="K264" s="23" t="n"/>
    </row>
    <row r="265">
      <c r="A265" s="27" t="n"/>
      <c r="B265" s="23" t="n"/>
      <c r="C265" s="23" t="n"/>
      <c r="D265" s="28" t="n"/>
      <c r="E265" s="28" t="n"/>
      <c r="F265" s="28" t="n"/>
      <c r="G265" s="28" t="n"/>
      <c r="H265" s="28" t="n"/>
      <c r="I265" s="28" t="n"/>
      <c r="J265" s="22" t="n"/>
      <c r="K265" s="23" t="n"/>
    </row>
    <row r="266">
      <c r="A266" s="27" t="n"/>
      <c r="B266" s="23" t="n"/>
      <c r="C266" s="23" t="n"/>
      <c r="D266" s="28" t="n"/>
      <c r="E266" s="28" t="n"/>
      <c r="F266" s="28" t="n"/>
      <c r="G266" s="28" t="n"/>
      <c r="H266" s="28" t="n"/>
      <c r="I266" s="28" t="n"/>
      <c r="J266" s="22" t="n"/>
      <c r="K266" s="23" t="n"/>
    </row>
    <row r="267">
      <c r="A267" s="27" t="n"/>
      <c r="B267" s="23" t="n"/>
      <c r="C267" s="23" t="n"/>
      <c r="D267" s="28" t="n"/>
      <c r="E267" s="28" t="n"/>
      <c r="F267" s="28" t="n"/>
      <c r="G267" s="28" t="n"/>
      <c r="H267" s="28" t="n"/>
      <c r="I267" s="28" t="n"/>
      <c r="J267" s="22" t="n"/>
      <c r="K267" s="23" t="n"/>
    </row>
    <row r="268">
      <c r="A268" s="27" t="n"/>
      <c r="B268" s="23" t="n"/>
      <c r="C268" s="23" t="n"/>
      <c r="D268" s="28" t="n"/>
      <c r="E268" s="28" t="n"/>
      <c r="F268" s="28" t="n"/>
      <c r="G268" s="28" t="n"/>
      <c r="H268" s="28" t="n"/>
      <c r="I268" s="28" t="n"/>
      <c r="J268" s="22" t="n"/>
      <c r="K268" s="23" t="n"/>
    </row>
    <row r="269">
      <c r="A269" s="27" t="n"/>
      <c r="B269" s="23" t="n"/>
      <c r="C269" s="23" t="n"/>
      <c r="D269" s="28" t="n"/>
      <c r="E269" s="28" t="n"/>
      <c r="F269" s="28" t="n"/>
      <c r="G269" s="28" t="n"/>
      <c r="H269" s="28" t="n"/>
      <c r="I269" s="28" t="n"/>
      <c r="J269" s="22" t="n"/>
      <c r="K269" s="23" t="n"/>
    </row>
    <row r="270">
      <c r="A270" s="27" t="n"/>
      <c r="B270" s="23" t="n"/>
      <c r="C270" s="23" t="n"/>
      <c r="D270" s="28" t="n"/>
      <c r="E270" s="28" t="n"/>
      <c r="F270" s="28" t="n"/>
      <c r="G270" s="28" t="n"/>
      <c r="H270" s="28" t="n"/>
      <c r="I270" s="28" t="n"/>
      <c r="J270" s="22" t="n"/>
      <c r="K270" s="23" t="n"/>
    </row>
    <row r="271">
      <c r="A271" s="27" t="n"/>
      <c r="B271" s="23" t="n"/>
      <c r="C271" s="23" t="n"/>
      <c r="D271" s="28" t="n"/>
      <c r="E271" s="28" t="n"/>
      <c r="F271" s="28" t="n"/>
      <c r="G271" s="28" t="n"/>
      <c r="H271" s="28" t="n"/>
      <c r="I271" s="28" t="n"/>
      <c r="J271" s="22" t="n"/>
      <c r="K271" s="23" t="n"/>
    </row>
    <row r="272">
      <c r="A272" s="27" t="n"/>
      <c r="B272" s="23" t="n"/>
      <c r="C272" s="23" t="n"/>
      <c r="D272" s="28" t="n"/>
      <c r="E272" s="28" t="n"/>
      <c r="F272" s="28" t="n"/>
      <c r="G272" s="28" t="n"/>
      <c r="H272" s="28" t="n"/>
      <c r="I272" s="28" t="n"/>
      <c r="J272" s="22" t="n"/>
      <c r="K272" s="23" t="n"/>
    </row>
    <row r="273">
      <c r="A273" s="27" t="n"/>
      <c r="B273" s="23" t="n"/>
      <c r="C273" s="23" t="n"/>
      <c r="D273" s="28" t="n"/>
      <c r="E273" s="28" t="n"/>
      <c r="F273" s="28" t="n"/>
      <c r="G273" s="28" t="n"/>
      <c r="H273" s="28" t="n"/>
      <c r="I273" s="28" t="n"/>
      <c r="J273" s="22" t="n"/>
      <c r="K273" s="23" t="n"/>
    </row>
    <row r="274">
      <c r="A274" s="27" t="n"/>
      <c r="B274" s="23" t="n"/>
      <c r="C274" s="23" t="n"/>
      <c r="D274" s="28" t="n"/>
      <c r="E274" s="28" t="n"/>
      <c r="F274" s="28" t="n"/>
      <c r="G274" s="28" t="n"/>
      <c r="H274" s="28" t="n"/>
      <c r="I274" s="28" t="n"/>
      <c r="J274" s="22" t="n"/>
      <c r="K274" s="23" t="n"/>
    </row>
    <row r="275">
      <c r="A275" s="27" t="n"/>
      <c r="B275" s="23" t="n"/>
      <c r="C275" s="23" t="n"/>
      <c r="D275" s="28" t="n"/>
      <c r="E275" s="28" t="n"/>
      <c r="F275" s="28" t="n"/>
      <c r="G275" s="28" t="n"/>
      <c r="H275" s="28" t="n"/>
      <c r="I275" s="28" t="n"/>
      <c r="J275" s="22" t="n"/>
      <c r="K275" s="23" t="n"/>
    </row>
    <row r="276">
      <c r="A276" s="27" t="n"/>
      <c r="B276" s="23" t="n"/>
      <c r="C276" s="23" t="n"/>
      <c r="D276" s="28" t="n"/>
      <c r="E276" s="28" t="n"/>
      <c r="F276" s="28" t="n"/>
      <c r="G276" s="28" t="n"/>
      <c r="H276" s="28" t="n"/>
      <c r="I276" s="28" t="n"/>
      <c r="J276" s="22" t="n"/>
      <c r="K276" s="23" t="n"/>
    </row>
    <row r="277">
      <c r="A277" s="27" t="n"/>
      <c r="B277" s="23" t="n"/>
      <c r="C277" s="23" t="n"/>
      <c r="D277" s="28" t="n"/>
      <c r="E277" s="28" t="n"/>
      <c r="F277" s="28" t="n"/>
      <c r="G277" s="28" t="n"/>
      <c r="H277" s="28" t="n"/>
      <c r="I277" s="28" t="n"/>
      <c r="J277" s="22" t="n"/>
      <c r="K277" s="23" t="n"/>
    </row>
    <row r="278">
      <c r="A278" s="27" t="n"/>
      <c r="B278" s="23" t="n"/>
      <c r="C278" s="23" t="n"/>
      <c r="D278" s="28" t="n"/>
      <c r="E278" s="28" t="n"/>
      <c r="F278" s="28" t="n"/>
      <c r="G278" s="28" t="n"/>
      <c r="H278" s="28" t="n"/>
      <c r="I278" s="28" t="n"/>
      <c r="J278" s="22" t="n"/>
      <c r="K278" s="23" t="n"/>
    </row>
    <row r="279">
      <c r="A279" s="27" t="n"/>
      <c r="B279" s="23" t="n"/>
      <c r="C279" s="23" t="n"/>
      <c r="D279" s="28" t="n"/>
      <c r="E279" s="28" t="n"/>
      <c r="F279" s="28" t="n"/>
      <c r="G279" s="28" t="n"/>
      <c r="H279" s="28" t="n"/>
      <c r="I279" s="28" t="n"/>
      <c r="J279" s="22" t="n"/>
      <c r="K279" s="23" t="n"/>
    </row>
    <row r="280">
      <c r="A280" s="27" t="n"/>
      <c r="B280" s="23" t="n"/>
      <c r="C280" s="23" t="n"/>
      <c r="D280" s="28" t="n"/>
      <c r="E280" s="28" t="n"/>
      <c r="F280" s="28" t="n"/>
      <c r="G280" s="28" t="n"/>
      <c r="H280" s="28" t="n"/>
      <c r="I280" s="28" t="n"/>
      <c r="J280" s="22" t="n"/>
      <c r="K280" s="23" t="n"/>
    </row>
    <row r="281">
      <c r="A281" s="27" t="n"/>
      <c r="B281" s="23" t="n"/>
      <c r="C281" s="23" t="n"/>
      <c r="D281" s="28" t="n"/>
      <c r="E281" s="28" t="n"/>
      <c r="F281" s="28" t="n"/>
      <c r="G281" s="28" t="n"/>
      <c r="H281" s="28" t="n"/>
      <c r="I281" s="28" t="n"/>
      <c r="J281" s="22" t="n"/>
      <c r="K281" s="23" t="n"/>
    </row>
    <row r="282">
      <c r="A282" s="27" t="n"/>
      <c r="B282" s="23" t="n"/>
      <c r="C282" s="23" t="n"/>
      <c r="D282" s="28" t="n"/>
      <c r="E282" s="28" t="n"/>
      <c r="F282" s="28" t="n"/>
      <c r="G282" s="28" t="n"/>
      <c r="H282" s="28" t="n"/>
      <c r="I282" s="28" t="n"/>
      <c r="J282" s="22" t="n"/>
      <c r="K282" s="23" t="n"/>
    </row>
    <row r="283">
      <c r="A283" s="27" t="n"/>
      <c r="B283" s="23" t="n"/>
      <c r="C283" s="23" t="n"/>
      <c r="D283" s="28" t="n"/>
      <c r="E283" s="28" t="n"/>
      <c r="F283" s="28" t="n"/>
      <c r="G283" s="28" t="n"/>
      <c r="H283" s="28" t="n"/>
      <c r="I283" s="28" t="n"/>
      <c r="J283" s="22" t="n"/>
      <c r="K283" s="23" t="n"/>
    </row>
    <row r="284">
      <c r="A284" s="27" t="n"/>
      <c r="B284" s="23" t="n"/>
      <c r="C284" s="23" t="n"/>
      <c r="D284" s="28" t="n"/>
      <c r="E284" s="28" t="n"/>
      <c r="F284" s="28" t="n"/>
      <c r="G284" s="28" t="n"/>
      <c r="H284" s="28" t="n"/>
      <c r="I284" s="28" t="n"/>
      <c r="J284" s="22" t="n"/>
      <c r="K284" s="23" t="n"/>
    </row>
    <row r="285">
      <c r="A285" s="27" t="n"/>
      <c r="B285" s="23" t="n"/>
      <c r="C285" s="23" t="n"/>
      <c r="D285" s="28" t="n"/>
      <c r="E285" s="28" t="n"/>
      <c r="F285" s="28" t="n"/>
      <c r="G285" s="28" t="n"/>
      <c r="H285" s="28" t="n"/>
      <c r="I285" s="28" t="n"/>
      <c r="J285" s="22" t="n"/>
      <c r="K285" s="23" t="n"/>
    </row>
    <row r="286">
      <c r="A286" s="27" t="n"/>
      <c r="B286" s="23" t="n"/>
      <c r="C286" s="23" t="n"/>
      <c r="D286" s="28" t="n"/>
      <c r="E286" s="28" t="n"/>
      <c r="F286" s="28" t="n"/>
      <c r="G286" s="28" t="n"/>
      <c r="H286" s="28" t="n"/>
      <c r="I286" s="28" t="n"/>
      <c r="J286" s="22" t="n"/>
      <c r="K286" s="23" t="n"/>
    </row>
    <row r="287">
      <c r="A287" s="27" t="n"/>
      <c r="B287" s="23" t="n"/>
      <c r="C287" s="23" t="n"/>
      <c r="D287" s="28" t="n"/>
      <c r="E287" s="28" t="n"/>
      <c r="F287" s="28" t="n"/>
      <c r="G287" s="28" t="n"/>
      <c r="H287" s="28" t="n"/>
      <c r="I287" s="28" t="n"/>
      <c r="J287" s="22" t="n"/>
      <c r="K287" s="23" t="n"/>
    </row>
    <row r="288">
      <c r="A288" s="27" t="n"/>
      <c r="B288" s="23" t="n"/>
      <c r="C288" s="23" t="n"/>
      <c r="D288" s="28" t="n"/>
      <c r="E288" s="28" t="n"/>
      <c r="F288" s="28" t="n"/>
      <c r="G288" s="28" t="n"/>
      <c r="H288" s="28" t="n"/>
      <c r="I288" s="28" t="n"/>
      <c r="J288" s="22" t="n"/>
      <c r="K288" s="23" t="n"/>
    </row>
    <row r="289">
      <c r="A289" s="27" t="n"/>
      <c r="B289" s="23" t="n"/>
      <c r="C289" s="23" t="n"/>
      <c r="D289" s="28" t="n"/>
      <c r="E289" s="28" t="n"/>
      <c r="F289" s="28" t="n"/>
      <c r="G289" s="28" t="n"/>
      <c r="H289" s="28" t="n"/>
      <c r="I289" s="28" t="n"/>
      <c r="J289" s="22" t="n"/>
      <c r="K289" s="23" t="n"/>
    </row>
    <row r="290">
      <c r="A290" s="27" t="n"/>
      <c r="B290" s="23" t="n"/>
      <c r="C290" s="23" t="n"/>
      <c r="D290" s="28" t="n"/>
      <c r="E290" s="28" t="n"/>
      <c r="F290" s="28" t="n"/>
      <c r="G290" s="28" t="n"/>
      <c r="H290" s="28" t="n"/>
      <c r="I290" s="28" t="n"/>
      <c r="J290" s="22" t="n"/>
      <c r="K290" s="23" t="n"/>
    </row>
    <row r="291">
      <c r="A291" s="27" t="n"/>
      <c r="B291" s="23" t="n"/>
      <c r="C291" s="23" t="n"/>
      <c r="D291" s="28" t="n"/>
      <c r="E291" s="28" t="n"/>
      <c r="F291" s="28" t="n"/>
      <c r="G291" s="28" t="n"/>
      <c r="H291" s="28" t="n"/>
      <c r="I291" s="28" t="n"/>
      <c r="J291" s="22" t="n"/>
      <c r="K291" s="23" t="n"/>
    </row>
    <row r="292">
      <c r="A292" s="27" t="n"/>
      <c r="B292" s="23" t="n"/>
      <c r="C292" s="23" t="n"/>
      <c r="D292" s="28" t="n"/>
      <c r="E292" s="28" t="n"/>
      <c r="F292" s="28" t="n"/>
      <c r="G292" s="28" t="n"/>
      <c r="H292" s="28" t="n"/>
      <c r="I292" s="28" t="n"/>
      <c r="J292" s="22" t="n"/>
      <c r="K292" s="23" t="n"/>
    </row>
    <row r="293">
      <c r="A293" s="27" t="n"/>
      <c r="B293" s="23" t="n"/>
      <c r="C293" s="23" t="n"/>
      <c r="D293" s="28" t="n"/>
      <c r="E293" s="28" t="n"/>
      <c r="F293" s="28" t="n"/>
      <c r="G293" s="28" t="n"/>
      <c r="H293" s="28" t="n"/>
      <c r="I293" s="28" t="n"/>
      <c r="J293" s="22" t="n"/>
      <c r="K293" s="23" t="n"/>
    </row>
    <row r="294">
      <c r="A294" s="27" t="n"/>
      <c r="B294" s="23" t="n"/>
      <c r="C294" s="23" t="n"/>
      <c r="D294" s="28" t="n"/>
      <c r="E294" s="28" t="n"/>
      <c r="F294" s="28" t="n"/>
      <c r="G294" s="28" t="n"/>
      <c r="H294" s="28" t="n"/>
      <c r="I294" s="28" t="n"/>
      <c r="J294" s="22" t="n"/>
      <c r="K294" s="23" t="n"/>
    </row>
    <row r="295">
      <c r="A295" s="27" t="n"/>
      <c r="B295" s="23" t="n"/>
      <c r="C295" s="23" t="n"/>
      <c r="D295" s="28" t="n"/>
      <c r="E295" s="28" t="n"/>
      <c r="F295" s="28" t="n"/>
      <c r="G295" s="28" t="n"/>
      <c r="H295" s="28" t="n"/>
      <c r="I295" s="28" t="n"/>
      <c r="J295" s="22" t="n"/>
      <c r="K295" s="23" t="n"/>
    </row>
    <row r="296">
      <c r="A296" s="27" t="n"/>
      <c r="B296" s="23" t="n"/>
      <c r="C296" s="23" t="n"/>
      <c r="D296" s="28" t="n"/>
      <c r="E296" s="28" t="n"/>
      <c r="F296" s="28" t="n"/>
      <c r="G296" s="28" t="n"/>
      <c r="H296" s="28" t="n"/>
      <c r="I296" s="28" t="n"/>
      <c r="J296" s="22" t="n"/>
      <c r="K296" s="23" t="n"/>
    </row>
    <row r="297">
      <c r="A297" s="27" t="n"/>
      <c r="B297" s="23" t="n"/>
      <c r="C297" s="23" t="n"/>
      <c r="D297" s="28" t="n"/>
      <c r="E297" s="28" t="n"/>
      <c r="F297" s="28" t="n"/>
      <c r="G297" s="28" t="n"/>
      <c r="H297" s="28" t="n"/>
      <c r="I297" s="28" t="n"/>
      <c r="J297" s="22" t="n"/>
      <c r="K297" s="23" t="n"/>
    </row>
    <row r="298">
      <c r="A298" s="27" t="n"/>
      <c r="B298" s="23" t="n"/>
      <c r="C298" s="23" t="n"/>
      <c r="D298" s="28" t="n"/>
      <c r="E298" s="28" t="n"/>
      <c r="F298" s="28" t="n"/>
      <c r="G298" s="28" t="n"/>
      <c r="H298" s="28" t="n"/>
      <c r="I298" s="28" t="n"/>
      <c r="J298" s="22" t="n"/>
      <c r="K298" s="23" t="n"/>
    </row>
    <row r="299">
      <c r="A299" s="27" t="n"/>
      <c r="B299" s="23" t="n"/>
      <c r="C299" s="23" t="n"/>
      <c r="D299" s="28" t="n"/>
      <c r="E299" s="28" t="n"/>
      <c r="F299" s="28" t="n"/>
      <c r="G299" s="28" t="n"/>
      <c r="H299" s="28" t="n"/>
      <c r="I299" s="28" t="n"/>
      <c r="J299" s="22" t="n"/>
      <c r="K299" s="23" t="n"/>
    </row>
    <row r="300">
      <c r="A300" s="27" t="n"/>
      <c r="B300" s="23" t="n"/>
      <c r="C300" s="23" t="n"/>
      <c r="D300" s="28" t="n"/>
      <c r="E300" s="28" t="n"/>
      <c r="F300" s="28" t="n"/>
      <c r="G300" s="28" t="n"/>
      <c r="H300" s="28" t="n"/>
      <c r="I300" s="28" t="n"/>
      <c r="J300" s="22" t="n"/>
      <c r="K300" s="23" t="n"/>
    </row>
    <row r="301">
      <c r="A301" s="27" t="n"/>
      <c r="B301" s="23" t="n"/>
      <c r="C301" s="23" t="n"/>
      <c r="D301" s="28" t="n"/>
      <c r="E301" s="28" t="n"/>
      <c r="F301" s="28" t="n"/>
      <c r="G301" s="28" t="n"/>
      <c r="H301" s="28" t="n"/>
      <c r="I301" s="28" t="n"/>
      <c r="J301" s="22" t="n"/>
      <c r="K301" s="23" t="n"/>
    </row>
    <row r="302">
      <c r="A302" s="27" t="n"/>
      <c r="B302" s="23" t="n"/>
      <c r="C302" s="23" t="n"/>
      <c r="D302" s="28" t="n"/>
      <c r="E302" s="28" t="n"/>
      <c r="F302" s="28" t="n"/>
      <c r="G302" s="28" t="n"/>
      <c r="H302" s="28" t="n"/>
      <c r="I302" s="28" t="n"/>
      <c r="J302" s="22" t="n"/>
      <c r="K302" s="23" t="n"/>
    </row>
    <row r="303">
      <c r="A303" s="27" t="n"/>
      <c r="B303" s="23" t="n"/>
      <c r="C303" s="23" t="n"/>
      <c r="D303" s="28" t="n"/>
      <c r="E303" s="28" t="n"/>
      <c r="F303" s="28" t="n"/>
      <c r="G303" s="28" t="n"/>
      <c r="H303" s="28" t="n"/>
      <c r="I303" s="28" t="n"/>
      <c r="J303" s="22" t="n"/>
      <c r="K303" s="23" t="n"/>
    </row>
    <row r="304">
      <c r="A304" s="27" t="n"/>
      <c r="B304" s="23" t="n"/>
      <c r="C304" s="23" t="n"/>
      <c r="D304" s="28" t="n"/>
      <c r="E304" s="28" t="n"/>
      <c r="F304" s="28" t="n"/>
      <c r="G304" s="28" t="n"/>
      <c r="H304" s="28" t="n"/>
      <c r="I304" s="28" t="n"/>
      <c r="J304" s="22" t="n"/>
      <c r="K304" s="23" t="n"/>
    </row>
    <row r="305">
      <c r="A305" s="27" t="n"/>
      <c r="B305" s="23" t="n"/>
      <c r="C305" s="23" t="n"/>
      <c r="D305" s="28" t="n"/>
      <c r="E305" s="28" t="n"/>
      <c r="F305" s="28" t="n"/>
      <c r="G305" s="28" t="n"/>
      <c r="H305" s="28" t="n"/>
      <c r="I305" s="28" t="n"/>
      <c r="J305" s="22" t="n"/>
      <c r="K305" s="23" t="n"/>
    </row>
    <row r="306">
      <c r="A306" s="27" t="n"/>
      <c r="B306" s="23" t="n"/>
      <c r="C306" s="23" t="n"/>
      <c r="D306" s="28" t="n"/>
      <c r="E306" s="28" t="n"/>
      <c r="F306" s="28" t="n"/>
      <c r="G306" s="28" t="n"/>
      <c r="H306" s="28" t="n"/>
      <c r="I306" s="28" t="n"/>
      <c r="J306" s="22" t="n"/>
      <c r="K306" s="23" t="n"/>
    </row>
    <row r="307">
      <c r="A307" s="27" t="n"/>
      <c r="B307" s="23" t="n"/>
      <c r="C307" s="23" t="n"/>
      <c r="D307" s="28" t="n"/>
      <c r="E307" s="28" t="n"/>
      <c r="F307" s="28" t="n"/>
      <c r="G307" s="28" t="n"/>
      <c r="H307" s="28" t="n"/>
      <c r="I307" s="28" t="n"/>
      <c r="J307" s="22" t="n"/>
      <c r="K307" s="23" t="n"/>
    </row>
    <row r="308">
      <c r="A308" s="27" t="n"/>
      <c r="B308" s="23" t="n"/>
      <c r="C308" s="23" t="n"/>
      <c r="D308" s="28" t="n"/>
      <c r="E308" s="28" t="n"/>
      <c r="F308" s="28" t="n"/>
      <c r="G308" s="28" t="n"/>
      <c r="H308" s="28" t="n"/>
      <c r="I308" s="28" t="n"/>
      <c r="J308" s="22" t="n"/>
      <c r="K308" s="23" t="n"/>
    </row>
    <row r="309">
      <c r="A309" s="27" t="n"/>
      <c r="B309" s="23" t="n"/>
      <c r="C309" s="23" t="n"/>
      <c r="D309" s="28" t="n"/>
      <c r="E309" s="28" t="n"/>
      <c r="F309" s="28" t="n"/>
      <c r="G309" s="28" t="n"/>
      <c r="H309" s="28" t="n"/>
      <c r="I309" s="28" t="n"/>
      <c r="J309" s="22" t="n"/>
      <c r="K309" s="23" t="n"/>
    </row>
    <row r="310">
      <c r="A310" s="27" t="n"/>
      <c r="B310" s="23" t="n"/>
      <c r="C310" s="23" t="n"/>
      <c r="D310" s="28" t="n"/>
      <c r="E310" s="28" t="n"/>
      <c r="F310" s="28" t="n"/>
      <c r="G310" s="28" t="n"/>
      <c r="H310" s="28" t="n"/>
      <c r="I310" s="28" t="n"/>
      <c r="J310" s="22" t="n"/>
      <c r="K310" s="23" t="n"/>
    </row>
    <row r="311">
      <c r="A311" s="27" t="n"/>
      <c r="B311" s="23" t="n"/>
      <c r="C311" s="23" t="n"/>
      <c r="D311" s="28" t="n"/>
      <c r="E311" s="28" t="n"/>
      <c r="F311" s="28" t="n"/>
      <c r="G311" s="28" t="n"/>
      <c r="H311" s="28" t="n"/>
      <c r="I311" s="28" t="n"/>
      <c r="J311" s="22" t="n"/>
      <c r="K311" s="23" t="n"/>
    </row>
    <row r="312">
      <c r="A312" s="27" t="n"/>
      <c r="B312" s="23" t="n"/>
      <c r="C312" s="23" t="n"/>
      <c r="D312" s="28" t="n"/>
      <c r="E312" s="28" t="n"/>
      <c r="F312" s="28" t="n"/>
      <c r="G312" s="28" t="n"/>
      <c r="H312" s="28" t="n"/>
      <c r="I312" s="28" t="n"/>
      <c r="J312" s="22" t="n"/>
      <c r="K312" s="23" t="n"/>
    </row>
    <row r="313">
      <c r="A313" s="27" t="n"/>
      <c r="B313" s="23" t="n"/>
      <c r="C313" s="23" t="n"/>
      <c r="D313" s="28" t="n"/>
      <c r="E313" s="28" t="n"/>
      <c r="F313" s="28" t="n"/>
      <c r="G313" s="28" t="n"/>
      <c r="H313" s="28" t="n"/>
      <c r="I313" s="28" t="n"/>
      <c r="J313" s="22" t="n"/>
      <c r="K313" s="23" t="n"/>
    </row>
    <row r="314">
      <c r="A314" s="27" t="n"/>
      <c r="B314" s="23" t="n"/>
      <c r="C314" s="23" t="n"/>
      <c r="D314" s="28" t="n"/>
      <c r="E314" s="28" t="n"/>
      <c r="F314" s="28" t="n"/>
      <c r="G314" s="28" t="n"/>
      <c r="H314" s="28" t="n"/>
      <c r="I314" s="28" t="n"/>
      <c r="J314" s="22" t="n"/>
      <c r="K314" s="23" t="n"/>
    </row>
    <row r="315">
      <c r="A315" s="27" t="n"/>
      <c r="B315" s="23" t="n"/>
      <c r="C315" s="23" t="n"/>
      <c r="D315" s="28" t="n"/>
      <c r="E315" s="28" t="n"/>
      <c r="F315" s="28" t="n"/>
      <c r="G315" s="28" t="n"/>
      <c r="H315" s="28" t="n"/>
      <c r="I315" s="28" t="n"/>
      <c r="J315" s="22" t="n"/>
      <c r="K315" s="23" t="n"/>
    </row>
    <row r="316">
      <c r="A316" s="27" t="n"/>
      <c r="B316" s="23" t="n"/>
      <c r="C316" s="23" t="n"/>
      <c r="D316" s="28" t="n"/>
      <c r="E316" s="28" t="n"/>
      <c r="F316" s="28" t="n"/>
      <c r="G316" s="28" t="n"/>
      <c r="H316" s="28" t="n"/>
      <c r="I316" s="28" t="n"/>
      <c r="J316" s="22" t="n"/>
      <c r="K316" s="23" t="n"/>
    </row>
    <row r="317">
      <c r="A317" s="27" t="n"/>
      <c r="B317" s="23" t="n"/>
      <c r="C317" s="23" t="n"/>
      <c r="D317" s="28" t="n"/>
      <c r="E317" s="28" t="n"/>
      <c r="F317" s="28" t="n"/>
      <c r="G317" s="28" t="n"/>
      <c r="H317" s="28" t="n"/>
      <c r="I317" s="28" t="n"/>
      <c r="J317" s="22" t="n"/>
      <c r="K317" s="23" t="n"/>
    </row>
    <row r="318">
      <c r="A318" s="27" t="n"/>
      <c r="B318" s="23" t="n"/>
      <c r="C318" s="23" t="n"/>
      <c r="D318" s="28" t="n"/>
      <c r="E318" s="28" t="n"/>
      <c r="F318" s="28" t="n"/>
      <c r="G318" s="28" t="n"/>
      <c r="H318" s="28" t="n"/>
      <c r="I318" s="28" t="n"/>
      <c r="J318" s="22" t="n"/>
      <c r="K318" s="23" t="n"/>
    </row>
    <row r="319">
      <c r="A319" s="27" t="n"/>
      <c r="B319" s="23" t="n"/>
      <c r="C319" s="23" t="n"/>
      <c r="D319" s="28" t="n"/>
      <c r="E319" s="28" t="n"/>
      <c r="F319" s="28" t="n"/>
      <c r="G319" s="28" t="n"/>
      <c r="H319" s="28" t="n"/>
      <c r="I319" s="28" t="n"/>
      <c r="J319" s="22" t="n"/>
      <c r="K319" s="23" t="n"/>
    </row>
    <row r="320">
      <c r="A320" s="27" t="n"/>
      <c r="B320" s="23" t="n"/>
      <c r="C320" s="23" t="n"/>
      <c r="D320" s="28" t="n"/>
      <c r="E320" s="28" t="n"/>
      <c r="F320" s="28" t="n"/>
      <c r="G320" s="28" t="n"/>
      <c r="H320" s="28" t="n"/>
      <c r="I320" s="28" t="n"/>
      <c r="J320" s="22" t="n"/>
      <c r="K320" s="23" t="n"/>
    </row>
    <row r="321">
      <c r="A321" s="27" t="n"/>
      <c r="B321" s="23" t="n"/>
      <c r="C321" s="23" t="n"/>
      <c r="D321" s="28" t="n"/>
      <c r="E321" s="28" t="n"/>
      <c r="F321" s="28" t="n"/>
      <c r="G321" s="28" t="n"/>
      <c r="H321" s="28" t="n"/>
      <c r="I321" s="28" t="n"/>
      <c r="J321" s="22" t="n"/>
      <c r="K321" s="23" t="n"/>
    </row>
    <row r="322">
      <c r="A322" s="27" t="n"/>
      <c r="B322" s="23" t="n"/>
      <c r="C322" s="23" t="n"/>
      <c r="D322" s="28" t="n"/>
      <c r="E322" s="28" t="n"/>
      <c r="F322" s="28" t="n"/>
      <c r="G322" s="28" t="n"/>
      <c r="H322" s="28" t="n"/>
      <c r="I322" s="28" t="n"/>
      <c r="J322" s="22" t="n"/>
      <c r="K322" s="23" t="n"/>
    </row>
    <row r="323">
      <c r="A323" s="27" t="n"/>
      <c r="B323" s="23" t="n"/>
      <c r="C323" s="23" t="n"/>
      <c r="D323" s="28" t="n"/>
      <c r="E323" s="28" t="n"/>
      <c r="F323" s="28" t="n"/>
      <c r="G323" s="28" t="n"/>
      <c r="H323" s="28" t="n"/>
      <c r="I323" s="28" t="n"/>
      <c r="J323" s="22" t="n"/>
      <c r="K323" s="23" t="n"/>
    </row>
    <row r="324">
      <c r="A324" s="27" t="n"/>
      <c r="B324" s="23" t="n"/>
      <c r="C324" s="23" t="n"/>
      <c r="D324" s="28" t="n"/>
      <c r="E324" s="28" t="n"/>
      <c r="F324" s="28" t="n"/>
      <c r="G324" s="28" t="n"/>
      <c r="H324" s="28" t="n"/>
      <c r="I324" s="28" t="n"/>
      <c r="J324" s="22" t="n"/>
      <c r="K324" s="23" t="n"/>
    </row>
    <row r="325">
      <c r="A325" s="27" t="n"/>
      <c r="B325" s="23" t="n"/>
      <c r="C325" s="23" t="n"/>
      <c r="D325" s="28" t="n"/>
      <c r="E325" s="28" t="n"/>
      <c r="F325" s="28" t="n"/>
      <c r="G325" s="28" t="n"/>
      <c r="H325" s="28" t="n"/>
      <c r="I325" s="28" t="n"/>
      <c r="J325" s="22" t="n"/>
      <c r="K325" s="23" t="n"/>
    </row>
    <row r="326">
      <c r="A326" s="27" t="n"/>
      <c r="B326" s="23" t="n"/>
      <c r="C326" s="23" t="n"/>
      <c r="D326" s="28" t="n"/>
      <c r="E326" s="28" t="n"/>
      <c r="F326" s="28" t="n"/>
      <c r="G326" s="28" t="n"/>
      <c r="H326" s="28" t="n"/>
      <c r="I326" s="28" t="n"/>
      <c r="J326" s="22" t="n"/>
      <c r="K326" s="23" t="n"/>
    </row>
    <row r="327">
      <c r="A327" s="27" t="n"/>
      <c r="B327" s="23" t="n"/>
      <c r="C327" s="23" t="n"/>
      <c r="D327" s="28" t="n"/>
      <c r="E327" s="28" t="n"/>
      <c r="F327" s="28" t="n"/>
      <c r="G327" s="28" t="n"/>
      <c r="H327" s="28" t="n"/>
      <c r="I327" s="28" t="n"/>
      <c r="J327" s="22" t="n"/>
      <c r="K327" s="23" t="n"/>
    </row>
    <row r="328">
      <c r="A328" s="27" t="n"/>
      <c r="B328" s="23" t="n"/>
      <c r="C328" s="23" t="n"/>
      <c r="D328" s="28" t="n"/>
      <c r="E328" s="28" t="n"/>
      <c r="F328" s="28" t="n"/>
      <c r="G328" s="28" t="n"/>
      <c r="H328" s="28" t="n"/>
      <c r="I328" s="28" t="n"/>
      <c r="J328" s="22" t="n"/>
      <c r="K328" s="23" t="n"/>
    </row>
    <row r="329">
      <c r="A329" s="27" t="n"/>
      <c r="B329" s="23" t="n"/>
      <c r="C329" s="23" t="n"/>
      <c r="D329" s="28" t="n"/>
      <c r="E329" s="28" t="n"/>
      <c r="F329" s="28" t="n"/>
      <c r="G329" s="28" t="n"/>
      <c r="H329" s="28" t="n"/>
      <c r="I329" s="28" t="n"/>
      <c r="J329" s="22" t="n"/>
      <c r="K329" s="23" t="n"/>
    </row>
    <row r="330">
      <c r="A330" s="27" t="n"/>
      <c r="B330" s="23" t="n"/>
      <c r="C330" s="23" t="n"/>
      <c r="D330" s="28" t="n"/>
      <c r="E330" s="28" t="n"/>
      <c r="F330" s="28" t="n"/>
      <c r="G330" s="28" t="n"/>
      <c r="H330" s="28" t="n"/>
      <c r="I330" s="28" t="n"/>
      <c r="J330" s="22" t="n"/>
      <c r="K330" s="23" t="n"/>
    </row>
    <row r="331">
      <c r="A331" s="27" t="n"/>
      <c r="B331" s="23" t="n"/>
      <c r="C331" s="23" t="n"/>
      <c r="D331" s="28" t="n"/>
      <c r="E331" s="28" t="n"/>
      <c r="F331" s="28" t="n"/>
      <c r="G331" s="28" t="n"/>
      <c r="H331" s="28" t="n"/>
      <c r="I331" s="28" t="n"/>
      <c r="J331" s="22" t="n"/>
      <c r="K331" s="23" t="n"/>
    </row>
    <row r="332">
      <c r="A332" s="27" t="n"/>
      <c r="B332" s="23" t="n"/>
      <c r="C332" s="23" t="n"/>
      <c r="D332" s="28" t="n"/>
      <c r="E332" s="28" t="n"/>
      <c r="F332" s="28" t="n"/>
      <c r="G332" s="28" t="n"/>
      <c r="H332" s="28" t="n"/>
      <c r="I332" s="28" t="n"/>
      <c r="J332" s="22" t="n"/>
      <c r="K332" s="23" t="n"/>
    </row>
    <row r="333">
      <c r="A333" s="27" t="n"/>
      <c r="B333" s="23" t="n"/>
      <c r="C333" s="23" t="n"/>
      <c r="D333" s="28" t="n"/>
      <c r="E333" s="28" t="n"/>
      <c r="F333" s="28" t="n"/>
      <c r="G333" s="28" t="n"/>
      <c r="H333" s="28" t="n"/>
      <c r="I333" s="28" t="n"/>
      <c r="J333" s="22" t="n"/>
      <c r="K333" s="23" t="n"/>
    </row>
    <row r="334">
      <c r="A334" s="27" t="n"/>
      <c r="B334" s="23" t="n"/>
      <c r="C334" s="23" t="n"/>
      <c r="D334" s="28" t="n"/>
      <c r="E334" s="28" t="n"/>
      <c r="F334" s="28" t="n"/>
      <c r="G334" s="28" t="n"/>
      <c r="H334" s="28" t="n"/>
      <c r="I334" s="28" t="n"/>
      <c r="J334" s="22" t="n"/>
      <c r="K334" s="23" t="n"/>
    </row>
    <row r="335">
      <c r="A335" s="27" t="n"/>
      <c r="B335" s="23" t="n"/>
      <c r="C335" s="23" t="n"/>
      <c r="D335" s="28" t="n"/>
      <c r="E335" s="28" t="n"/>
      <c r="F335" s="28" t="n"/>
      <c r="G335" s="28" t="n"/>
      <c r="H335" s="28" t="n"/>
      <c r="I335" s="28" t="n"/>
      <c r="J335" s="22" t="n"/>
      <c r="K335" s="23" t="n"/>
    </row>
    <row r="336">
      <c r="A336" s="27" t="n"/>
      <c r="B336" s="23" t="n"/>
      <c r="C336" s="23" t="n"/>
      <c r="D336" s="28" t="n"/>
      <c r="E336" s="28" t="n"/>
      <c r="F336" s="28" t="n"/>
      <c r="G336" s="28" t="n"/>
      <c r="H336" s="28" t="n"/>
      <c r="I336" s="28" t="n"/>
      <c r="J336" s="22" t="n"/>
      <c r="K336" s="23" t="n"/>
    </row>
    <row r="337">
      <c r="A337" s="27" t="n"/>
      <c r="B337" s="23" t="n"/>
      <c r="C337" s="23" t="n"/>
      <c r="D337" s="28" t="n"/>
      <c r="E337" s="28" t="n"/>
      <c r="F337" s="28" t="n"/>
      <c r="G337" s="28" t="n"/>
      <c r="H337" s="28" t="n"/>
      <c r="I337" s="28" t="n"/>
      <c r="J337" s="22" t="n"/>
      <c r="K337" s="23" t="n"/>
    </row>
    <row r="338">
      <c r="A338" s="27" t="n"/>
      <c r="B338" s="23" t="n"/>
      <c r="C338" s="23" t="n"/>
      <c r="D338" s="28" t="n"/>
      <c r="E338" s="28" t="n"/>
      <c r="F338" s="28" t="n"/>
      <c r="G338" s="28" t="n"/>
      <c r="H338" s="28" t="n"/>
      <c r="I338" s="28" t="n"/>
      <c r="J338" s="22" t="n"/>
      <c r="K338" s="23" t="n"/>
    </row>
    <row r="339">
      <c r="A339" s="27" t="n"/>
      <c r="B339" s="23" t="n"/>
      <c r="C339" s="23" t="n"/>
      <c r="D339" s="28" t="n"/>
      <c r="E339" s="28" t="n"/>
      <c r="F339" s="28" t="n"/>
      <c r="G339" s="28" t="n"/>
      <c r="H339" s="28" t="n"/>
      <c r="I339" s="28" t="n"/>
      <c r="J339" s="22" t="n"/>
      <c r="K339" s="23" t="n"/>
    </row>
    <row r="340">
      <c r="A340" s="27" t="n"/>
      <c r="B340" s="23" t="n"/>
      <c r="C340" s="23" t="n"/>
      <c r="D340" s="28" t="n"/>
      <c r="E340" s="28" t="n"/>
      <c r="F340" s="28" t="n"/>
      <c r="G340" s="28" t="n"/>
      <c r="H340" s="28" t="n"/>
      <c r="I340" s="28" t="n"/>
      <c r="J340" s="22" t="n"/>
      <c r="K340" s="23" t="n"/>
    </row>
    <row r="341">
      <c r="A341" s="27" t="n"/>
      <c r="B341" s="23" t="n"/>
      <c r="C341" s="23" t="n"/>
      <c r="D341" s="28" t="n"/>
      <c r="E341" s="28" t="n"/>
      <c r="F341" s="28" t="n"/>
      <c r="G341" s="28" t="n"/>
      <c r="H341" s="28" t="n"/>
      <c r="I341" s="28" t="n"/>
      <c r="J341" s="22" t="n"/>
      <c r="K341" s="23" t="n"/>
    </row>
    <row r="342">
      <c r="A342" s="27" t="n"/>
      <c r="B342" s="23" t="n"/>
      <c r="C342" s="23" t="n"/>
      <c r="D342" s="28" t="n"/>
      <c r="E342" s="28" t="n"/>
      <c r="F342" s="28" t="n"/>
      <c r="G342" s="28" t="n"/>
      <c r="H342" s="28" t="n"/>
      <c r="I342" s="28" t="n"/>
      <c r="J342" s="22" t="n"/>
      <c r="K342" s="23" t="n"/>
    </row>
    <row r="343">
      <c r="A343" s="27" t="n"/>
      <c r="B343" s="23" t="n"/>
      <c r="C343" s="23" t="n"/>
      <c r="D343" s="28" t="n"/>
      <c r="E343" s="28" t="n"/>
      <c r="F343" s="28" t="n"/>
      <c r="G343" s="28" t="n"/>
      <c r="H343" s="28" t="n"/>
      <c r="I343" s="28" t="n"/>
      <c r="J343" s="22" t="n"/>
      <c r="K343" s="23" t="n"/>
    </row>
    <row r="344">
      <c r="A344" s="27" t="n"/>
      <c r="B344" s="23" t="n"/>
      <c r="C344" s="23" t="n"/>
      <c r="D344" s="28" t="n"/>
      <c r="E344" s="28" t="n"/>
      <c r="F344" s="28" t="n"/>
      <c r="G344" s="28" t="n"/>
      <c r="H344" s="28" t="n"/>
      <c r="I344" s="28" t="n"/>
      <c r="J344" s="22" t="n"/>
      <c r="K344" s="23" t="n"/>
    </row>
    <row r="345">
      <c r="A345" s="27" t="n"/>
      <c r="B345" s="23" t="n"/>
      <c r="C345" s="23" t="n"/>
      <c r="D345" s="28" t="n"/>
      <c r="E345" s="28" t="n"/>
      <c r="F345" s="28" t="n"/>
      <c r="G345" s="28" t="n"/>
      <c r="H345" s="28" t="n"/>
      <c r="I345" s="28" t="n"/>
      <c r="J345" s="22" t="n"/>
      <c r="K345" s="23" t="n"/>
    </row>
    <row r="346">
      <c r="A346" s="27" t="n"/>
      <c r="B346" s="23" t="n"/>
      <c r="C346" s="23" t="n"/>
      <c r="D346" s="28" t="n"/>
      <c r="E346" s="28" t="n"/>
      <c r="F346" s="28" t="n"/>
      <c r="G346" s="28" t="n"/>
      <c r="H346" s="28" t="n"/>
      <c r="I346" s="28" t="n"/>
      <c r="J346" s="22" t="n"/>
      <c r="K346" s="23" t="n"/>
    </row>
    <row r="347">
      <c r="A347" s="27" t="n"/>
      <c r="B347" s="23" t="n"/>
      <c r="C347" s="23" t="n"/>
      <c r="D347" s="28" t="n"/>
      <c r="E347" s="28" t="n"/>
      <c r="F347" s="28" t="n"/>
      <c r="G347" s="28" t="n"/>
      <c r="H347" s="28" t="n"/>
      <c r="I347" s="28" t="n"/>
      <c r="J347" s="22" t="n"/>
      <c r="K347" s="23" t="n"/>
    </row>
    <row r="348">
      <c r="A348" s="27" t="n"/>
      <c r="B348" s="23" t="n"/>
      <c r="C348" s="23" t="n"/>
      <c r="D348" s="28" t="n"/>
      <c r="E348" s="28" t="n"/>
      <c r="F348" s="28" t="n"/>
      <c r="G348" s="28" t="n"/>
      <c r="H348" s="28" t="n"/>
      <c r="I348" s="28" t="n"/>
      <c r="J348" s="22" t="n"/>
      <c r="K348" s="23" t="n"/>
    </row>
    <row r="349">
      <c r="A349" s="27" t="n"/>
      <c r="B349" s="23" t="n"/>
      <c r="C349" s="23" t="n"/>
      <c r="D349" s="28" t="n"/>
      <c r="E349" s="28" t="n"/>
      <c r="F349" s="28" t="n"/>
      <c r="G349" s="28" t="n"/>
      <c r="H349" s="28" t="n"/>
      <c r="I349" s="28" t="n"/>
      <c r="J349" s="22" t="n"/>
      <c r="K349" s="23" t="n"/>
    </row>
    <row r="350">
      <c r="A350" s="27" t="n"/>
      <c r="B350" s="23" t="n"/>
      <c r="C350" s="23" t="n"/>
      <c r="D350" s="28" t="n"/>
      <c r="E350" s="28" t="n"/>
      <c r="F350" s="28" t="n"/>
      <c r="G350" s="28" t="n"/>
      <c r="H350" s="28" t="n"/>
      <c r="I350" s="28" t="n"/>
      <c r="J350" s="22" t="n"/>
      <c r="K350" s="23" t="n"/>
    </row>
    <row r="351">
      <c r="A351" s="27" t="n"/>
      <c r="B351" s="23" t="n"/>
      <c r="C351" s="23" t="n"/>
      <c r="D351" s="28" t="n"/>
      <c r="E351" s="28" t="n"/>
      <c r="F351" s="28" t="n"/>
      <c r="G351" s="28" t="n"/>
      <c r="H351" s="28" t="n"/>
      <c r="I351" s="28" t="n"/>
      <c r="J351" s="22" t="n"/>
      <c r="K351" s="23" t="n"/>
    </row>
    <row r="352">
      <c r="A352" s="27" t="n"/>
      <c r="B352" s="23" t="n"/>
      <c r="C352" s="23" t="n"/>
      <c r="D352" s="28" t="n"/>
      <c r="E352" s="28" t="n"/>
      <c r="F352" s="28" t="n"/>
      <c r="G352" s="28" t="n"/>
      <c r="H352" s="28" t="n"/>
      <c r="I352" s="28" t="n"/>
      <c r="J352" s="22" t="n"/>
      <c r="K352" s="23" t="n"/>
    </row>
    <row r="353">
      <c r="A353" s="27" t="n"/>
      <c r="B353" s="23" t="n"/>
      <c r="C353" s="23" t="n"/>
      <c r="D353" s="28" t="n"/>
      <c r="E353" s="28" t="n"/>
      <c r="F353" s="28" t="n"/>
      <c r="G353" s="28" t="n"/>
      <c r="H353" s="28" t="n"/>
      <c r="I353" s="28" t="n"/>
      <c r="J353" s="22" t="n"/>
      <c r="K353" s="23" t="n"/>
    </row>
    <row r="354">
      <c r="A354" s="27" t="n"/>
      <c r="B354" s="23" t="n"/>
      <c r="C354" s="23" t="n"/>
      <c r="D354" s="28" t="n"/>
      <c r="E354" s="28" t="n"/>
      <c r="F354" s="28" t="n"/>
      <c r="G354" s="28" t="n"/>
      <c r="H354" s="28" t="n"/>
      <c r="I354" s="28" t="n"/>
      <c r="J354" s="22" t="n"/>
      <c r="K354" s="23" t="n"/>
    </row>
    <row r="355">
      <c r="A355" s="27" t="n"/>
      <c r="B355" s="23" t="n"/>
      <c r="C355" s="23" t="n"/>
      <c r="D355" s="28" t="n"/>
      <c r="E355" s="28" t="n"/>
      <c r="F355" s="28" t="n"/>
      <c r="G355" s="28" t="n"/>
      <c r="H355" s="28" t="n"/>
      <c r="I355" s="28" t="n"/>
      <c r="J355" s="22" t="n"/>
      <c r="K355" s="23" t="n"/>
    </row>
    <row r="356">
      <c r="A356" s="27" t="n"/>
      <c r="B356" s="23" t="n"/>
      <c r="C356" s="23" t="n"/>
      <c r="D356" s="28" t="n"/>
      <c r="E356" s="28" t="n"/>
      <c r="F356" s="28" t="n"/>
      <c r="G356" s="28" t="n"/>
      <c r="H356" s="28" t="n"/>
      <c r="I356" s="28" t="n"/>
      <c r="J356" s="22" t="n"/>
      <c r="K356" s="23" t="n"/>
    </row>
    <row r="357">
      <c r="A357" s="27" t="n"/>
      <c r="B357" s="23" t="n"/>
      <c r="C357" s="23" t="n"/>
      <c r="D357" s="28" t="n"/>
      <c r="E357" s="28" t="n"/>
      <c r="F357" s="28" t="n"/>
      <c r="G357" s="28" t="n"/>
      <c r="H357" s="28" t="n"/>
      <c r="I357" s="28" t="n"/>
      <c r="J357" s="22" t="n"/>
      <c r="K357" s="23" t="n"/>
    </row>
    <row r="358">
      <c r="A358" s="27" t="n"/>
      <c r="B358" s="23" t="n"/>
      <c r="C358" s="23" t="n"/>
      <c r="D358" s="28" t="n"/>
      <c r="E358" s="28" t="n"/>
      <c r="F358" s="28" t="n"/>
      <c r="G358" s="28" t="n"/>
      <c r="H358" s="28" t="n"/>
      <c r="I358" s="28" t="n"/>
      <c r="J358" s="22" t="n"/>
      <c r="K358" s="23" t="n"/>
    </row>
    <row r="359">
      <c r="A359" s="27" t="n"/>
      <c r="B359" s="23" t="n"/>
      <c r="C359" s="23" t="n"/>
      <c r="D359" s="28" t="n"/>
      <c r="E359" s="28" t="n"/>
      <c r="F359" s="28" t="n"/>
      <c r="G359" s="28" t="n"/>
      <c r="H359" s="28" t="n"/>
      <c r="I359" s="28" t="n"/>
      <c r="J359" s="22" t="n"/>
      <c r="K359" s="23" t="n"/>
    </row>
    <row r="360">
      <c r="A360" s="27" t="n"/>
      <c r="B360" s="23" t="n"/>
      <c r="C360" s="23" t="n"/>
      <c r="D360" s="28" t="n"/>
      <c r="E360" s="28" t="n"/>
      <c r="F360" s="28" t="n"/>
      <c r="G360" s="28" t="n"/>
      <c r="H360" s="28" t="n"/>
      <c r="I360" s="28" t="n"/>
      <c r="J360" s="22" t="n"/>
      <c r="K360" s="23" t="n"/>
    </row>
    <row r="361">
      <c r="A361" s="27" t="n"/>
      <c r="B361" s="23" t="n"/>
      <c r="C361" s="23" t="n"/>
      <c r="D361" s="28" t="n"/>
      <c r="E361" s="28" t="n"/>
      <c r="F361" s="28" t="n"/>
      <c r="G361" s="28" t="n"/>
      <c r="H361" s="28" t="n"/>
      <c r="I361" s="28" t="n"/>
      <c r="J361" s="22" t="n"/>
      <c r="K361" s="23" t="n"/>
    </row>
    <row r="362">
      <c r="A362" s="27" t="n"/>
      <c r="B362" s="23" t="n"/>
      <c r="C362" s="23" t="n"/>
      <c r="D362" s="28" t="n"/>
      <c r="E362" s="28" t="n"/>
      <c r="F362" s="28" t="n"/>
      <c r="G362" s="28" t="n"/>
      <c r="H362" s="28" t="n"/>
      <c r="I362" s="28" t="n"/>
      <c r="J362" s="22" t="n"/>
      <c r="K362" s="23" t="n"/>
    </row>
    <row r="363">
      <c r="A363" s="27" t="n"/>
      <c r="B363" s="23" t="n"/>
      <c r="C363" s="23" t="n"/>
      <c r="D363" s="28" t="n"/>
      <c r="E363" s="28" t="n"/>
      <c r="F363" s="28" t="n"/>
      <c r="G363" s="28" t="n"/>
      <c r="H363" s="28" t="n"/>
      <c r="I363" s="28" t="n"/>
      <c r="J363" s="22" t="n"/>
      <c r="K363" s="23" t="n"/>
    </row>
    <row r="364">
      <c r="A364" s="27" t="n"/>
      <c r="B364" s="23" t="n"/>
      <c r="C364" s="23" t="n"/>
      <c r="D364" s="28" t="n"/>
      <c r="E364" s="28" t="n"/>
      <c r="F364" s="28" t="n"/>
      <c r="G364" s="28" t="n"/>
      <c r="H364" s="28" t="n"/>
      <c r="I364" s="28" t="n"/>
      <c r="J364" s="22" t="n"/>
      <c r="K364" s="23" t="n"/>
    </row>
    <row r="365">
      <c r="A365" s="27" t="n"/>
      <c r="B365" s="23" t="n"/>
      <c r="C365" s="23" t="n"/>
      <c r="D365" s="28" t="n"/>
      <c r="E365" s="28" t="n"/>
      <c r="F365" s="28" t="n"/>
      <c r="G365" s="28" t="n"/>
      <c r="H365" s="28" t="n"/>
      <c r="I365" s="28" t="n"/>
      <c r="J365" s="22" t="n"/>
      <c r="K365" s="23" t="n"/>
    </row>
    <row r="366">
      <c r="A366" s="27" t="n"/>
      <c r="B366" s="23" t="n"/>
      <c r="C366" s="23" t="n"/>
      <c r="D366" s="28" t="n"/>
      <c r="E366" s="28" t="n"/>
      <c r="F366" s="28" t="n"/>
      <c r="G366" s="28" t="n"/>
      <c r="H366" s="28" t="n"/>
      <c r="I366" s="28" t="n"/>
      <c r="J366" s="22" t="n"/>
      <c r="K366" s="23" t="n"/>
    </row>
    <row r="367">
      <c r="A367" s="27" t="n"/>
      <c r="B367" s="23" t="n"/>
      <c r="C367" s="23" t="n"/>
      <c r="D367" s="28" t="n"/>
      <c r="E367" s="28" t="n"/>
      <c r="F367" s="28" t="n"/>
      <c r="G367" s="28" t="n"/>
      <c r="H367" s="28" t="n"/>
      <c r="I367" s="28" t="n"/>
      <c r="J367" s="22" t="n"/>
      <c r="K367" s="23" t="n"/>
    </row>
    <row r="368">
      <c r="A368" s="27" t="n"/>
      <c r="B368" s="23" t="n"/>
      <c r="C368" s="23" t="n"/>
      <c r="D368" s="28" t="n"/>
      <c r="E368" s="28" t="n"/>
      <c r="F368" s="28" t="n"/>
      <c r="G368" s="28" t="n"/>
      <c r="H368" s="28" t="n"/>
      <c r="I368" s="28" t="n"/>
      <c r="J368" s="22" t="n"/>
      <c r="K368" s="23" t="n"/>
    </row>
    <row r="369">
      <c r="A369" s="27" t="n"/>
      <c r="B369" s="23" t="n"/>
      <c r="C369" s="23" t="n"/>
      <c r="D369" s="28" t="n"/>
      <c r="E369" s="28" t="n"/>
      <c r="F369" s="28" t="n"/>
      <c r="G369" s="28" t="n"/>
      <c r="H369" s="28" t="n"/>
      <c r="I369" s="28" t="n"/>
      <c r="J369" s="22" t="n"/>
      <c r="K369" s="23" t="n"/>
    </row>
    <row r="370">
      <c r="A370" s="27" t="n"/>
      <c r="B370" s="23" t="n"/>
      <c r="C370" s="23" t="n"/>
      <c r="D370" s="28" t="n"/>
      <c r="E370" s="28" t="n"/>
      <c r="F370" s="28" t="n"/>
      <c r="G370" s="28" t="n"/>
      <c r="H370" s="28" t="n"/>
      <c r="I370" s="28" t="n"/>
      <c r="J370" s="22" t="n"/>
      <c r="K370" s="23" t="n"/>
    </row>
    <row r="371">
      <c r="A371" s="27" t="n"/>
      <c r="B371" s="23" t="n"/>
      <c r="C371" s="23" t="n"/>
      <c r="D371" s="28" t="n"/>
      <c r="E371" s="28" t="n"/>
      <c r="F371" s="28" t="n"/>
      <c r="G371" s="28" t="n"/>
      <c r="H371" s="28" t="n"/>
      <c r="I371" s="28" t="n"/>
      <c r="J371" s="22" t="n"/>
      <c r="K371" s="23" t="n"/>
    </row>
    <row r="372">
      <c r="A372" s="27" t="n"/>
      <c r="B372" s="23" t="n"/>
      <c r="C372" s="23" t="n"/>
      <c r="D372" s="28" t="n"/>
      <c r="E372" s="28" t="n"/>
      <c r="F372" s="28" t="n"/>
      <c r="G372" s="28" t="n"/>
      <c r="H372" s="28" t="n"/>
      <c r="I372" s="28" t="n"/>
      <c r="J372" s="22" t="n"/>
      <c r="K372" s="23" t="n"/>
    </row>
    <row r="373">
      <c r="A373" s="27" t="n"/>
      <c r="B373" s="23" t="n"/>
      <c r="C373" s="23" t="n"/>
      <c r="D373" s="28" t="n"/>
      <c r="E373" s="28" t="n"/>
      <c r="F373" s="28" t="n"/>
      <c r="G373" s="28" t="n"/>
      <c r="H373" s="28" t="n"/>
      <c r="I373" s="28" t="n"/>
      <c r="J373" s="22" t="n"/>
      <c r="K373" s="23" t="n"/>
    </row>
    <row r="374">
      <c r="A374" s="27" t="n"/>
      <c r="B374" s="23" t="n"/>
      <c r="C374" s="23" t="n"/>
      <c r="D374" s="28" t="n"/>
      <c r="E374" s="28" t="n"/>
      <c r="F374" s="28" t="n"/>
      <c r="G374" s="28" t="n"/>
      <c r="H374" s="28" t="n"/>
      <c r="I374" s="28" t="n"/>
      <c r="J374" s="22" t="n"/>
      <c r="K374" s="23" t="n"/>
    </row>
    <row r="375">
      <c r="A375" s="27" t="n"/>
      <c r="B375" s="23" t="n"/>
      <c r="C375" s="23" t="n"/>
      <c r="D375" s="28" t="n"/>
      <c r="E375" s="28" t="n"/>
      <c r="F375" s="28" t="n"/>
      <c r="G375" s="28" t="n"/>
      <c r="H375" s="28" t="n"/>
      <c r="I375" s="28" t="n"/>
      <c r="J375" s="22" t="n"/>
      <c r="K375" s="23" t="n"/>
    </row>
    <row r="376">
      <c r="A376" s="27" t="n"/>
      <c r="B376" s="23" t="n"/>
      <c r="C376" s="23" t="n"/>
      <c r="D376" s="28" t="n"/>
      <c r="E376" s="28" t="n"/>
      <c r="F376" s="28" t="n"/>
      <c r="G376" s="28" t="n"/>
      <c r="H376" s="28" t="n"/>
      <c r="I376" s="28" t="n"/>
      <c r="J376" s="22" t="n"/>
      <c r="K376" s="23" t="n"/>
    </row>
    <row r="377">
      <c r="A377" s="27" t="n"/>
      <c r="B377" s="23" t="n"/>
      <c r="C377" s="23" t="n"/>
      <c r="D377" s="28" t="n"/>
      <c r="E377" s="28" t="n"/>
      <c r="F377" s="28" t="n"/>
      <c r="G377" s="28" t="n"/>
      <c r="H377" s="28" t="n"/>
      <c r="I377" s="28" t="n"/>
      <c r="J377" s="22" t="n"/>
      <c r="K377" s="23" t="n"/>
    </row>
    <row r="378">
      <c r="A378" s="27" t="n"/>
      <c r="B378" s="23" t="n"/>
      <c r="C378" s="23" t="n"/>
      <c r="D378" s="28" t="n"/>
      <c r="E378" s="28" t="n"/>
      <c r="F378" s="28" t="n"/>
      <c r="G378" s="28" t="n"/>
      <c r="H378" s="28" t="n"/>
      <c r="I378" s="28" t="n"/>
      <c r="J378" s="22" t="n"/>
      <c r="K378" s="23" t="n"/>
    </row>
    <row r="379">
      <c r="A379" s="27" t="n"/>
      <c r="B379" s="23" t="n"/>
      <c r="C379" s="23" t="n"/>
      <c r="D379" s="28" t="n"/>
      <c r="E379" s="28" t="n"/>
      <c r="F379" s="28" t="n"/>
      <c r="G379" s="28" t="n"/>
      <c r="H379" s="28" t="n"/>
      <c r="I379" s="28" t="n"/>
      <c r="J379" s="22" t="n"/>
      <c r="K379" s="23" t="n"/>
    </row>
    <row r="380">
      <c r="A380" s="27" t="n"/>
      <c r="B380" s="23" t="n"/>
      <c r="C380" s="23" t="n"/>
      <c r="D380" s="28" t="n"/>
      <c r="E380" s="28" t="n"/>
      <c r="F380" s="28" t="n"/>
      <c r="G380" s="28" t="n"/>
      <c r="H380" s="28" t="n"/>
      <c r="I380" s="28" t="n"/>
      <c r="J380" s="22" t="n"/>
      <c r="K380" s="23" t="n"/>
    </row>
    <row r="381">
      <c r="A381" s="27" t="n"/>
      <c r="B381" s="23" t="n"/>
      <c r="C381" s="23" t="n"/>
      <c r="D381" s="28" t="n"/>
      <c r="E381" s="28" t="n"/>
      <c r="F381" s="28" t="n"/>
      <c r="G381" s="28" t="n"/>
      <c r="H381" s="28" t="n"/>
      <c r="I381" s="28" t="n"/>
      <c r="J381" s="22" t="n"/>
      <c r="K381" s="23" t="n"/>
    </row>
    <row r="382">
      <c r="A382" s="27" t="n"/>
      <c r="B382" s="23" t="n"/>
      <c r="C382" s="23" t="n"/>
      <c r="D382" s="28" t="n"/>
      <c r="E382" s="28" t="n"/>
      <c r="F382" s="28" t="n"/>
      <c r="G382" s="28" t="n"/>
      <c r="H382" s="28" t="n"/>
      <c r="I382" s="28" t="n"/>
      <c r="J382" s="22" t="n"/>
      <c r="K382" s="23" t="n"/>
    </row>
    <row r="383">
      <c r="A383" s="27" t="n"/>
      <c r="B383" s="23" t="n"/>
      <c r="C383" s="23" t="n"/>
      <c r="D383" s="28" t="n"/>
      <c r="E383" s="28" t="n"/>
      <c r="F383" s="28" t="n"/>
      <c r="G383" s="28" t="n"/>
      <c r="H383" s="28" t="n"/>
      <c r="I383" s="28" t="n"/>
      <c r="J383" s="22" t="n"/>
      <c r="K383" s="23" t="n"/>
    </row>
    <row r="384">
      <c r="A384" s="27" t="n"/>
      <c r="B384" s="23" t="n"/>
      <c r="C384" s="23" t="n"/>
      <c r="D384" s="28" t="n"/>
      <c r="E384" s="28" t="n"/>
      <c r="F384" s="28" t="n"/>
      <c r="G384" s="28" t="n"/>
      <c r="H384" s="28" t="n"/>
      <c r="I384" s="28" t="n"/>
      <c r="J384" s="22" t="n"/>
      <c r="K384" s="23" t="n"/>
    </row>
    <row r="385">
      <c r="A385" s="27" t="n"/>
      <c r="B385" s="23" t="n"/>
      <c r="C385" s="23" t="n"/>
      <c r="D385" s="28" t="n"/>
      <c r="E385" s="28" t="n"/>
      <c r="F385" s="28" t="n"/>
      <c r="G385" s="28" t="n"/>
      <c r="H385" s="28" t="n"/>
      <c r="I385" s="28" t="n"/>
      <c r="J385" s="22" t="n"/>
      <c r="K385" s="23" t="n"/>
    </row>
    <row r="386">
      <c r="A386" s="27" t="n"/>
      <c r="B386" s="23" t="n"/>
      <c r="C386" s="23" t="n"/>
      <c r="D386" s="28" t="n"/>
      <c r="E386" s="28" t="n"/>
      <c r="F386" s="28" t="n"/>
      <c r="G386" s="28" t="n"/>
      <c r="H386" s="28" t="n"/>
      <c r="I386" s="28" t="n"/>
      <c r="J386" s="22" t="n"/>
      <c r="K386" s="23" t="n"/>
    </row>
    <row r="387">
      <c r="A387" s="27" t="n"/>
      <c r="B387" s="23" t="n"/>
      <c r="C387" s="23" t="n"/>
      <c r="D387" s="28" t="n"/>
      <c r="E387" s="28" t="n"/>
      <c r="F387" s="28" t="n"/>
      <c r="G387" s="28" t="n"/>
      <c r="H387" s="28" t="n"/>
      <c r="I387" s="28" t="n"/>
      <c r="J387" s="22" t="n"/>
      <c r="K387" s="23" t="n"/>
    </row>
    <row r="388">
      <c r="A388" s="27" t="n"/>
      <c r="B388" s="23" t="n"/>
      <c r="C388" s="23" t="n"/>
      <c r="D388" s="28" t="n"/>
      <c r="E388" s="28" t="n"/>
      <c r="F388" s="28" t="n"/>
      <c r="G388" s="28" t="n"/>
      <c r="H388" s="28" t="n"/>
      <c r="I388" s="28" t="n"/>
      <c r="J388" s="22" t="n"/>
      <c r="K388" s="23" t="n"/>
    </row>
    <row r="389">
      <c r="A389" s="27" t="n"/>
      <c r="B389" s="23" t="n"/>
      <c r="C389" s="23" t="n"/>
      <c r="D389" s="28" t="n"/>
      <c r="E389" s="28" t="n"/>
      <c r="F389" s="28" t="n"/>
      <c r="G389" s="28" t="n"/>
      <c r="H389" s="28" t="n"/>
      <c r="I389" s="28" t="n"/>
      <c r="J389" s="22" t="n"/>
      <c r="K389" s="23" t="n"/>
    </row>
    <row r="390">
      <c r="A390" s="27" t="n"/>
      <c r="B390" s="23" t="n"/>
      <c r="C390" s="23" t="n"/>
      <c r="D390" s="28" t="n"/>
      <c r="E390" s="28" t="n"/>
      <c r="F390" s="28" t="n"/>
      <c r="G390" s="28" t="n"/>
      <c r="H390" s="28" t="n"/>
      <c r="I390" s="28" t="n"/>
      <c r="J390" s="22" t="n"/>
      <c r="K390" s="23" t="n"/>
    </row>
    <row r="391">
      <c r="A391" s="27" t="n"/>
      <c r="B391" s="23" t="n"/>
      <c r="C391" s="23" t="n"/>
      <c r="D391" s="28" t="n"/>
      <c r="E391" s="28" t="n"/>
      <c r="F391" s="28" t="n"/>
      <c r="G391" s="28" t="n"/>
      <c r="H391" s="28" t="n"/>
      <c r="I391" s="28" t="n"/>
      <c r="J391" s="22" t="n"/>
      <c r="K391" s="23" t="n"/>
    </row>
    <row r="392">
      <c r="A392" s="27" t="n"/>
      <c r="B392" s="23" t="n"/>
      <c r="C392" s="23" t="n"/>
      <c r="D392" s="28" t="n"/>
      <c r="E392" s="28" t="n"/>
      <c r="F392" s="28" t="n"/>
      <c r="G392" s="28" t="n"/>
      <c r="H392" s="28" t="n"/>
      <c r="I392" s="28" t="n"/>
      <c r="J392" s="22" t="n"/>
      <c r="K392" s="23" t="n"/>
    </row>
    <row r="393">
      <c r="A393" s="27" t="n"/>
      <c r="B393" s="23" t="n"/>
      <c r="C393" s="23" t="n"/>
      <c r="D393" s="28" t="n"/>
      <c r="E393" s="28" t="n"/>
      <c r="F393" s="28" t="n"/>
      <c r="G393" s="28" t="n"/>
      <c r="H393" s="28" t="n"/>
      <c r="I393" s="28" t="n"/>
      <c r="J393" s="22" t="n"/>
      <c r="K393" s="23" t="n"/>
    </row>
    <row r="394">
      <c r="A394" s="27" t="n"/>
      <c r="B394" s="23" t="n"/>
      <c r="C394" s="23" t="n"/>
      <c r="D394" s="28" t="n"/>
      <c r="E394" s="28" t="n"/>
      <c r="F394" s="28" t="n"/>
      <c r="G394" s="28" t="n"/>
      <c r="H394" s="28" t="n"/>
      <c r="I394" s="28" t="n"/>
      <c r="J394" s="22" t="n"/>
      <c r="K394" s="23" t="n"/>
    </row>
    <row r="395">
      <c r="A395" s="27" t="n"/>
      <c r="B395" s="23" t="n"/>
      <c r="C395" s="23" t="n"/>
      <c r="D395" s="28" t="n"/>
      <c r="E395" s="28" t="n"/>
      <c r="F395" s="28" t="n"/>
      <c r="G395" s="28" t="n"/>
      <c r="H395" s="28" t="n"/>
      <c r="I395" s="28" t="n"/>
      <c r="J395" s="22" t="n"/>
      <c r="K395" s="23" t="n"/>
    </row>
    <row r="396">
      <c r="A396" s="27" t="n"/>
      <c r="B396" s="23" t="n"/>
      <c r="C396" s="23" t="n"/>
      <c r="D396" s="28" t="n"/>
      <c r="E396" s="28" t="n"/>
      <c r="F396" s="28" t="n"/>
      <c r="G396" s="28" t="n"/>
      <c r="H396" s="28" t="n"/>
      <c r="I396" s="28" t="n"/>
      <c r="J396" s="22" t="n"/>
      <c r="K396" s="23" t="n"/>
    </row>
    <row r="397">
      <c r="A397" s="27" t="n"/>
      <c r="B397" s="23" t="n"/>
      <c r="C397" s="23" t="n"/>
      <c r="D397" s="28" t="n"/>
      <c r="E397" s="28" t="n"/>
      <c r="F397" s="28" t="n"/>
      <c r="G397" s="28" t="n"/>
      <c r="H397" s="28" t="n"/>
      <c r="I397" s="28" t="n"/>
      <c r="J397" s="22" t="n"/>
      <c r="K397" s="23" t="n"/>
    </row>
    <row r="398">
      <c r="A398" s="27" t="n"/>
      <c r="B398" s="23" t="n"/>
      <c r="C398" s="23" t="n"/>
      <c r="D398" s="28" t="n"/>
      <c r="E398" s="28" t="n"/>
      <c r="F398" s="28" t="n"/>
      <c r="G398" s="28" t="n"/>
      <c r="H398" s="28" t="n"/>
      <c r="I398" s="28" t="n"/>
      <c r="J398" s="22" t="n"/>
      <c r="K398" s="23" t="n"/>
    </row>
    <row r="399">
      <c r="A399" s="27" t="n"/>
      <c r="B399" s="23" t="n"/>
      <c r="C399" s="23" t="n"/>
      <c r="D399" s="28" t="n"/>
      <c r="E399" s="28" t="n"/>
      <c r="F399" s="28" t="n"/>
      <c r="G399" s="28" t="n"/>
      <c r="H399" s="28" t="n"/>
      <c r="I399" s="28" t="n"/>
      <c r="J399" s="22" t="n"/>
      <c r="K399" s="23" t="n"/>
    </row>
    <row r="400">
      <c r="A400" s="27" t="n"/>
      <c r="B400" s="23" t="n"/>
      <c r="C400" s="23" t="n"/>
      <c r="D400" s="28" t="n"/>
      <c r="E400" s="28" t="n"/>
      <c r="F400" s="28" t="n"/>
      <c r="G400" s="28" t="n"/>
      <c r="H400" s="28" t="n"/>
      <c r="I400" s="28" t="n"/>
      <c r="J400" s="22" t="n"/>
      <c r="K400" s="23" t="n"/>
    </row>
    <row r="401">
      <c r="A401" s="27" t="n"/>
      <c r="B401" s="23" t="n"/>
      <c r="C401" s="23" t="n"/>
      <c r="D401" s="28" t="n"/>
      <c r="E401" s="28" t="n"/>
      <c r="F401" s="28" t="n"/>
      <c r="G401" s="28" t="n"/>
      <c r="H401" s="28" t="n"/>
      <c r="I401" s="28" t="n"/>
      <c r="J401" s="22" t="n"/>
      <c r="K401" s="23" t="n"/>
    </row>
    <row r="402">
      <c r="A402" s="27" t="n"/>
      <c r="B402" s="23" t="n"/>
      <c r="C402" s="23" t="n"/>
      <c r="D402" s="28" t="n"/>
      <c r="E402" s="28" t="n"/>
      <c r="F402" s="28" t="n"/>
      <c r="G402" s="28" t="n"/>
      <c r="H402" s="28" t="n"/>
      <c r="I402" s="28" t="n"/>
      <c r="J402" s="22" t="n"/>
      <c r="K402" s="23" t="n"/>
    </row>
    <row r="403">
      <c r="A403" s="27" t="n"/>
      <c r="B403" s="23" t="n"/>
      <c r="C403" s="23" t="n"/>
      <c r="D403" s="28" t="n"/>
      <c r="E403" s="28" t="n"/>
      <c r="F403" s="28" t="n"/>
      <c r="G403" s="28" t="n"/>
      <c r="H403" s="28" t="n"/>
      <c r="I403" s="28" t="n"/>
      <c r="J403" s="22" t="n"/>
      <c r="K403" s="23" t="n"/>
    </row>
    <row r="404">
      <c r="A404" s="27" t="n"/>
      <c r="B404" s="23" t="n"/>
      <c r="C404" s="23" t="n"/>
      <c r="D404" s="28" t="n"/>
      <c r="E404" s="28" t="n"/>
      <c r="F404" s="28" t="n"/>
      <c r="G404" s="28" t="n"/>
      <c r="H404" s="28" t="n"/>
      <c r="I404" s="28" t="n"/>
      <c r="J404" s="22" t="n"/>
      <c r="K404" s="23" t="n"/>
    </row>
    <row r="405">
      <c r="A405" s="27" t="n"/>
      <c r="B405" s="23" t="n"/>
      <c r="C405" s="23" t="n"/>
      <c r="D405" s="28" t="n"/>
      <c r="E405" s="28" t="n"/>
      <c r="F405" s="28" t="n"/>
      <c r="G405" s="28" t="n"/>
      <c r="H405" s="28" t="n"/>
      <c r="I405" s="28" t="n"/>
      <c r="J405" s="22" t="n"/>
      <c r="K405" s="23" t="n"/>
    </row>
    <row r="406">
      <c r="A406" s="27" t="n"/>
      <c r="B406" s="23" t="n"/>
      <c r="C406" s="23" t="n"/>
      <c r="D406" s="28" t="n"/>
      <c r="E406" s="28" t="n"/>
      <c r="F406" s="28" t="n"/>
      <c r="G406" s="28" t="n"/>
      <c r="H406" s="28" t="n"/>
      <c r="I406" s="28" t="n"/>
      <c r="J406" s="22" t="n"/>
      <c r="K406" s="23" t="n"/>
    </row>
    <row r="407">
      <c r="A407" s="27" t="n"/>
      <c r="B407" s="23" t="n"/>
      <c r="C407" s="23" t="n"/>
      <c r="D407" s="28" t="n"/>
      <c r="E407" s="28" t="n"/>
      <c r="F407" s="28" t="n"/>
      <c r="G407" s="28" t="n"/>
      <c r="H407" s="28" t="n"/>
      <c r="I407" s="28" t="n"/>
      <c r="J407" s="22" t="n"/>
      <c r="K407" s="23" t="n"/>
    </row>
    <row r="408">
      <c r="A408" s="27" t="n"/>
      <c r="B408" s="23" t="n"/>
      <c r="C408" s="23" t="n"/>
      <c r="D408" s="28" t="n"/>
      <c r="E408" s="28" t="n"/>
      <c r="F408" s="28" t="n"/>
      <c r="G408" s="28" t="n"/>
      <c r="H408" s="28" t="n"/>
      <c r="I408" s="28" t="n"/>
      <c r="J408" s="22" t="n"/>
      <c r="K408" s="23" t="n"/>
    </row>
    <row r="409">
      <c r="A409" s="27" t="n"/>
      <c r="B409" s="23" t="n"/>
      <c r="C409" s="23" t="n"/>
      <c r="D409" s="28" t="n"/>
      <c r="E409" s="28" t="n"/>
      <c r="F409" s="28" t="n"/>
      <c r="G409" s="28" t="n"/>
      <c r="H409" s="28" t="n"/>
      <c r="I409" s="28" t="n"/>
      <c r="J409" s="22" t="n"/>
      <c r="K409" s="23" t="n"/>
    </row>
    <row r="410">
      <c r="A410" s="27" t="n"/>
      <c r="B410" s="23" t="n"/>
      <c r="C410" s="23" t="n"/>
      <c r="D410" s="28" t="n"/>
      <c r="E410" s="28" t="n"/>
      <c r="F410" s="28" t="n"/>
      <c r="G410" s="28" t="n"/>
      <c r="H410" s="28" t="n"/>
      <c r="I410" s="28" t="n"/>
      <c r="J410" s="22" t="n"/>
      <c r="K410" s="23" t="n"/>
    </row>
    <row r="411">
      <c r="A411" s="27" t="n"/>
      <c r="B411" s="23" t="n"/>
      <c r="C411" s="23" t="n"/>
      <c r="D411" s="28" t="n"/>
      <c r="E411" s="28" t="n"/>
      <c r="F411" s="28" t="n"/>
      <c r="G411" s="28" t="n"/>
      <c r="H411" s="28" t="n"/>
      <c r="I411" s="28" t="n"/>
      <c r="J411" s="22" t="n"/>
      <c r="K411" s="23" t="n"/>
    </row>
    <row r="412">
      <c r="A412" s="27" t="n"/>
      <c r="B412" s="23" t="n"/>
      <c r="C412" s="23" t="n"/>
      <c r="D412" s="28" t="n"/>
      <c r="E412" s="28" t="n"/>
      <c r="F412" s="28" t="n"/>
      <c r="G412" s="28" t="n"/>
      <c r="H412" s="28" t="n"/>
      <c r="I412" s="28" t="n"/>
      <c r="J412" s="22" t="n"/>
      <c r="K412" s="23" t="n"/>
    </row>
    <row r="413">
      <c r="A413" s="27" t="n"/>
      <c r="B413" s="23" t="n"/>
      <c r="C413" s="23" t="n"/>
      <c r="D413" s="28" t="n"/>
      <c r="E413" s="28" t="n"/>
      <c r="F413" s="28" t="n"/>
      <c r="G413" s="28" t="n"/>
      <c r="H413" s="28" t="n"/>
      <c r="I413" s="28" t="n"/>
      <c r="J413" s="22" t="n"/>
      <c r="K413" s="23" t="n"/>
    </row>
    <row r="414">
      <c r="A414" s="27" t="n"/>
      <c r="B414" s="23" t="n"/>
      <c r="C414" s="23" t="n"/>
      <c r="D414" s="28" t="n"/>
      <c r="E414" s="28" t="n"/>
      <c r="F414" s="28" t="n"/>
      <c r="G414" s="28" t="n"/>
      <c r="H414" s="28" t="n"/>
      <c r="I414" s="28" t="n"/>
      <c r="J414" s="22" t="n"/>
      <c r="K414" s="23" t="n"/>
    </row>
    <row r="415">
      <c r="A415" s="27" t="n"/>
      <c r="B415" s="23" t="n"/>
      <c r="C415" s="23" t="n"/>
      <c r="D415" s="28" t="n"/>
      <c r="E415" s="28" t="n"/>
      <c r="F415" s="28" t="n"/>
      <c r="G415" s="28" t="n"/>
      <c r="H415" s="28" t="n"/>
      <c r="I415" s="28" t="n"/>
      <c r="J415" s="22" t="n"/>
      <c r="K415" s="23" t="n"/>
    </row>
    <row r="416">
      <c r="A416" s="27" t="n"/>
      <c r="B416" s="23" t="n"/>
      <c r="C416" s="23" t="n"/>
      <c r="D416" s="28" t="n"/>
      <c r="E416" s="28" t="n"/>
      <c r="F416" s="28" t="n"/>
      <c r="G416" s="28" t="n"/>
      <c r="H416" s="28" t="n"/>
      <c r="I416" s="28" t="n"/>
      <c r="J416" s="22" t="n"/>
      <c r="K416" s="23" t="n"/>
    </row>
    <row r="417">
      <c r="A417" s="27" t="n"/>
      <c r="B417" s="23" t="n"/>
      <c r="C417" s="23" t="n"/>
      <c r="D417" s="28" t="n"/>
      <c r="E417" s="28" t="n"/>
      <c r="F417" s="28" t="n"/>
      <c r="G417" s="28" t="n"/>
      <c r="H417" s="28" t="n"/>
      <c r="I417" s="28" t="n"/>
      <c r="J417" s="22" t="n"/>
      <c r="K417" s="23" t="n"/>
    </row>
    <row r="418">
      <c r="A418" s="27" t="n"/>
      <c r="B418" s="23" t="n"/>
      <c r="C418" s="23" t="n"/>
      <c r="D418" s="28" t="n"/>
      <c r="E418" s="28" t="n"/>
      <c r="F418" s="28" t="n"/>
      <c r="G418" s="28" t="n"/>
      <c r="H418" s="28" t="n"/>
      <c r="I418" s="28" t="n"/>
      <c r="J418" s="22" t="n"/>
      <c r="K418" s="23" t="n"/>
    </row>
    <row r="419">
      <c r="A419" s="27" t="n"/>
      <c r="B419" s="23" t="n"/>
      <c r="C419" s="23" t="n"/>
      <c r="D419" s="28" t="n"/>
      <c r="E419" s="28" t="n"/>
      <c r="F419" s="28" t="n"/>
      <c r="G419" s="28" t="n"/>
      <c r="H419" s="28" t="n"/>
      <c r="I419" s="28" t="n"/>
      <c r="J419" s="22" t="n"/>
      <c r="K419" s="23" t="n"/>
    </row>
    <row r="420">
      <c r="A420" s="27" t="n"/>
      <c r="B420" s="23" t="n"/>
      <c r="C420" s="23" t="n"/>
      <c r="D420" s="28" t="n"/>
      <c r="E420" s="28" t="n"/>
      <c r="F420" s="28" t="n"/>
      <c r="G420" s="28" t="n"/>
      <c r="H420" s="28" t="n"/>
      <c r="I420" s="28" t="n"/>
      <c r="J420" s="22" t="n"/>
      <c r="K420" s="23" t="n"/>
    </row>
    <row r="421">
      <c r="A421" s="27" t="n"/>
      <c r="B421" s="23" t="n"/>
      <c r="C421" s="23" t="n"/>
      <c r="D421" s="28" t="n"/>
      <c r="E421" s="28" t="n"/>
      <c r="F421" s="28" t="n"/>
      <c r="G421" s="28" t="n"/>
      <c r="H421" s="28" t="n"/>
      <c r="I421" s="28" t="n"/>
      <c r="J421" s="22" t="n"/>
      <c r="K421" s="23" t="n"/>
    </row>
    <row r="422">
      <c r="A422" s="27" t="n"/>
      <c r="B422" s="23" t="n"/>
      <c r="C422" s="23" t="n"/>
      <c r="D422" s="28" t="n"/>
      <c r="E422" s="28" t="n"/>
      <c r="F422" s="28" t="n"/>
      <c r="G422" s="28" t="n"/>
      <c r="H422" s="28" t="n"/>
      <c r="I422" s="28" t="n"/>
      <c r="J422" s="22" t="n"/>
      <c r="K422" s="23" t="n"/>
    </row>
    <row r="423">
      <c r="A423" s="27" t="n"/>
      <c r="B423" s="23" t="n"/>
      <c r="C423" s="23" t="n"/>
      <c r="D423" s="28" t="n"/>
      <c r="E423" s="28" t="n"/>
      <c r="F423" s="28" t="n"/>
      <c r="G423" s="28" t="n"/>
      <c r="H423" s="28" t="n"/>
      <c r="I423" s="28" t="n"/>
      <c r="J423" s="22" t="n"/>
      <c r="K423" s="23" t="n"/>
    </row>
    <row r="424">
      <c r="A424" s="27" t="n"/>
      <c r="B424" s="23" t="n"/>
      <c r="C424" s="23" t="n"/>
      <c r="D424" s="28" t="n"/>
      <c r="E424" s="28" t="n"/>
      <c r="F424" s="28" t="n"/>
      <c r="G424" s="28" t="n"/>
      <c r="H424" s="28" t="n"/>
      <c r="I424" s="28" t="n"/>
      <c r="J424" s="22" t="n"/>
      <c r="K424" s="23" t="n"/>
    </row>
    <row r="425">
      <c r="A425" s="27" t="n"/>
      <c r="B425" s="23" t="n"/>
      <c r="C425" s="23" t="n"/>
      <c r="D425" s="28" t="n"/>
      <c r="E425" s="28" t="n"/>
      <c r="F425" s="28" t="n"/>
      <c r="G425" s="28" t="n"/>
      <c r="H425" s="28" t="n"/>
      <c r="I425" s="28" t="n"/>
      <c r="J425" s="22" t="n"/>
      <c r="K425" s="23" t="n"/>
    </row>
    <row r="426">
      <c r="A426" s="27" t="n"/>
      <c r="B426" s="23" t="n"/>
      <c r="C426" s="23" t="n"/>
      <c r="D426" s="28" t="n"/>
      <c r="E426" s="28" t="n"/>
      <c r="F426" s="28" t="n"/>
      <c r="G426" s="28" t="n"/>
      <c r="H426" s="28" t="n"/>
      <c r="I426" s="28" t="n"/>
      <c r="J426" s="22" t="n"/>
      <c r="K426" s="23" t="n"/>
    </row>
    <row r="427">
      <c r="A427" s="27" t="n"/>
      <c r="B427" s="23" t="n"/>
      <c r="C427" s="23" t="n"/>
      <c r="D427" s="28" t="n"/>
      <c r="E427" s="28" t="n"/>
      <c r="F427" s="28" t="n"/>
      <c r="G427" s="28" t="n"/>
      <c r="H427" s="28" t="n"/>
      <c r="I427" s="28" t="n"/>
      <c r="J427" s="22" t="n"/>
      <c r="K427" s="23" t="n"/>
    </row>
    <row r="428">
      <c r="A428" s="27" t="n"/>
      <c r="B428" s="23" t="n"/>
      <c r="C428" s="23" t="n"/>
      <c r="D428" s="28" t="n"/>
      <c r="E428" s="28" t="n"/>
      <c r="F428" s="28" t="n"/>
      <c r="G428" s="28" t="n"/>
      <c r="H428" s="28" t="n"/>
      <c r="I428" s="28" t="n"/>
      <c r="J428" s="22" t="n"/>
      <c r="K428" s="23" t="n"/>
    </row>
    <row r="429">
      <c r="A429" s="27" t="n"/>
      <c r="B429" s="23" t="n"/>
      <c r="C429" s="23" t="n"/>
      <c r="D429" s="28" t="n"/>
      <c r="E429" s="28" t="n"/>
      <c r="F429" s="28" t="n"/>
      <c r="G429" s="28" t="n"/>
      <c r="H429" s="28" t="n"/>
      <c r="I429" s="28" t="n"/>
      <c r="J429" s="22" t="n"/>
      <c r="K429" s="23" t="n"/>
    </row>
    <row r="430">
      <c r="A430" s="27" t="n"/>
      <c r="B430" s="23" t="n"/>
      <c r="C430" s="23" t="n"/>
      <c r="D430" s="28" t="n"/>
      <c r="E430" s="28" t="n"/>
      <c r="F430" s="28" t="n"/>
      <c r="G430" s="28" t="n"/>
      <c r="H430" s="28" t="n"/>
      <c r="I430" s="28" t="n"/>
      <c r="J430" s="22" t="n"/>
      <c r="K430" s="23" t="n"/>
    </row>
    <row r="431">
      <c r="A431" s="27" t="n"/>
      <c r="B431" s="23" t="n"/>
      <c r="C431" s="23" t="n"/>
      <c r="D431" s="28" t="n"/>
      <c r="E431" s="28" t="n"/>
      <c r="F431" s="28" t="n"/>
      <c r="G431" s="28" t="n"/>
      <c r="H431" s="28" t="n"/>
      <c r="I431" s="28" t="n"/>
      <c r="J431" s="22" t="n"/>
      <c r="K431" s="23" t="n"/>
    </row>
    <row r="432">
      <c r="A432" s="27" t="n"/>
      <c r="B432" s="23" t="n"/>
      <c r="C432" s="23" t="n"/>
      <c r="D432" s="28" t="n"/>
      <c r="E432" s="28" t="n"/>
      <c r="F432" s="28" t="n"/>
      <c r="G432" s="28" t="n"/>
      <c r="H432" s="28" t="n"/>
      <c r="I432" s="28" t="n"/>
      <c r="J432" s="22" t="n"/>
      <c r="K432" s="23" t="n"/>
    </row>
    <row r="433">
      <c r="A433" s="27" t="n"/>
      <c r="B433" s="23" t="n"/>
      <c r="C433" s="23" t="n"/>
      <c r="D433" s="28" t="n"/>
      <c r="E433" s="28" t="n"/>
      <c r="F433" s="28" t="n"/>
      <c r="G433" s="28" t="n"/>
      <c r="H433" s="28" t="n"/>
      <c r="I433" s="28" t="n"/>
      <c r="J433" s="22" t="n"/>
      <c r="K433" s="23" t="n"/>
    </row>
    <row r="434">
      <c r="A434" s="27" t="n"/>
      <c r="B434" s="23" t="n"/>
      <c r="C434" s="23" t="n"/>
      <c r="D434" s="28" t="n"/>
      <c r="E434" s="28" t="n"/>
      <c r="F434" s="28" t="n"/>
      <c r="G434" s="28" t="n"/>
      <c r="H434" s="28" t="n"/>
      <c r="I434" s="28" t="n"/>
      <c r="J434" s="22" t="n"/>
      <c r="K434" s="23" t="n"/>
    </row>
    <row r="435">
      <c r="A435" s="27" t="n"/>
      <c r="B435" s="23" t="n"/>
      <c r="C435" s="23" t="n"/>
      <c r="D435" s="28" t="n"/>
      <c r="E435" s="28" t="n"/>
      <c r="F435" s="28" t="n"/>
      <c r="G435" s="28" t="n"/>
      <c r="H435" s="28" t="n"/>
      <c r="I435" s="28" t="n"/>
      <c r="J435" s="22" t="n"/>
      <c r="K435" s="23" t="n"/>
    </row>
    <row r="436">
      <c r="A436" s="27" t="n"/>
      <c r="B436" s="23" t="n"/>
      <c r="C436" s="23" t="n"/>
      <c r="D436" s="28" t="n"/>
      <c r="E436" s="28" t="n"/>
      <c r="F436" s="28" t="n"/>
      <c r="G436" s="28" t="n"/>
      <c r="H436" s="28" t="n"/>
      <c r="I436" s="28" t="n"/>
      <c r="J436" s="22" t="n"/>
      <c r="K436" s="23" t="n"/>
    </row>
    <row r="437">
      <c r="A437" s="27" t="n"/>
      <c r="B437" s="23" t="n"/>
      <c r="C437" s="23" t="n"/>
      <c r="D437" s="28" t="n"/>
      <c r="E437" s="28" t="n"/>
      <c r="F437" s="28" t="n"/>
      <c r="G437" s="28" t="n"/>
      <c r="H437" s="28" t="n"/>
      <c r="I437" s="28" t="n"/>
      <c r="J437" s="22" t="n"/>
      <c r="K437" s="23" t="n"/>
    </row>
    <row r="438">
      <c r="A438" s="27" t="n"/>
      <c r="B438" s="23" t="n"/>
      <c r="C438" s="23" t="n"/>
      <c r="D438" s="28" t="n"/>
      <c r="E438" s="28" t="n"/>
      <c r="F438" s="28" t="n"/>
      <c r="G438" s="28" t="n"/>
      <c r="H438" s="28" t="n"/>
      <c r="I438" s="28" t="n"/>
      <c r="J438" s="22" t="n"/>
      <c r="K438" s="23" t="n"/>
    </row>
    <row r="439">
      <c r="A439" s="27" t="n"/>
      <c r="B439" s="23" t="n"/>
      <c r="C439" s="23" t="n"/>
      <c r="D439" s="28" t="n"/>
      <c r="E439" s="28" t="n"/>
      <c r="F439" s="28" t="n"/>
      <c r="G439" s="28" t="n"/>
      <c r="H439" s="28" t="n"/>
      <c r="I439" s="28" t="n"/>
      <c r="J439" s="22" t="n"/>
      <c r="K439" s="23" t="n"/>
    </row>
    <row r="440">
      <c r="A440" s="27" t="n"/>
      <c r="B440" s="23" t="n"/>
      <c r="C440" s="23" t="n"/>
      <c r="D440" s="28" t="n"/>
      <c r="E440" s="28" t="n"/>
      <c r="F440" s="28" t="n"/>
      <c r="G440" s="28" t="n"/>
      <c r="H440" s="28" t="n"/>
      <c r="I440" s="28" t="n"/>
      <c r="J440" s="22" t="n"/>
      <c r="K440" s="23" t="n"/>
    </row>
    <row r="441">
      <c r="A441" s="27" t="n"/>
      <c r="B441" s="23" t="n"/>
      <c r="C441" s="23" t="n"/>
      <c r="D441" s="28" t="n"/>
      <c r="E441" s="28" t="n"/>
      <c r="F441" s="28" t="n"/>
      <c r="G441" s="28" t="n"/>
      <c r="H441" s="28" t="n"/>
      <c r="I441" s="28" t="n"/>
      <c r="J441" s="22" t="n"/>
      <c r="K441" s="23" t="n"/>
    </row>
    <row r="442">
      <c r="A442" s="27" t="n"/>
      <c r="B442" s="23" t="n"/>
      <c r="C442" s="23" t="n"/>
      <c r="D442" s="28" t="n"/>
      <c r="E442" s="28" t="n"/>
      <c r="F442" s="28" t="n"/>
      <c r="G442" s="28" t="n"/>
      <c r="H442" s="28" t="n"/>
      <c r="I442" s="28" t="n"/>
      <c r="J442" s="22" t="n"/>
      <c r="K442" s="23" t="n"/>
    </row>
    <row r="443">
      <c r="A443" s="27" t="n"/>
      <c r="B443" s="23" t="n"/>
      <c r="C443" s="23" t="n"/>
      <c r="D443" s="28" t="n"/>
      <c r="E443" s="28" t="n"/>
      <c r="F443" s="28" t="n"/>
      <c r="G443" s="28" t="n"/>
      <c r="H443" s="28" t="n"/>
      <c r="I443" s="28" t="n"/>
      <c r="J443" s="22" t="n"/>
      <c r="K443" s="23" t="n"/>
    </row>
    <row r="444">
      <c r="A444" s="27" t="n"/>
      <c r="B444" s="23" t="n"/>
      <c r="C444" s="23" t="n"/>
      <c r="D444" s="28" t="n"/>
      <c r="E444" s="28" t="n"/>
      <c r="F444" s="28" t="n"/>
      <c r="G444" s="28" t="n"/>
      <c r="H444" s="28" t="n"/>
      <c r="I444" s="28" t="n"/>
      <c r="J444" s="22" t="n"/>
      <c r="K444" s="23" t="n"/>
    </row>
    <row r="445">
      <c r="A445" s="27" t="n"/>
      <c r="B445" s="23" t="n"/>
      <c r="C445" s="23" t="n"/>
      <c r="D445" s="28" t="n"/>
      <c r="E445" s="28" t="n"/>
      <c r="F445" s="28" t="n"/>
      <c r="G445" s="28" t="n"/>
      <c r="H445" s="28" t="n"/>
      <c r="I445" s="28" t="n"/>
      <c r="J445" s="22" t="n"/>
      <c r="K445" s="23" t="n"/>
    </row>
    <row r="446">
      <c r="A446" s="27" t="n"/>
      <c r="B446" s="23" t="n"/>
      <c r="C446" s="23" t="n"/>
      <c r="D446" s="28" t="n"/>
      <c r="E446" s="28" t="n"/>
      <c r="F446" s="28" t="n"/>
      <c r="G446" s="28" t="n"/>
      <c r="H446" s="28" t="n"/>
      <c r="I446" s="28" t="n"/>
      <c r="J446" s="22" t="n"/>
      <c r="K446" s="23" t="n"/>
    </row>
    <row r="447">
      <c r="A447" s="27" t="n"/>
      <c r="B447" s="23" t="n"/>
      <c r="C447" s="23" t="n"/>
      <c r="D447" s="28" t="n"/>
      <c r="E447" s="28" t="n"/>
      <c r="F447" s="28" t="n"/>
      <c r="G447" s="28" t="n"/>
      <c r="H447" s="28" t="n"/>
      <c r="I447" s="28" t="n"/>
      <c r="J447" s="22" t="n"/>
      <c r="K447" s="23" t="n"/>
    </row>
    <row r="448">
      <c r="A448" s="27" t="n"/>
      <c r="B448" s="23" t="n"/>
      <c r="C448" s="23" t="n"/>
      <c r="D448" s="28" t="n"/>
      <c r="E448" s="28" t="n"/>
      <c r="F448" s="28" t="n"/>
      <c r="G448" s="28" t="n"/>
      <c r="H448" s="28" t="n"/>
      <c r="I448" s="28" t="n"/>
      <c r="J448" s="22" t="n"/>
      <c r="K448" s="23" t="n"/>
    </row>
    <row r="449">
      <c r="A449" s="27" t="n"/>
      <c r="B449" s="23" t="n"/>
      <c r="C449" s="23" t="n"/>
      <c r="D449" s="28" t="n"/>
      <c r="E449" s="28" t="n"/>
      <c r="F449" s="28" t="n"/>
      <c r="G449" s="28" t="n"/>
      <c r="H449" s="28" t="n"/>
      <c r="I449" s="28" t="n"/>
      <c r="J449" s="22" t="n"/>
      <c r="K449" s="23" t="n"/>
    </row>
    <row r="450">
      <c r="A450" s="27" t="n"/>
      <c r="B450" s="23" t="n"/>
      <c r="C450" s="23" t="n"/>
      <c r="D450" s="28" t="n"/>
      <c r="E450" s="28" t="n"/>
      <c r="F450" s="28" t="n"/>
      <c r="G450" s="28" t="n"/>
      <c r="H450" s="28" t="n"/>
      <c r="I450" s="28" t="n"/>
      <c r="J450" s="22" t="n"/>
      <c r="K450" s="23" t="n"/>
    </row>
    <row r="451">
      <c r="A451" s="27" t="n"/>
      <c r="B451" s="23" t="n"/>
      <c r="C451" s="23" t="n"/>
      <c r="D451" s="28" t="n"/>
      <c r="E451" s="28" t="n"/>
      <c r="F451" s="28" t="n"/>
      <c r="G451" s="28" t="n"/>
      <c r="H451" s="28" t="n"/>
      <c r="I451" s="28" t="n"/>
      <c r="J451" s="22" t="n"/>
      <c r="K451" s="23" t="n"/>
    </row>
    <row r="452">
      <c r="A452" s="27" t="n"/>
      <c r="B452" s="23" t="n"/>
      <c r="C452" s="23" t="n"/>
      <c r="D452" s="28" t="n"/>
      <c r="E452" s="28" t="n"/>
      <c r="F452" s="28" t="n"/>
      <c r="G452" s="28" t="n"/>
      <c r="H452" s="28" t="n"/>
      <c r="I452" s="28" t="n"/>
      <c r="J452" s="22" t="n"/>
      <c r="K452" s="23" t="n"/>
    </row>
    <row r="453">
      <c r="A453" s="27" t="n"/>
      <c r="B453" s="23" t="n"/>
      <c r="C453" s="23" t="n"/>
      <c r="D453" s="28" t="n"/>
      <c r="E453" s="28" t="n"/>
      <c r="F453" s="28" t="n"/>
      <c r="G453" s="28" t="n"/>
      <c r="H453" s="28" t="n"/>
      <c r="I453" s="28" t="n"/>
      <c r="J453" s="22" t="n"/>
      <c r="K453" s="23" t="n"/>
    </row>
    <row r="454">
      <c r="A454" s="27" t="n"/>
      <c r="B454" s="23" t="n"/>
      <c r="C454" s="23" t="n"/>
      <c r="D454" s="28" t="n"/>
      <c r="E454" s="28" t="n"/>
      <c r="F454" s="28" t="n"/>
      <c r="G454" s="28" t="n"/>
      <c r="H454" s="28" t="n"/>
      <c r="I454" s="28" t="n"/>
      <c r="J454" s="22" t="n"/>
      <c r="K454" s="23" t="n"/>
    </row>
    <row r="455">
      <c r="A455" s="27" t="n"/>
      <c r="B455" s="23" t="n"/>
      <c r="C455" s="23" t="n"/>
      <c r="D455" s="28" t="n"/>
      <c r="E455" s="28" t="n"/>
      <c r="F455" s="28" t="n"/>
      <c r="G455" s="28" t="n"/>
      <c r="H455" s="28" t="n"/>
      <c r="I455" s="28" t="n"/>
      <c r="J455" s="22" t="n"/>
      <c r="K455" s="23" t="n"/>
    </row>
    <row r="456">
      <c r="A456" s="27" t="n"/>
      <c r="B456" s="23" t="n"/>
      <c r="C456" s="23" t="n"/>
      <c r="D456" s="28" t="n"/>
      <c r="E456" s="28" t="n"/>
      <c r="F456" s="28" t="n"/>
      <c r="G456" s="28" t="n"/>
      <c r="H456" s="28" t="n"/>
      <c r="I456" s="28" t="n"/>
      <c r="J456" s="22" t="n"/>
      <c r="K456" s="23" t="n"/>
    </row>
    <row r="457">
      <c r="A457" s="27" t="n"/>
      <c r="B457" s="23" t="n"/>
      <c r="C457" s="23" t="n"/>
      <c r="D457" s="28" t="n"/>
      <c r="E457" s="28" t="n"/>
      <c r="F457" s="28" t="n"/>
      <c r="G457" s="28" t="n"/>
      <c r="H457" s="28" t="n"/>
      <c r="I457" s="28" t="n"/>
      <c r="J457" s="22" t="n"/>
      <c r="K457" s="23" t="n"/>
    </row>
    <row r="458">
      <c r="A458" s="27" t="n"/>
      <c r="B458" s="23" t="n"/>
      <c r="C458" s="23" t="n"/>
      <c r="D458" s="28" t="n"/>
      <c r="E458" s="28" t="n"/>
      <c r="F458" s="28" t="n"/>
      <c r="G458" s="28" t="n"/>
      <c r="H458" s="28" t="n"/>
      <c r="I458" s="28" t="n"/>
      <c r="J458" s="22" t="n"/>
      <c r="K458" s="23" t="n"/>
    </row>
    <row r="459">
      <c r="A459" s="27" t="n"/>
      <c r="B459" s="23" t="n"/>
      <c r="C459" s="23" t="n"/>
      <c r="D459" s="28" t="n"/>
      <c r="E459" s="28" t="n"/>
      <c r="F459" s="28" t="n"/>
      <c r="G459" s="28" t="n"/>
      <c r="H459" s="28" t="n"/>
      <c r="I459" s="28" t="n"/>
      <c r="J459" s="22" t="n"/>
      <c r="K459" s="23" t="n"/>
    </row>
    <row r="460">
      <c r="A460" s="27" t="n"/>
      <c r="B460" s="23" t="n"/>
      <c r="C460" s="23" t="n"/>
      <c r="D460" s="28" t="n"/>
      <c r="E460" s="28" t="n"/>
      <c r="F460" s="28" t="n"/>
      <c r="G460" s="28" t="n"/>
      <c r="H460" s="28" t="n"/>
      <c r="I460" s="28" t="n"/>
      <c r="J460" s="22" t="n"/>
      <c r="K460" s="23" t="n"/>
    </row>
    <row r="461">
      <c r="A461" s="27" t="n"/>
      <c r="B461" s="23" t="n"/>
      <c r="C461" s="23" t="n"/>
      <c r="D461" s="28" t="n"/>
      <c r="E461" s="28" t="n"/>
      <c r="F461" s="28" t="n"/>
      <c r="G461" s="28" t="n"/>
      <c r="H461" s="28" t="n"/>
      <c r="I461" s="28" t="n"/>
      <c r="J461" s="22" t="n"/>
      <c r="K461" s="23" t="n"/>
    </row>
    <row r="462">
      <c r="A462" s="27" t="n"/>
      <c r="B462" s="23" t="n"/>
      <c r="C462" s="23" t="n"/>
      <c r="D462" s="28" t="n"/>
      <c r="E462" s="28" t="n"/>
      <c r="F462" s="28" t="n"/>
      <c r="G462" s="28" t="n"/>
      <c r="H462" s="28" t="n"/>
      <c r="I462" s="28" t="n"/>
      <c r="J462" s="22" t="n"/>
      <c r="K462" s="23" t="n"/>
    </row>
    <row r="463">
      <c r="A463" s="27" t="n"/>
      <c r="B463" s="23" t="n"/>
      <c r="C463" s="23" t="n"/>
      <c r="D463" s="28" t="n"/>
      <c r="E463" s="28" t="n"/>
      <c r="F463" s="28" t="n"/>
      <c r="G463" s="28" t="n"/>
      <c r="H463" s="28" t="n"/>
      <c r="I463" s="28" t="n"/>
      <c r="J463" s="22" t="n"/>
      <c r="K463" s="23" t="n"/>
    </row>
    <row r="464">
      <c r="A464" s="27" t="n"/>
      <c r="B464" s="23" t="n"/>
      <c r="C464" s="23" t="n"/>
      <c r="D464" s="28" t="n"/>
      <c r="E464" s="28" t="n"/>
      <c r="F464" s="28" t="n"/>
      <c r="G464" s="28" t="n"/>
      <c r="H464" s="28" t="n"/>
      <c r="I464" s="28" t="n"/>
      <c r="J464" s="22" t="n"/>
      <c r="K464" s="23" t="n"/>
    </row>
    <row r="465">
      <c r="A465" s="27" t="n"/>
      <c r="B465" s="23" t="n"/>
      <c r="C465" s="23" t="n"/>
      <c r="D465" s="28" t="n"/>
      <c r="E465" s="28" t="n"/>
      <c r="F465" s="28" t="n"/>
      <c r="G465" s="28" t="n"/>
      <c r="H465" s="28" t="n"/>
      <c r="I465" s="28" t="n"/>
      <c r="J465" s="22" t="n"/>
      <c r="K465" s="23" t="n"/>
    </row>
    <row r="466">
      <c r="A466" s="27" t="n"/>
      <c r="B466" s="23" t="n"/>
      <c r="C466" s="23" t="n"/>
      <c r="D466" s="28" t="n"/>
      <c r="E466" s="28" t="n"/>
      <c r="F466" s="28" t="n"/>
      <c r="G466" s="28" t="n"/>
      <c r="H466" s="28" t="n"/>
      <c r="I466" s="28" t="n"/>
      <c r="J466" s="22" t="n"/>
      <c r="K466" s="23" t="n"/>
    </row>
    <row r="467">
      <c r="A467" s="27" t="n"/>
      <c r="B467" s="23" t="n"/>
      <c r="C467" s="23" t="n"/>
      <c r="D467" s="28" t="n"/>
      <c r="E467" s="28" t="n"/>
      <c r="F467" s="28" t="n"/>
      <c r="G467" s="28" t="n"/>
      <c r="H467" s="28" t="n"/>
      <c r="I467" s="28" t="n"/>
      <c r="J467" s="22" t="n"/>
      <c r="K467" s="23" t="n"/>
    </row>
    <row r="468">
      <c r="A468" s="27" t="n"/>
      <c r="B468" s="23" t="n"/>
      <c r="C468" s="23" t="n"/>
      <c r="D468" s="28" t="n"/>
      <c r="E468" s="28" t="n"/>
      <c r="F468" s="28" t="n"/>
      <c r="G468" s="28" t="n"/>
      <c r="H468" s="28" t="n"/>
      <c r="I468" s="28" t="n"/>
      <c r="J468" s="22" t="n"/>
      <c r="K468" s="23" t="n"/>
    </row>
    <row r="469">
      <c r="A469" s="27" t="n"/>
      <c r="B469" s="23" t="n"/>
      <c r="C469" s="23" t="n"/>
      <c r="D469" s="28" t="n"/>
      <c r="E469" s="28" t="n"/>
      <c r="F469" s="28" t="n"/>
      <c r="G469" s="28" t="n"/>
      <c r="H469" s="28" t="n"/>
      <c r="I469" s="28" t="n"/>
      <c r="J469" s="22" t="n"/>
      <c r="K469" s="23" t="n"/>
    </row>
    <row r="470">
      <c r="A470" s="27" t="n"/>
      <c r="B470" s="23" t="n"/>
      <c r="C470" s="23" t="n"/>
      <c r="D470" s="28" t="n"/>
      <c r="E470" s="28" t="n"/>
      <c r="F470" s="28" t="n"/>
      <c r="G470" s="28" t="n"/>
      <c r="H470" s="28" t="n"/>
      <c r="I470" s="28" t="n"/>
      <c r="J470" s="22" t="n"/>
      <c r="K470" s="23" t="n"/>
    </row>
    <row r="471">
      <c r="A471" s="27" t="n"/>
      <c r="B471" s="23" t="n"/>
      <c r="C471" s="23" t="n"/>
      <c r="D471" s="28" t="n"/>
      <c r="E471" s="28" t="n"/>
      <c r="F471" s="28" t="n"/>
      <c r="G471" s="28" t="n"/>
      <c r="H471" s="28" t="n"/>
      <c r="I471" s="28" t="n"/>
      <c r="J471" s="22" t="n"/>
      <c r="K471" s="23" t="n"/>
    </row>
    <row r="472">
      <c r="A472" s="27" t="n"/>
      <c r="B472" s="23" t="n"/>
      <c r="C472" s="23" t="n"/>
      <c r="D472" s="28" t="n"/>
      <c r="E472" s="28" t="n"/>
      <c r="F472" s="28" t="n"/>
      <c r="G472" s="28" t="n"/>
      <c r="H472" s="28" t="n"/>
      <c r="I472" s="28" t="n"/>
      <c r="J472" s="22" t="n"/>
      <c r="K472" s="23" t="n"/>
    </row>
    <row r="473">
      <c r="A473" s="27" t="n"/>
      <c r="B473" s="23" t="n"/>
      <c r="C473" s="23" t="n"/>
      <c r="D473" s="28" t="n"/>
      <c r="E473" s="28" t="n"/>
      <c r="F473" s="28" t="n"/>
      <c r="G473" s="28" t="n"/>
      <c r="H473" s="28" t="n"/>
      <c r="I473" s="28" t="n"/>
      <c r="J473" s="22" t="n"/>
      <c r="K473" s="23" t="n"/>
    </row>
    <row r="474">
      <c r="A474" s="27" t="n"/>
      <c r="B474" s="23" t="n"/>
      <c r="C474" s="23" t="n"/>
      <c r="D474" s="28" t="n"/>
      <c r="E474" s="28" t="n"/>
      <c r="F474" s="28" t="n"/>
      <c r="G474" s="28" t="n"/>
      <c r="H474" s="28" t="n"/>
      <c r="I474" s="28" t="n"/>
      <c r="J474" s="22" t="n"/>
      <c r="K474" s="23" t="n"/>
    </row>
    <row r="475">
      <c r="A475" s="27" t="n"/>
      <c r="B475" s="23" t="n"/>
      <c r="C475" s="23" t="n"/>
      <c r="D475" s="28" t="n"/>
      <c r="E475" s="28" t="n"/>
      <c r="F475" s="28" t="n"/>
      <c r="G475" s="28" t="n"/>
      <c r="H475" s="28" t="n"/>
      <c r="I475" s="28" t="n"/>
      <c r="J475" s="22" t="n"/>
      <c r="K475" s="23" t="n"/>
    </row>
    <row r="476">
      <c r="A476" s="27" t="n"/>
      <c r="B476" s="23" t="n"/>
      <c r="C476" s="23" t="n"/>
      <c r="D476" s="28" t="n"/>
      <c r="E476" s="28" t="n"/>
      <c r="F476" s="28" t="n"/>
      <c r="G476" s="28" t="n"/>
      <c r="H476" s="28" t="n"/>
      <c r="I476" s="28" t="n"/>
      <c r="J476" s="22" t="n"/>
      <c r="K476" s="23" t="n"/>
    </row>
    <row r="477">
      <c r="A477" s="27" t="n"/>
      <c r="B477" s="23" t="n"/>
      <c r="C477" s="23" t="n"/>
      <c r="D477" s="28" t="n"/>
      <c r="E477" s="28" t="n"/>
      <c r="F477" s="28" t="n"/>
      <c r="G477" s="28" t="n"/>
      <c r="H477" s="28" t="n"/>
      <c r="I477" s="28" t="n"/>
      <c r="J477" s="22" t="n"/>
      <c r="K477" s="23" t="n"/>
    </row>
    <row r="478">
      <c r="A478" s="27" t="n"/>
      <c r="B478" s="23" t="n"/>
      <c r="C478" s="23" t="n"/>
      <c r="D478" s="28" t="n"/>
      <c r="E478" s="28" t="n"/>
      <c r="F478" s="28" t="n"/>
      <c r="G478" s="28" t="n"/>
      <c r="H478" s="28" t="n"/>
      <c r="I478" s="28" t="n"/>
      <c r="J478" s="22" t="n"/>
      <c r="K478" s="23" t="n"/>
    </row>
    <row r="479">
      <c r="A479" s="27" t="n"/>
      <c r="B479" s="23" t="n"/>
      <c r="C479" s="23" t="n"/>
      <c r="D479" s="28" t="n"/>
      <c r="E479" s="28" t="n"/>
      <c r="F479" s="28" t="n"/>
      <c r="G479" s="28" t="n"/>
      <c r="H479" s="28" t="n"/>
      <c r="I479" s="28" t="n"/>
      <c r="J479" s="22" t="n"/>
      <c r="K479" s="23" t="n"/>
    </row>
    <row r="480">
      <c r="A480" s="27" t="n"/>
      <c r="B480" s="23" t="n"/>
      <c r="C480" s="23" t="n"/>
      <c r="D480" s="28" t="n"/>
      <c r="E480" s="28" t="n"/>
      <c r="F480" s="28" t="n"/>
      <c r="G480" s="28" t="n"/>
      <c r="H480" s="28" t="n"/>
      <c r="I480" s="28" t="n"/>
      <c r="J480" s="22" t="n"/>
      <c r="K480" s="23" t="n"/>
    </row>
    <row r="481">
      <c r="A481" s="27" t="n"/>
      <c r="B481" s="23" t="n"/>
      <c r="C481" s="23" t="n"/>
      <c r="D481" s="28" t="n"/>
      <c r="E481" s="28" t="n"/>
      <c r="F481" s="28" t="n"/>
      <c r="G481" s="28" t="n"/>
      <c r="H481" s="28" t="n"/>
      <c r="I481" s="28" t="n"/>
      <c r="J481" s="22" t="n"/>
      <c r="K481" s="23" t="n"/>
    </row>
    <row r="482">
      <c r="A482" s="27" t="n"/>
      <c r="B482" s="23" t="n"/>
      <c r="C482" s="23" t="n"/>
      <c r="D482" s="28" t="n"/>
      <c r="E482" s="28" t="n"/>
      <c r="F482" s="28" t="n"/>
      <c r="G482" s="28" t="n"/>
      <c r="H482" s="28" t="n"/>
      <c r="I482" s="28" t="n"/>
      <c r="J482" s="22" t="n"/>
      <c r="K482" s="23" t="n"/>
    </row>
    <row r="483">
      <c r="A483" s="27" t="n"/>
      <c r="B483" s="23" t="n"/>
      <c r="C483" s="23" t="n"/>
      <c r="D483" s="28" t="n"/>
      <c r="E483" s="28" t="n"/>
      <c r="F483" s="28" t="n"/>
      <c r="G483" s="28" t="n"/>
      <c r="H483" s="28" t="n"/>
      <c r="I483" s="28" t="n"/>
      <c r="J483" s="22" t="n"/>
      <c r="K483" s="23" t="n"/>
    </row>
    <row r="484">
      <c r="A484" s="27" t="n"/>
      <c r="B484" s="23" t="n"/>
      <c r="C484" s="23" t="n"/>
      <c r="D484" s="28" t="n"/>
      <c r="E484" s="28" t="n"/>
      <c r="F484" s="28" t="n"/>
      <c r="G484" s="28" t="n"/>
      <c r="H484" s="28" t="n"/>
      <c r="I484" s="28" t="n"/>
      <c r="J484" s="22" t="n"/>
      <c r="K484" s="23" t="n"/>
    </row>
    <row r="485">
      <c r="A485" s="27" t="n"/>
      <c r="B485" s="23" t="n"/>
      <c r="C485" s="23" t="n"/>
      <c r="D485" s="28" t="n"/>
      <c r="E485" s="28" t="n"/>
      <c r="F485" s="28" t="n"/>
      <c r="G485" s="28" t="n"/>
      <c r="H485" s="28" t="n"/>
      <c r="I485" s="28" t="n"/>
      <c r="J485" s="22" t="n"/>
      <c r="K485" s="23" t="n"/>
    </row>
    <row r="486">
      <c r="A486" s="27" t="n"/>
      <c r="B486" s="23" t="n"/>
      <c r="C486" s="23" t="n"/>
      <c r="D486" s="28" t="n"/>
      <c r="E486" s="28" t="n"/>
      <c r="F486" s="28" t="n"/>
      <c r="G486" s="28" t="n"/>
      <c r="H486" s="28" t="n"/>
      <c r="I486" s="28" t="n"/>
      <c r="J486" s="22" t="n"/>
      <c r="K486" s="23" t="n"/>
    </row>
    <row r="487">
      <c r="A487" s="27" t="n"/>
      <c r="B487" s="23" t="n"/>
      <c r="C487" s="23" t="n"/>
      <c r="D487" s="28" t="n"/>
      <c r="E487" s="28" t="n"/>
      <c r="F487" s="28" t="n"/>
      <c r="G487" s="28" t="n"/>
      <c r="H487" s="28" t="n"/>
      <c r="I487" s="28" t="n"/>
      <c r="J487" s="22" t="n"/>
      <c r="K487" s="23" t="n"/>
    </row>
    <row r="488">
      <c r="A488" s="27" t="n"/>
      <c r="B488" s="23" t="n"/>
      <c r="C488" s="23" t="n"/>
      <c r="D488" s="28" t="n"/>
      <c r="E488" s="28" t="n"/>
      <c r="F488" s="28" t="n"/>
      <c r="G488" s="28" t="n"/>
      <c r="H488" s="28" t="n"/>
      <c r="I488" s="28" t="n"/>
      <c r="J488" s="22" t="n"/>
      <c r="K488" s="23" t="n"/>
    </row>
    <row r="489">
      <c r="A489" s="27" t="n"/>
      <c r="B489" s="23" t="n"/>
      <c r="C489" s="23" t="n"/>
      <c r="D489" s="28" t="n"/>
      <c r="E489" s="28" t="n"/>
      <c r="F489" s="28" t="n"/>
      <c r="G489" s="28" t="n"/>
      <c r="H489" s="28" t="n"/>
      <c r="I489" s="28" t="n"/>
      <c r="J489" s="22" t="n"/>
      <c r="K489" s="23" t="n"/>
    </row>
    <row r="490">
      <c r="A490" s="27" t="n"/>
      <c r="B490" s="23" t="n"/>
      <c r="C490" s="23" t="n"/>
      <c r="D490" s="28" t="n"/>
      <c r="E490" s="28" t="n"/>
      <c r="F490" s="28" t="n"/>
      <c r="G490" s="28" t="n"/>
      <c r="H490" s="28" t="n"/>
      <c r="I490" s="28" t="n"/>
      <c r="J490" s="22" t="n"/>
      <c r="K490" s="23" t="n"/>
    </row>
    <row r="491">
      <c r="A491" s="27" t="n"/>
      <c r="B491" s="23" t="n"/>
      <c r="C491" s="23" t="n"/>
      <c r="D491" s="28" t="n"/>
      <c r="E491" s="28" t="n"/>
      <c r="F491" s="28" t="n"/>
      <c r="G491" s="28" t="n"/>
      <c r="H491" s="28" t="n"/>
      <c r="I491" s="28" t="n"/>
      <c r="J491" s="22" t="n"/>
      <c r="K491" s="23" t="n"/>
    </row>
    <row r="492">
      <c r="A492" s="27" t="n"/>
      <c r="B492" s="23" t="n"/>
      <c r="C492" s="23" t="n"/>
      <c r="D492" s="28" t="n"/>
      <c r="E492" s="28" t="n"/>
      <c r="F492" s="28" t="n"/>
      <c r="G492" s="28" t="n"/>
      <c r="H492" s="28" t="n"/>
      <c r="I492" s="28" t="n"/>
      <c r="J492" s="22" t="n"/>
      <c r="K492" s="23" t="n"/>
    </row>
    <row r="493">
      <c r="A493" s="27" t="n"/>
      <c r="B493" s="23" t="n"/>
      <c r="C493" s="23" t="n"/>
      <c r="D493" s="28" t="n"/>
      <c r="E493" s="28" t="n"/>
      <c r="F493" s="28" t="n"/>
      <c r="G493" s="28" t="n"/>
      <c r="H493" s="28" t="n"/>
      <c r="I493" s="28" t="n"/>
      <c r="J493" s="22" t="n"/>
      <c r="K493" s="23" t="n"/>
    </row>
    <row r="494">
      <c r="A494" s="27" t="n"/>
      <c r="B494" s="23" t="n"/>
      <c r="C494" s="23" t="n"/>
      <c r="D494" s="28" t="n"/>
      <c r="E494" s="28" t="n"/>
      <c r="F494" s="28" t="n"/>
      <c r="G494" s="28" t="n"/>
      <c r="H494" s="28" t="n"/>
      <c r="I494" s="28" t="n"/>
      <c r="J494" s="22" t="n"/>
      <c r="K494" s="23" t="n"/>
    </row>
    <row r="495">
      <c r="A495" s="27" t="n"/>
      <c r="B495" s="23" t="n"/>
      <c r="C495" s="23" t="n"/>
      <c r="D495" s="28" t="n"/>
      <c r="E495" s="28" t="n"/>
      <c r="F495" s="28" t="n"/>
      <c r="G495" s="28" t="n"/>
      <c r="H495" s="28" t="n"/>
      <c r="I495" s="28" t="n"/>
      <c r="J495" s="22" t="n"/>
      <c r="K495" s="23" t="n"/>
    </row>
    <row r="496">
      <c r="A496" s="27" t="n"/>
      <c r="B496" s="23" t="n"/>
      <c r="C496" s="23" t="n"/>
      <c r="D496" s="28" t="n"/>
      <c r="E496" s="28" t="n"/>
      <c r="F496" s="28" t="n"/>
      <c r="G496" s="28" t="n"/>
      <c r="H496" s="28" t="n"/>
      <c r="I496" s="28" t="n"/>
      <c r="J496" s="22" t="n"/>
      <c r="K496" s="23" t="n"/>
    </row>
    <row r="497">
      <c r="A497" s="27" t="n"/>
      <c r="B497" s="23" t="n"/>
      <c r="C497" s="23" t="n"/>
      <c r="D497" s="28" t="n"/>
      <c r="E497" s="28" t="n"/>
      <c r="F497" s="28" t="n"/>
      <c r="G497" s="28" t="n"/>
      <c r="H497" s="28" t="n"/>
      <c r="I497" s="28" t="n"/>
      <c r="J497" s="22" t="n"/>
      <c r="K497" s="23" t="n"/>
    </row>
    <row r="498">
      <c r="A498" s="27" t="n"/>
      <c r="B498" s="23" t="n"/>
      <c r="C498" s="23" t="n"/>
      <c r="D498" s="28" t="n"/>
      <c r="E498" s="28" t="n"/>
      <c r="F498" s="28" t="n"/>
      <c r="G498" s="28" t="n"/>
      <c r="H498" s="28" t="n"/>
      <c r="I498" s="28" t="n"/>
      <c r="J498" s="22" t="n"/>
      <c r="K498" s="23" t="n"/>
    </row>
    <row r="499">
      <c r="A499" s="27" t="n"/>
      <c r="B499" s="23" t="n"/>
      <c r="C499" s="23" t="n"/>
      <c r="D499" s="28" t="n"/>
      <c r="E499" s="28" t="n"/>
      <c r="F499" s="28" t="n"/>
      <c r="G499" s="28" t="n"/>
      <c r="H499" s="28" t="n"/>
      <c r="I499" s="28" t="n"/>
      <c r="J499" s="22" t="n"/>
      <c r="K499" s="23" t="n"/>
    </row>
    <row r="500">
      <c r="A500" s="27" t="n"/>
      <c r="B500" s="23" t="n"/>
      <c r="C500" s="23" t="n"/>
      <c r="D500" s="28" t="n"/>
      <c r="E500" s="28" t="n"/>
      <c r="F500" s="28" t="n"/>
      <c r="G500" s="28" t="n"/>
      <c r="H500" s="28" t="n"/>
      <c r="I500" s="28" t="n"/>
      <c r="J500" s="22" t="n"/>
      <c r="K500" s="23" t="n"/>
    </row>
    <row r="501">
      <c r="A501" s="27" t="n"/>
      <c r="B501" s="23" t="n"/>
      <c r="C501" s="23" t="n"/>
      <c r="D501" s="28" t="n"/>
      <c r="E501" s="28" t="n"/>
      <c r="F501" s="28" t="n"/>
      <c r="G501" s="28" t="n"/>
      <c r="H501" s="28" t="n"/>
      <c r="I501" s="28" t="n"/>
      <c r="J501" s="22" t="n"/>
      <c r="K501" s="23" t="n"/>
    </row>
    <row r="502">
      <c r="A502" s="27" t="n"/>
      <c r="B502" s="23" t="n"/>
      <c r="C502" s="23" t="n"/>
      <c r="D502" s="28" t="n"/>
      <c r="E502" s="28" t="n"/>
      <c r="F502" s="28" t="n"/>
      <c r="G502" s="28" t="n"/>
      <c r="H502" s="28" t="n"/>
      <c r="I502" s="28" t="n"/>
      <c r="J502" s="22" t="n"/>
      <c r="K502" s="23" t="n"/>
    </row>
    <row r="503">
      <c r="A503" s="27" t="n"/>
      <c r="B503" s="23" t="n"/>
      <c r="C503" s="23" t="n"/>
      <c r="D503" s="28" t="n"/>
      <c r="E503" s="28" t="n"/>
      <c r="F503" s="28" t="n"/>
      <c r="G503" s="28" t="n"/>
      <c r="H503" s="28" t="n"/>
      <c r="I503" s="28" t="n"/>
      <c r="J503" s="22" t="n"/>
      <c r="K503" s="23" t="n"/>
    </row>
    <row r="504">
      <c r="A504" s="27" t="n"/>
      <c r="B504" s="23" t="n"/>
      <c r="C504" s="23" t="n"/>
      <c r="D504" s="28" t="n"/>
      <c r="E504" s="28" t="n"/>
      <c r="F504" s="28" t="n"/>
      <c r="G504" s="28" t="n"/>
      <c r="H504" s="28" t="n"/>
      <c r="I504" s="28" t="n"/>
      <c r="J504" s="22" t="n"/>
      <c r="K504" s="23" t="n"/>
    </row>
    <row r="505">
      <c r="A505" s="27" t="n"/>
      <c r="B505" s="23" t="n"/>
      <c r="C505" s="23" t="n"/>
      <c r="D505" s="28" t="n"/>
      <c r="E505" s="28" t="n"/>
      <c r="F505" s="28" t="n"/>
      <c r="G505" s="28" t="n"/>
      <c r="H505" s="28" t="n"/>
      <c r="I505" s="28" t="n"/>
      <c r="J505" s="22" t="n"/>
      <c r="K505" s="23" t="n"/>
    </row>
    <row r="506">
      <c r="A506" s="27" t="n"/>
      <c r="B506" s="23" t="n"/>
      <c r="C506" s="23" t="n"/>
      <c r="D506" s="28" t="n"/>
      <c r="E506" s="28" t="n"/>
      <c r="F506" s="28" t="n"/>
      <c r="G506" s="28" t="n"/>
      <c r="H506" s="28" t="n"/>
      <c r="I506" s="28" t="n"/>
      <c r="J506" s="22" t="n"/>
      <c r="K506" s="23" t="n"/>
    </row>
    <row r="507">
      <c r="A507" s="27" t="n"/>
      <c r="B507" s="23" t="n"/>
      <c r="C507" s="23" t="n"/>
      <c r="D507" s="28" t="n"/>
      <c r="E507" s="28" t="n"/>
      <c r="F507" s="28" t="n"/>
      <c r="G507" s="28" t="n"/>
      <c r="H507" s="28" t="n"/>
      <c r="I507" s="28" t="n"/>
      <c r="J507" s="22" t="n"/>
      <c r="K507" s="23" t="n"/>
    </row>
    <row r="508">
      <c r="A508" s="27" t="n"/>
      <c r="B508" s="23" t="n"/>
      <c r="C508" s="23" t="n"/>
      <c r="D508" s="28" t="n"/>
      <c r="E508" s="28" t="n"/>
      <c r="F508" s="28" t="n"/>
      <c r="G508" s="28" t="n"/>
      <c r="H508" s="28" t="n"/>
      <c r="I508" s="28" t="n"/>
      <c r="J508" s="22" t="n"/>
      <c r="K508" s="23" t="n"/>
    </row>
    <row r="509">
      <c r="A509" s="27" t="n"/>
      <c r="B509" s="23" t="n"/>
      <c r="C509" s="23" t="n"/>
      <c r="D509" s="28" t="n"/>
      <c r="E509" s="28" t="n"/>
      <c r="F509" s="28" t="n"/>
      <c r="G509" s="28" t="n"/>
      <c r="H509" s="28" t="n"/>
      <c r="I509" s="28" t="n"/>
      <c r="J509" s="22" t="n"/>
      <c r="K509" s="23" t="n"/>
    </row>
    <row r="510">
      <c r="A510" s="27" t="n"/>
      <c r="B510" s="23" t="n"/>
      <c r="C510" s="23" t="n"/>
      <c r="D510" s="28" t="n"/>
      <c r="E510" s="28" t="n"/>
      <c r="F510" s="28" t="n"/>
      <c r="G510" s="28" t="n"/>
      <c r="H510" s="28" t="n"/>
      <c r="I510" s="28" t="n"/>
      <c r="J510" s="22" t="n"/>
      <c r="K510" s="23" t="n"/>
    </row>
    <row r="511">
      <c r="A511" s="27" t="n"/>
      <c r="B511" s="23" t="n"/>
      <c r="C511" s="23" t="n"/>
      <c r="D511" s="28" t="n"/>
      <c r="E511" s="28" t="n"/>
      <c r="F511" s="28" t="n"/>
      <c r="G511" s="28" t="n"/>
      <c r="H511" s="28" t="n"/>
      <c r="I511" s="28" t="n"/>
      <c r="J511" s="22" t="n"/>
      <c r="K511" s="23" t="n"/>
    </row>
    <row r="512">
      <c r="A512" s="27" t="n"/>
      <c r="B512" s="23" t="n"/>
      <c r="C512" s="23" t="n"/>
      <c r="D512" s="28" t="n"/>
      <c r="E512" s="28" t="n"/>
      <c r="F512" s="28" t="n"/>
      <c r="G512" s="28" t="n"/>
      <c r="H512" s="28" t="n"/>
      <c r="I512" s="28" t="n"/>
      <c r="J512" s="22" t="n"/>
      <c r="K512" s="23" t="n"/>
    </row>
    <row r="513">
      <c r="A513" s="27" t="n"/>
      <c r="B513" s="23" t="n"/>
      <c r="C513" s="23" t="n"/>
      <c r="D513" s="28" t="n"/>
      <c r="E513" s="28" t="n"/>
      <c r="F513" s="28" t="n"/>
      <c r="G513" s="28" t="n"/>
      <c r="H513" s="28" t="n"/>
      <c r="I513" s="28" t="n"/>
      <c r="J513" s="22" t="n"/>
      <c r="K513" s="23" t="n"/>
    </row>
    <row r="514">
      <c r="A514" s="27" t="n"/>
      <c r="B514" s="23" t="n"/>
      <c r="C514" s="23" t="n"/>
      <c r="D514" s="28" t="n"/>
      <c r="E514" s="28" t="n"/>
      <c r="F514" s="28" t="n"/>
      <c r="G514" s="28" t="n"/>
      <c r="H514" s="28" t="n"/>
      <c r="I514" s="28" t="n"/>
      <c r="J514" s="22" t="n"/>
      <c r="K514" s="23" t="n"/>
    </row>
    <row r="515">
      <c r="A515" s="27" t="n"/>
      <c r="B515" s="23" t="n"/>
      <c r="C515" s="23" t="n"/>
      <c r="D515" s="28" t="n"/>
      <c r="E515" s="28" t="n"/>
      <c r="F515" s="28" t="n"/>
      <c r="G515" s="28" t="n"/>
      <c r="H515" s="28" t="n"/>
      <c r="I515" s="28" t="n"/>
      <c r="J515" s="22" t="n"/>
      <c r="K515" s="23" t="n"/>
    </row>
    <row r="516">
      <c r="A516" s="27" t="n"/>
      <c r="B516" s="23" t="n"/>
      <c r="C516" s="23" t="n"/>
      <c r="D516" s="28" t="n"/>
      <c r="E516" s="28" t="n"/>
      <c r="F516" s="28" t="n"/>
      <c r="G516" s="28" t="n"/>
      <c r="H516" s="28" t="n"/>
      <c r="I516" s="28" t="n"/>
      <c r="J516" s="22" t="n"/>
      <c r="K516" s="23" t="n"/>
    </row>
    <row r="517">
      <c r="A517" s="27" t="n"/>
      <c r="B517" s="23" t="n"/>
      <c r="C517" s="23" t="n"/>
      <c r="D517" s="28" t="n"/>
      <c r="E517" s="28" t="n"/>
      <c r="F517" s="28" t="n"/>
      <c r="G517" s="28" t="n"/>
      <c r="H517" s="28" t="n"/>
      <c r="I517" s="28" t="n"/>
      <c r="J517" s="22" t="n"/>
      <c r="K517" s="23" t="n"/>
    </row>
    <row r="518">
      <c r="A518" s="27" t="n"/>
      <c r="B518" s="23" t="n"/>
      <c r="C518" s="23" t="n"/>
      <c r="D518" s="28" t="n"/>
      <c r="E518" s="28" t="n"/>
      <c r="F518" s="28" t="n"/>
      <c r="G518" s="28" t="n"/>
      <c r="H518" s="28" t="n"/>
      <c r="I518" s="28" t="n"/>
      <c r="J518" s="22" t="n"/>
      <c r="K518" s="23" t="n"/>
    </row>
    <row r="519">
      <c r="A519" s="27" t="n"/>
      <c r="B519" s="23" t="n"/>
      <c r="C519" s="23" t="n"/>
      <c r="D519" s="28" t="n"/>
      <c r="E519" s="28" t="n"/>
      <c r="F519" s="28" t="n"/>
      <c r="G519" s="28" t="n"/>
      <c r="H519" s="28" t="n"/>
      <c r="I519" s="28" t="n"/>
      <c r="J519" s="22" t="n"/>
      <c r="K519" s="23" t="n"/>
    </row>
    <row r="520">
      <c r="A520" s="27" t="n"/>
      <c r="B520" s="23" t="n"/>
      <c r="C520" s="23" t="n"/>
      <c r="D520" s="28" t="n"/>
      <c r="E520" s="28" t="n"/>
      <c r="F520" s="28" t="n"/>
      <c r="G520" s="28" t="n"/>
      <c r="H520" s="28" t="n"/>
      <c r="I520" s="28" t="n"/>
      <c r="J520" s="22" t="n"/>
      <c r="K520" s="23" t="n"/>
    </row>
    <row r="521">
      <c r="A521" s="27" t="n"/>
      <c r="B521" s="23" t="n"/>
      <c r="C521" s="23" t="n"/>
      <c r="D521" s="28" t="n"/>
      <c r="E521" s="28" t="n"/>
      <c r="F521" s="28" t="n"/>
      <c r="G521" s="28" t="n"/>
      <c r="H521" s="28" t="n"/>
      <c r="I521" s="28" t="n"/>
      <c r="J521" s="22" t="n"/>
      <c r="K521" s="23" t="n"/>
    </row>
    <row r="522">
      <c r="A522" s="27" t="n"/>
      <c r="B522" s="23" t="n"/>
      <c r="C522" s="23" t="n"/>
      <c r="D522" s="28" t="n"/>
      <c r="E522" s="28" t="n"/>
      <c r="F522" s="28" t="n"/>
      <c r="G522" s="28" t="n"/>
      <c r="H522" s="28" t="n"/>
      <c r="I522" s="28" t="n"/>
      <c r="J522" s="22" t="n"/>
      <c r="K522" s="23" t="n"/>
    </row>
    <row r="523">
      <c r="A523" s="27" t="n"/>
      <c r="B523" s="23" t="n"/>
      <c r="C523" s="23" t="n"/>
      <c r="D523" s="28" t="n"/>
      <c r="E523" s="28" t="n"/>
      <c r="F523" s="28" t="n"/>
      <c r="G523" s="28" t="n"/>
      <c r="H523" s="28" t="n"/>
      <c r="I523" s="28" t="n"/>
      <c r="J523" s="22" t="n"/>
      <c r="K523" s="23" t="n"/>
    </row>
    <row r="524">
      <c r="A524" s="27" t="n"/>
      <c r="B524" s="23" t="n"/>
      <c r="C524" s="23" t="n"/>
      <c r="D524" s="28" t="n"/>
      <c r="E524" s="28" t="n"/>
      <c r="F524" s="28" t="n"/>
      <c r="G524" s="28" t="n"/>
      <c r="H524" s="28" t="n"/>
      <c r="I524" s="28" t="n"/>
      <c r="J524" s="22" t="n"/>
      <c r="K524" s="23" t="n"/>
    </row>
    <row r="525">
      <c r="A525" s="27" t="n"/>
      <c r="B525" s="23" t="n"/>
      <c r="C525" s="23" t="n"/>
      <c r="D525" s="28" t="n"/>
      <c r="E525" s="28" t="n"/>
      <c r="F525" s="28" t="n"/>
      <c r="G525" s="28" t="n"/>
      <c r="H525" s="28" t="n"/>
      <c r="I525" s="28" t="n"/>
      <c r="J525" s="22" t="n"/>
      <c r="K525" s="23" t="n"/>
    </row>
    <row r="526">
      <c r="A526" s="27" t="n"/>
      <c r="B526" s="23" t="n"/>
      <c r="C526" s="23" t="n"/>
      <c r="D526" s="28" t="n"/>
      <c r="E526" s="28" t="n"/>
      <c r="F526" s="28" t="n"/>
      <c r="G526" s="28" t="n"/>
      <c r="H526" s="28" t="n"/>
      <c r="I526" s="28" t="n"/>
      <c r="J526" s="22" t="n"/>
      <c r="K526" s="23" t="n"/>
    </row>
    <row r="527">
      <c r="A527" s="27" t="n"/>
      <c r="B527" s="23" t="n"/>
      <c r="C527" s="23" t="n"/>
      <c r="D527" s="28" t="n"/>
      <c r="E527" s="28" t="n"/>
      <c r="F527" s="28" t="n"/>
      <c r="G527" s="28" t="n"/>
      <c r="H527" s="28" t="n"/>
      <c r="I527" s="28" t="n"/>
      <c r="J527" s="22" t="n"/>
      <c r="K527" s="23" t="n"/>
    </row>
    <row r="528">
      <c r="A528" s="27" t="n"/>
      <c r="B528" s="23" t="n"/>
      <c r="C528" s="23" t="n"/>
      <c r="D528" s="28" t="n"/>
      <c r="E528" s="28" t="n"/>
      <c r="F528" s="28" t="n"/>
      <c r="G528" s="28" t="n"/>
      <c r="H528" s="28" t="n"/>
      <c r="I528" s="28" t="n"/>
      <c r="J528" s="22" t="n"/>
      <c r="K528" s="23" t="n"/>
    </row>
    <row r="529">
      <c r="A529" s="27" t="n"/>
      <c r="B529" s="23" t="n"/>
      <c r="C529" s="23" t="n"/>
      <c r="D529" s="28" t="n"/>
      <c r="E529" s="28" t="n"/>
      <c r="F529" s="28" t="n"/>
      <c r="G529" s="28" t="n"/>
      <c r="H529" s="28" t="n"/>
      <c r="I529" s="28" t="n"/>
      <c r="J529" s="22" t="n"/>
      <c r="K529" s="23" t="n"/>
    </row>
    <row r="530">
      <c r="A530" s="27" t="n"/>
      <c r="B530" s="23" t="n"/>
      <c r="C530" s="23" t="n"/>
      <c r="D530" s="28" t="n"/>
      <c r="E530" s="28" t="n"/>
      <c r="F530" s="28" t="n"/>
      <c r="G530" s="28" t="n"/>
      <c r="H530" s="28" t="n"/>
      <c r="I530" s="28" t="n"/>
      <c r="J530" s="22" t="n"/>
      <c r="K530" s="23" t="n"/>
    </row>
    <row r="531">
      <c r="A531" s="27" t="n"/>
      <c r="B531" s="23" t="n"/>
      <c r="C531" s="23" t="n"/>
      <c r="D531" s="28" t="n"/>
      <c r="E531" s="28" t="n"/>
      <c r="F531" s="28" t="n"/>
      <c r="G531" s="28" t="n"/>
      <c r="H531" s="28" t="n"/>
      <c r="I531" s="28" t="n"/>
      <c r="J531" s="22" t="n"/>
      <c r="K531" s="23" t="n"/>
    </row>
    <row r="532">
      <c r="A532" s="27" t="n"/>
      <c r="B532" s="23" t="n"/>
      <c r="C532" s="23" t="n"/>
      <c r="D532" s="28" t="n"/>
      <c r="E532" s="28" t="n"/>
      <c r="F532" s="28" t="n"/>
      <c r="G532" s="28" t="n"/>
      <c r="H532" s="28" t="n"/>
      <c r="I532" s="28" t="n"/>
      <c r="J532" s="22" t="n"/>
      <c r="K532" s="23" t="n"/>
    </row>
    <row r="533">
      <c r="A533" s="27" t="n"/>
      <c r="B533" s="23" t="n"/>
      <c r="C533" s="23" t="n"/>
      <c r="D533" s="28" t="n"/>
      <c r="E533" s="28" t="n"/>
      <c r="F533" s="28" t="n"/>
      <c r="G533" s="28" t="n"/>
      <c r="H533" s="28" t="n"/>
      <c r="I533" s="28" t="n"/>
      <c r="J533" s="22" t="n"/>
      <c r="K533" s="23" t="n"/>
    </row>
    <row r="534">
      <c r="A534" s="27" t="n"/>
      <c r="B534" s="23" t="n"/>
      <c r="C534" s="23" t="n"/>
      <c r="D534" s="28" t="n"/>
      <c r="E534" s="28" t="n"/>
      <c r="F534" s="28" t="n"/>
      <c r="G534" s="28" t="n"/>
      <c r="H534" s="28" t="n"/>
      <c r="I534" s="28" t="n"/>
      <c r="J534" s="22" t="n"/>
      <c r="K534" s="23" t="n"/>
    </row>
    <row r="535">
      <c r="A535" s="27" t="n"/>
      <c r="B535" s="23" t="n"/>
      <c r="C535" s="23" t="n"/>
      <c r="D535" s="28" t="n"/>
      <c r="E535" s="28" t="n"/>
      <c r="F535" s="28" t="n"/>
      <c r="G535" s="28" t="n"/>
      <c r="H535" s="28" t="n"/>
      <c r="I535" s="28" t="n"/>
      <c r="J535" s="22" t="n"/>
      <c r="K535" s="23" t="n"/>
    </row>
    <row r="536">
      <c r="A536" s="27" t="n"/>
      <c r="B536" s="23" t="n"/>
      <c r="C536" s="23" t="n"/>
      <c r="D536" s="28" t="n"/>
      <c r="E536" s="28" t="n"/>
      <c r="F536" s="28" t="n"/>
      <c r="G536" s="28" t="n"/>
      <c r="H536" s="28" t="n"/>
      <c r="I536" s="28" t="n"/>
      <c r="J536" s="22" t="n"/>
      <c r="K536" s="23" t="n"/>
    </row>
    <row r="537">
      <c r="A537" s="27" t="n"/>
      <c r="B537" s="23" t="n"/>
      <c r="C537" s="23" t="n"/>
      <c r="D537" s="28" t="n"/>
      <c r="E537" s="28" t="n"/>
      <c r="F537" s="28" t="n"/>
      <c r="G537" s="28" t="n"/>
      <c r="H537" s="28" t="n"/>
      <c r="I537" s="28" t="n"/>
      <c r="J537" s="22" t="n"/>
      <c r="K537" s="23" t="n"/>
    </row>
    <row r="538">
      <c r="A538" s="27" t="n"/>
      <c r="B538" s="23" t="n"/>
      <c r="C538" s="23" t="n"/>
      <c r="D538" s="28" t="n"/>
      <c r="E538" s="28" t="n"/>
      <c r="F538" s="28" t="n"/>
      <c r="G538" s="28" t="n"/>
      <c r="H538" s="28" t="n"/>
      <c r="I538" s="28" t="n"/>
      <c r="J538" s="22" t="n"/>
      <c r="K538" s="23" t="n"/>
    </row>
    <row r="539">
      <c r="A539" s="27" t="n"/>
      <c r="B539" s="23" t="n"/>
      <c r="C539" s="23" t="n"/>
      <c r="D539" s="28" t="n"/>
      <c r="E539" s="28" t="n"/>
      <c r="F539" s="28" t="n"/>
      <c r="G539" s="28" t="n"/>
      <c r="H539" s="28" t="n"/>
      <c r="I539" s="28" t="n"/>
      <c r="J539" s="22" t="n"/>
      <c r="K539" s="23" t="n"/>
    </row>
    <row r="540">
      <c r="A540" s="27" t="n"/>
      <c r="B540" s="23" t="n"/>
      <c r="C540" s="23" t="n"/>
      <c r="D540" s="28" t="n"/>
      <c r="E540" s="28" t="n"/>
      <c r="F540" s="28" t="n"/>
      <c r="G540" s="28" t="n"/>
      <c r="H540" s="28" t="n"/>
      <c r="I540" s="28" t="n"/>
      <c r="J540" s="22" t="n"/>
      <c r="K540" s="23" t="n"/>
    </row>
    <row r="541">
      <c r="A541" s="27" t="n"/>
      <c r="B541" s="23" t="n"/>
      <c r="C541" s="23" t="n"/>
      <c r="D541" s="28" t="n"/>
      <c r="E541" s="28" t="n"/>
      <c r="F541" s="28" t="n"/>
      <c r="G541" s="28" t="n"/>
      <c r="H541" s="28" t="n"/>
      <c r="I541" s="28" t="n"/>
      <c r="J541" s="22" t="n"/>
      <c r="K541" s="23" t="n"/>
    </row>
    <row r="542">
      <c r="A542" s="27" t="n"/>
      <c r="B542" s="23" t="n"/>
      <c r="C542" s="23" t="n"/>
      <c r="D542" s="28" t="n"/>
      <c r="E542" s="28" t="n"/>
      <c r="F542" s="28" t="n"/>
      <c r="G542" s="28" t="n"/>
      <c r="H542" s="28" t="n"/>
      <c r="I542" s="28" t="n"/>
      <c r="J542" s="22" t="n"/>
      <c r="K542" s="23" t="n"/>
    </row>
    <row r="543">
      <c r="A543" s="27" t="n"/>
      <c r="B543" s="23" t="n"/>
      <c r="C543" s="23" t="n"/>
      <c r="D543" s="28" t="n"/>
      <c r="E543" s="28" t="n"/>
      <c r="F543" s="28" t="n"/>
      <c r="G543" s="28" t="n"/>
      <c r="H543" s="28" t="n"/>
      <c r="I543" s="28" t="n"/>
      <c r="J543" s="22" t="n"/>
      <c r="K543" s="23" t="n"/>
    </row>
    <row r="544">
      <c r="A544" s="27" t="n"/>
      <c r="B544" s="23" t="n"/>
      <c r="C544" s="23" t="n"/>
      <c r="D544" s="28" t="n"/>
      <c r="E544" s="28" t="n"/>
      <c r="F544" s="28" t="n"/>
      <c r="G544" s="28" t="n"/>
      <c r="H544" s="28" t="n"/>
      <c r="I544" s="28" t="n"/>
      <c r="J544" s="22" t="n"/>
      <c r="K544" s="23" t="n"/>
    </row>
    <row r="545">
      <c r="A545" s="27" t="n"/>
      <c r="B545" s="23" t="n"/>
      <c r="C545" s="23" t="n"/>
      <c r="D545" s="28" t="n"/>
      <c r="E545" s="28" t="n"/>
      <c r="F545" s="28" t="n"/>
      <c r="G545" s="28" t="n"/>
      <c r="H545" s="28" t="n"/>
      <c r="I545" s="28" t="n"/>
      <c r="J545" s="22" t="n"/>
      <c r="K545" s="23" t="n"/>
    </row>
    <row r="546">
      <c r="A546" s="27" t="n"/>
      <c r="B546" s="23" t="n"/>
      <c r="C546" s="23" t="n"/>
      <c r="D546" s="28" t="n"/>
      <c r="E546" s="28" t="n"/>
      <c r="F546" s="28" t="n"/>
      <c r="G546" s="28" t="n"/>
      <c r="H546" s="28" t="n"/>
      <c r="I546" s="28" t="n"/>
      <c r="J546" s="22" t="n"/>
      <c r="K546" s="23" t="n"/>
    </row>
    <row r="547">
      <c r="A547" s="27" t="n"/>
      <c r="B547" s="23" t="n"/>
      <c r="C547" s="23" t="n"/>
      <c r="D547" s="28" t="n"/>
      <c r="E547" s="28" t="n"/>
      <c r="F547" s="28" t="n"/>
      <c r="G547" s="28" t="n"/>
      <c r="H547" s="28" t="n"/>
      <c r="I547" s="28" t="n"/>
      <c r="J547" s="22" t="n"/>
      <c r="K547" s="23" t="n"/>
    </row>
    <row r="548">
      <c r="A548" s="27" t="n"/>
      <c r="B548" s="23" t="n"/>
      <c r="C548" s="23" t="n"/>
      <c r="D548" s="28" t="n"/>
      <c r="E548" s="28" t="n"/>
      <c r="F548" s="28" t="n"/>
      <c r="G548" s="28" t="n"/>
      <c r="H548" s="28" t="n"/>
      <c r="I548" s="28" t="n"/>
      <c r="J548" s="22" t="n"/>
      <c r="K548" s="23" t="n"/>
    </row>
    <row r="549">
      <c r="A549" s="27" t="n"/>
      <c r="B549" s="23" t="n"/>
      <c r="C549" s="23" t="n"/>
      <c r="D549" s="28" t="n"/>
      <c r="E549" s="28" t="n"/>
      <c r="F549" s="28" t="n"/>
      <c r="G549" s="28" t="n"/>
      <c r="H549" s="28" t="n"/>
      <c r="I549" s="28" t="n"/>
      <c r="J549" s="22" t="n"/>
      <c r="K549" s="23" t="n"/>
    </row>
    <row r="550">
      <c r="A550" s="27" t="n"/>
      <c r="B550" s="23" t="n"/>
      <c r="C550" s="23" t="n"/>
      <c r="D550" s="28" t="n"/>
      <c r="E550" s="28" t="n"/>
      <c r="F550" s="28" t="n"/>
      <c r="G550" s="28" t="n"/>
      <c r="H550" s="28" t="n"/>
      <c r="I550" s="28" t="n"/>
      <c r="J550" s="22" t="n"/>
      <c r="K550" s="23" t="n"/>
    </row>
    <row r="551">
      <c r="A551" s="27" t="n"/>
      <c r="B551" s="23" t="n"/>
      <c r="C551" s="23" t="n"/>
      <c r="D551" s="28" t="n"/>
      <c r="E551" s="28" t="n"/>
      <c r="F551" s="28" t="n"/>
      <c r="G551" s="28" t="n"/>
      <c r="H551" s="28" t="n"/>
      <c r="I551" s="28" t="n"/>
      <c r="J551" s="22" t="n"/>
      <c r="K551" s="23" t="n"/>
    </row>
    <row r="552">
      <c r="A552" s="27" t="n"/>
      <c r="B552" s="23" t="n"/>
      <c r="C552" s="23" t="n"/>
      <c r="D552" s="28" t="n"/>
      <c r="E552" s="28" t="n"/>
      <c r="F552" s="28" t="n"/>
      <c r="G552" s="28" t="n"/>
      <c r="H552" s="28" t="n"/>
      <c r="I552" s="28" t="n"/>
      <c r="J552" s="22" t="n"/>
      <c r="K552" s="23" t="n"/>
    </row>
    <row r="553">
      <c r="A553" s="27" t="n"/>
      <c r="B553" s="23" t="n"/>
      <c r="C553" s="23" t="n"/>
      <c r="D553" s="28" t="n"/>
      <c r="E553" s="28" t="n"/>
      <c r="F553" s="28" t="n"/>
      <c r="G553" s="28" t="n"/>
      <c r="H553" s="28" t="n"/>
      <c r="I553" s="28" t="n"/>
      <c r="J553" s="22" t="n"/>
      <c r="K553" s="23" t="n"/>
    </row>
    <row r="554">
      <c r="A554" s="27" t="n"/>
      <c r="B554" s="23" t="n"/>
      <c r="C554" s="23" t="n"/>
      <c r="D554" s="28" t="n"/>
      <c r="E554" s="28" t="n"/>
      <c r="F554" s="28" t="n"/>
      <c r="G554" s="28" t="n"/>
      <c r="H554" s="28" t="n"/>
      <c r="I554" s="28" t="n"/>
      <c r="J554" s="22" t="n"/>
      <c r="K554" s="23" t="n"/>
    </row>
    <row r="555">
      <c r="A555" s="27" t="n"/>
      <c r="B555" s="23" t="n"/>
      <c r="C555" s="23" t="n"/>
      <c r="D555" s="28" t="n"/>
      <c r="E555" s="28" t="n"/>
      <c r="F555" s="28" t="n"/>
      <c r="G555" s="28" t="n"/>
      <c r="H555" s="28" t="n"/>
      <c r="I555" s="28" t="n"/>
      <c r="J555" s="22" t="n"/>
      <c r="K555" s="23" t="n"/>
    </row>
    <row r="556">
      <c r="A556" s="27" t="n"/>
      <c r="B556" s="23" t="n"/>
      <c r="C556" s="23" t="n"/>
      <c r="D556" s="28" t="n"/>
      <c r="E556" s="28" t="n"/>
      <c r="F556" s="28" t="n"/>
      <c r="G556" s="28" t="n"/>
      <c r="H556" s="28" t="n"/>
      <c r="I556" s="28" t="n"/>
      <c r="J556" s="22" t="n"/>
      <c r="K556" s="23" t="n"/>
    </row>
    <row r="557">
      <c r="A557" s="27" t="n"/>
      <c r="B557" s="23" t="n"/>
      <c r="C557" s="23" t="n"/>
      <c r="D557" s="28" t="n"/>
      <c r="E557" s="28" t="n"/>
      <c r="F557" s="28" t="n"/>
      <c r="G557" s="28" t="n"/>
      <c r="H557" s="28" t="n"/>
      <c r="I557" s="28" t="n"/>
      <c r="J557" s="22" t="n"/>
      <c r="K557" s="23" t="n"/>
    </row>
    <row r="558">
      <c r="A558" s="27" t="n"/>
      <c r="B558" s="23" t="n"/>
      <c r="C558" s="23" t="n"/>
      <c r="D558" s="28" t="n"/>
      <c r="E558" s="28" t="n"/>
      <c r="F558" s="28" t="n"/>
      <c r="G558" s="28" t="n"/>
      <c r="H558" s="28" t="n"/>
      <c r="I558" s="28" t="n"/>
      <c r="J558" s="22" t="n"/>
      <c r="K558" s="23" t="n"/>
    </row>
    <row r="559">
      <c r="A559" s="27" t="n"/>
      <c r="B559" s="23" t="n"/>
      <c r="C559" s="23" t="n"/>
      <c r="D559" s="28" t="n"/>
      <c r="E559" s="28" t="n"/>
      <c r="F559" s="28" t="n"/>
      <c r="G559" s="28" t="n"/>
      <c r="H559" s="28" t="n"/>
      <c r="I559" s="28" t="n"/>
      <c r="J559" s="22" t="n"/>
      <c r="K559" s="23" t="n"/>
    </row>
    <row r="560">
      <c r="A560" s="27" t="n"/>
      <c r="B560" s="23" t="n"/>
      <c r="C560" s="23" t="n"/>
      <c r="D560" s="28" t="n"/>
      <c r="E560" s="28" t="n"/>
      <c r="F560" s="28" t="n"/>
      <c r="G560" s="28" t="n"/>
      <c r="H560" s="28" t="n"/>
      <c r="I560" s="28" t="n"/>
      <c r="J560" s="22" t="n"/>
      <c r="K560" s="23" t="n"/>
    </row>
    <row r="561">
      <c r="A561" s="27" t="n"/>
      <c r="B561" s="23" t="n"/>
      <c r="C561" s="23" t="n"/>
      <c r="D561" s="28" t="n"/>
      <c r="E561" s="28" t="n"/>
      <c r="F561" s="28" t="n"/>
      <c r="G561" s="28" t="n"/>
      <c r="H561" s="28" t="n"/>
      <c r="I561" s="28" t="n"/>
      <c r="J561" s="22" t="n"/>
      <c r="K561" s="23" t="n"/>
    </row>
    <row r="562">
      <c r="A562" s="27" t="n"/>
      <c r="B562" s="23" t="n"/>
      <c r="C562" s="23" t="n"/>
      <c r="D562" s="28" t="n"/>
      <c r="E562" s="28" t="n"/>
      <c r="F562" s="28" t="n"/>
      <c r="G562" s="28" t="n"/>
      <c r="H562" s="28" t="n"/>
      <c r="I562" s="28" t="n"/>
      <c r="J562" s="22" t="n"/>
      <c r="K562" s="23" t="n"/>
    </row>
    <row r="563">
      <c r="A563" s="27" t="n"/>
      <c r="B563" s="23" t="n"/>
      <c r="C563" s="23" t="n"/>
      <c r="D563" s="28" t="n"/>
      <c r="E563" s="28" t="n"/>
      <c r="F563" s="28" t="n"/>
      <c r="G563" s="28" t="n"/>
      <c r="H563" s="28" t="n"/>
      <c r="I563" s="28" t="n"/>
      <c r="J563" s="22" t="n"/>
      <c r="K563" s="23" t="n"/>
    </row>
    <row r="564">
      <c r="A564" s="27" t="n"/>
      <c r="B564" s="23" t="n"/>
      <c r="C564" s="23" t="n"/>
      <c r="D564" s="28" t="n"/>
      <c r="E564" s="28" t="n"/>
      <c r="F564" s="28" t="n"/>
      <c r="G564" s="28" t="n"/>
      <c r="H564" s="28" t="n"/>
      <c r="I564" s="28" t="n"/>
      <c r="J564" s="22" t="n"/>
      <c r="K564" s="23" t="n"/>
    </row>
    <row r="565">
      <c r="A565" s="27" t="n"/>
      <c r="B565" s="23" t="n"/>
      <c r="C565" s="23" t="n"/>
      <c r="D565" s="28" t="n"/>
      <c r="E565" s="28" t="n"/>
      <c r="F565" s="28" t="n"/>
      <c r="G565" s="28" t="n"/>
      <c r="H565" s="28" t="n"/>
      <c r="I565" s="28" t="n"/>
      <c r="J565" s="22" t="n"/>
      <c r="K565" s="23" t="n"/>
    </row>
    <row r="566">
      <c r="A566" s="27" t="n"/>
      <c r="B566" s="23" t="n"/>
      <c r="C566" s="23" t="n"/>
      <c r="D566" s="28" t="n"/>
      <c r="E566" s="28" t="n"/>
      <c r="F566" s="28" t="n"/>
      <c r="G566" s="28" t="n"/>
      <c r="H566" s="28" t="n"/>
      <c r="I566" s="28" t="n"/>
      <c r="J566" s="22" t="n"/>
      <c r="K566" s="23" t="n"/>
    </row>
    <row r="567">
      <c r="A567" s="27" t="n"/>
      <c r="B567" s="23" t="n"/>
      <c r="C567" s="23" t="n"/>
      <c r="D567" s="28" t="n"/>
      <c r="E567" s="28" t="n"/>
      <c r="F567" s="28" t="n"/>
      <c r="G567" s="28" t="n"/>
      <c r="H567" s="28" t="n"/>
      <c r="I567" s="28" t="n"/>
      <c r="J567" s="22" t="n"/>
      <c r="K567" s="23" t="n"/>
    </row>
    <row r="568">
      <c r="A568" s="27" t="n"/>
      <c r="B568" s="23" t="n"/>
      <c r="C568" s="23" t="n"/>
      <c r="D568" s="28" t="n"/>
      <c r="E568" s="28" t="n"/>
      <c r="F568" s="28" t="n"/>
      <c r="G568" s="28" t="n"/>
      <c r="H568" s="28" t="n"/>
      <c r="I568" s="28" t="n"/>
      <c r="J568" s="22" t="n"/>
      <c r="K568" s="23" t="n"/>
    </row>
    <row r="569">
      <c r="A569" s="27" t="n"/>
      <c r="B569" s="23" t="n"/>
      <c r="C569" s="23" t="n"/>
      <c r="D569" s="28" t="n"/>
      <c r="E569" s="28" t="n"/>
      <c r="F569" s="28" t="n"/>
      <c r="G569" s="28" t="n"/>
      <c r="H569" s="28" t="n"/>
      <c r="I569" s="28" t="n"/>
      <c r="J569" s="22" t="n"/>
      <c r="K569" s="23" t="n"/>
    </row>
    <row r="570">
      <c r="A570" s="27" t="n"/>
      <c r="B570" s="23" t="n"/>
      <c r="C570" s="23" t="n"/>
      <c r="D570" s="28" t="n"/>
      <c r="E570" s="28" t="n"/>
      <c r="F570" s="28" t="n"/>
      <c r="G570" s="28" t="n"/>
      <c r="H570" s="28" t="n"/>
      <c r="I570" s="28" t="n"/>
      <c r="J570" s="22" t="n"/>
      <c r="K570" s="23" t="n"/>
    </row>
    <row r="571">
      <c r="A571" s="27" t="n"/>
      <c r="B571" s="23" t="n"/>
      <c r="C571" s="23" t="n"/>
      <c r="D571" s="28" t="n"/>
      <c r="E571" s="28" t="n"/>
      <c r="F571" s="28" t="n"/>
      <c r="G571" s="28" t="n"/>
      <c r="H571" s="28" t="n"/>
      <c r="I571" s="28" t="n"/>
      <c r="J571" s="22" t="n"/>
      <c r="K571" s="23" t="n"/>
    </row>
    <row r="572">
      <c r="A572" s="27" t="n"/>
      <c r="B572" s="23" t="n"/>
      <c r="C572" s="23" t="n"/>
      <c r="D572" s="28" t="n"/>
      <c r="E572" s="28" t="n"/>
      <c r="F572" s="28" t="n"/>
      <c r="G572" s="28" t="n"/>
      <c r="H572" s="28" t="n"/>
      <c r="I572" s="28" t="n"/>
      <c r="J572" s="22" t="n"/>
      <c r="K572" s="23" t="n"/>
    </row>
    <row r="573">
      <c r="A573" s="27" t="n"/>
      <c r="B573" s="23" t="n"/>
      <c r="C573" s="23" t="n"/>
      <c r="D573" s="28" t="n"/>
      <c r="E573" s="28" t="n"/>
      <c r="F573" s="28" t="n"/>
      <c r="G573" s="28" t="n"/>
      <c r="H573" s="28" t="n"/>
      <c r="I573" s="28" t="n"/>
      <c r="J573" s="22" t="n"/>
      <c r="K573" s="23" t="n"/>
    </row>
    <row r="574">
      <c r="A574" s="27" t="n"/>
      <c r="B574" s="23" t="n"/>
      <c r="C574" s="23" t="n"/>
      <c r="D574" s="28" t="n"/>
      <c r="E574" s="28" t="n"/>
      <c r="F574" s="28" t="n"/>
      <c r="G574" s="28" t="n"/>
      <c r="H574" s="28" t="n"/>
      <c r="I574" s="28" t="n"/>
      <c r="J574" s="22" t="n"/>
      <c r="K574" s="23" t="n"/>
    </row>
    <row r="575">
      <c r="A575" s="27" t="n"/>
      <c r="B575" s="23" t="n"/>
      <c r="C575" s="23" t="n"/>
      <c r="D575" s="28" t="n"/>
      <c r="E575" s="28" t="n"/>
      <c r="F575" s="28" t="n"/>
      <c r="G575" s="28" t="n"/>
      <c r="H575" s="28" t="n"/>
      <c r="I575" s="28" t="n"/>
      <c r="J575" s="22" t="n"/>
      <c r="K575" s="23" t="n"/>
    </row>
    <row r="576">
      <c r="A576" s="27" t="n"/>
      <c r="B576" s="23" t="n"/>
      <c r="C576" s="23" t="n"/>
      <c r="D576" s="28" t="n"/>
      <c r="E576" s="28" t="n"/>
      <c r="F576" s="28" t="n"/>
      <c r="G576" s="28" t="n"/>
      <c r="H576" s="28" t="n"/>
      <c r="I576" s="28" t="n"/>
      <c r="J576" s="22" t="n"/>
      <c r="K576" s="23" t="n"/>
    </row>
    <row r="577">
      <c r="A577" s="27" t="n"/>
      <c r="B577" s="23" t="n"/>
      <c r="C577" s="23" t="n"/>
      <c r="D577" s="28" t="n"/>
      <c r="E577" s="28" t="n"/>
      <c r="F577" s="28" t="n"/>
      <c r="G577" s="28" t="n"/>
      <c r="H577" s="28" t="n"/>
      <c r="I577" s="28" t="n"/>
      <c r="J577" s="22" t="n"/>
      <c r="K577" s="23" t="n"/>
    </row>
    <row r="578">
      <c r="A578" s="27" t="n"/>
      <c r="B578" s="23" t="n"/>
      <c r="C578" s="23" t="n"/>
      <c r="D578" s="28" t="n"/>
      <c r="E578" s="28" t="n"/>
      <c r="F578" s="28" t="n"/>
      <c r="G578" s="28" t="n"/>
      <c r="H578" s="28" t="n"/>
      <c r="I578" s="28" t="n"/>
      <c r="J578" s="22" t="n"/>
      <c r="K578" s="23" t="n"/>
    </row>
    <row r="579">
      <c r="A579" s="27" t="n"/>
      <c r="B579" s="23" t="n"/>
      <c r="C579" s="23" t="n"/>
      <c r="D579" s="28" t="n"/>
      <c r="E579" s="28" t="n"/>
      <c r="F579" s="28" t="n"/>
      <c r="G579" s="28" t="n"/>
      <c r="H579" s="28" t="n"/>
      <c r="I579" s="28" t="n"/>
      <c r="J579" s="22" t="n"/>
      <c r="K579" s="23" t="n"/>
    </row>
    <row r="580">
      <c r="A580" s="27" t="n"/>
      <c r="B580" s="23" t="n"/>
      <c r="C580" s="23" t="n"/>
      <c r="D580" s="28" t="n"/>
      <c r="E580" s="28" t="n"/>
      <c r="F580" s="28" t="n"/>
      <c r="G580" s="28" t="n"/>
      <c r="H580" s="28" t="n"/>
      <c r="I580" s="28" t="n"/>
      <c r="J580" s="22" t="n"/>
      <c r="K580" s="23" t="n"/>
    </row>
    <row r="581">
      <c r="A581" s="27" t="n"/>
      <c r="B581" s="23" t="n"/>
      <c r="C581" s="23" t="n"/>
      <c r="D581" s="28" t="n"/>
      <c r="E581" s="28" t="n"/>
      <c r="F581" s="28" t="n"/>
      <c r="G581" s="28" t="n"/>
      <c r="H581" s="28" t="n"/>
      <c r="I581" s="28" t="n"/>
      <c r="J581" s="22" t="n"/>
      <c r="K581" s="23" t="n"/>
    </row>
    <row r="582">
      <c r="A582" s="27" t="n"/>
      <c r="B582" s="23" t="n"/>
      <c r="C582" s="23" t="n"/>
      <c r="D582" s="28" t="n"/>
      <c r="E582" s="28" t="n"/>
      <c r="F582" s="28" t="n"/>
      <c r="G582" s="28" t="n"/>
      <c r="H582" s="28" t="n"/>
      <c r="I582" s="28" t="n"/>
      <c r="J582" s="22" t="n"/>
      <c r="K582" s="23" t="n"/>
    </row>
    <row r="583">
      <c r="A583" s="27" t="n"/>
      <c r="B583" s="23" t="n"/>
      <c r="C583" s="23" t="n"/>
      <c r="D583" s="28" t="n"/>
      <c r="E583" s="28" t="n"/>
      <c r="F583" s="28" t="n"/>
      <c r="G583" s="28" t="n"/>
      <c r="H583" s="28" t="n"/>
      <c r="I583" s="28" t="n"/>
      <c r="J583" s="22" t="n"/>
      <c r="K583" s="23" t="n"/>
    </row>
    <row r="584">
      <c r="A584" s="27" t="n"/>
      <c r="B584" s="23" t="n"/>
      <c r="C584" s="23" t="n"/>
      <c r="D584" s="28" t="n"/>
      <c r="E584" s="28" t="n"/>
      <c r="F584" s="28" t="n"/>
      <c r="G584" s="28" t="n"/>
      <c r="H584" s="28" t="n"/>
      <c r="I584" s="28" t="n"/>
      <c r="J584" s="22" t="n"/>
      <c r="K584" s="23" t="n"/>
    </row>
    <row r="585">
      <c r="A585" s="27" t="n"/>
      <c r="B585" s="23" t="n"/>
      <c r="C585" s="23" t="n"/>
      <c r="D585" s="28" t="n"/>
      <c r="E585" s="28" t="n"/>
      <c r="F585" s="28" t="n"/>
      <c r="G585" s="28" t="n"/>
      <c r="H585" s="28" t="n"/>
      <c r="I585" s="28" t="n"/>
      <c r="J585" s="22" t="n"/>
      <c r="K585" s="23" t="n"/>
    </row>
    <row r="586">
      <c r="A586" s="27" t="n"/>
      <c r="B586" s="23" t="n"/>
      <c r="C586" s="23" t="n"/>
      <c r="D586" s="28" t="n"/>
      <c r="E586" s="28" t="n"/>
      <c r="F586" s="28" t="n"/>
      <c r="G586" s="28" t="n"/>
      <c r="H586" s="28" t="n"/>
      <c r="I586" s="28" t="n"/>
      <c r="J586" s="22" t="n"/>
      <c r="K586" s="23" t="n"/>
    </row>
    <row r="587">
      <c r="A587" s="27" t="n"/>
      <c r="B587" s="23" t="n"/>
      <c r="C587" s="23" t="n"/>
      <c r="D587" s="28" t="n"/>
      <c r="E587" s="28" t="n"/>
      <c r="F587" s="28" t="n"/>
      <c r="G587" s="28" t="n"/>
      <c r="H587" s="28" t="n"/>
      <c r="I587" s="28" t="n"/>
      <c r="J587" s="22" t="n"/>
      <c r="K587" s="23" t="n"/>
    </row>
    <row r="588">
      <c r="A588" s="27" t="n"/>
      <c r="B588" s="23" t="n"/>
      <c r="C588" s="23" t="n"/>
      <c r="D588" s="28" t="n"/>
      <c r="E588" s="28" t="n"/>
      <c r="F588" s="28" t="n"/>
      <c r="G588" s="28" t="n"/>
      <c r="H588" s="28" t="n"/>
      <c r="I588" s="28" t="n"/>
      <c r="J588" s="22" t="n"/>
      <c r="K588" s="23" t="n"/>
    </row>
    <row r="589">
      <c r="A589" s="27" t="n"/>
      <c r="B589" s="23" t="n"/>
      <c r="C589" s="23" t="n"/>
      <c r="D589" s="28" t="n"/>
      <c r="E589" s="28" t="n"/>
      <c r="F589" s="28" t="n"/>
      <c r="G589" s="28" t="n"/>
      <c r="H589" s="28" t="n"/>
      <c r="I589" s="28" t="n"/>
      <c r="J589" s="22" t="n"/>
      <c r="K589" s="23" t="n"/>
    </row>
    <row r="590">
      <c r="A590" s="27" t="n"/>
      <c r="B590" s="23" t="n"/>
      <c r="C590" s="23" t="n"/>
      <c r="D590" s="28" t="n"/>
      <c r="E590" s="28" t="n"/>
      <c r="F590" s="28" t="n"/>
      <c r="G590" s="28" t="n"/>
      <c r="H590" s="28" t="n"/>
      <c r="I590" s="28" t="n"/>
      <c r="J590" s="22" t="n"/>
      <c r="K590" s="23" t="n"/>
    </row>
    <row r="591">
      <c r="A591" s="27" t="n"/>
      <c r="B591" s="23" t="n"/>
      <c r="C591" s="23" t="n"/>
      <c r="D591" s="28" t="n"/>
      <c r="E591" s="28" t="n"/>
      <c r="F591" s="28" t="n"/>
      <c r="G591" s="28" t="n"/>
      <c r="H591" s="28" t="n"/>
      <c r="I591" s="28" t="n"/>
      <c r="J591" s="22" t="n"/>
      <c r="K591" s="23" t="n"/>
    </row>
    <row r="592">
      <c r="A592" s="27" t="n"/>
      <c r="B592" s="23" t="n"/>
      <c r="C592" s="23" t="n"/>
      <c r="D592" s="28" t="n"/>
      <c r="E592" s="28" t="n"/>
      <c r="F592" s="28" t="n"/>
      <c r="G592" s="28" t="n"/>
      <c r="H592" s="28" t="n"/>
      <c r="I592" s="28" t="n"/>
      <c r="J592" s="22" t="n"/>
      <c r="K592" s="23" t="n"/>
    </row>
    <row r="593">
      <c r="A593" s="27" t="n"/>
      <c r="B593" s="23" t="n"/>
      <c r="C593" s="23" t="n"/>
      <c r="D593" s="28" t="n"/>
      <c r="E593" s="28" t="n"/>
      <c r="F593" s="28" t="n"/>
      <c r="G593" s="28" t="n"/>
      <c r="H593" s="28" t="n"/>
      <c r="I593" s="28" t="n"/>
      <c r="J593" s="22" t="n"/>
      <c r="K593" s="23" t="n"/>
    </row>
    <row r="594">
      <c r="A594" s="27" t="n"/>
      <c r="B594" s="23" t="n"/>
      <c r="C594" s="23" t="n"/>
      <c r="D594" s="28" t="n"/>
      <c r="E594" s="28" t="n"/>
      <c r="F594" s="28" t="n"/>
      <c r="G594" s="28" t="n"/>
      <c r="H594" s="28" t="n"/>
      <c r="I594" s="28" t="n"/>
      <c r="J594" s="22" t="n"/>
      <c r="K594" s="23" t="n"/>
    </row>
    <row r="595">
      <c r="A595" s="27" t="n"/>
      <c r="B595" s="23" t="n"/>
      <c r="C595" s="23" t="n"/>
      <c r="D595" s="28" t="n"/>
      <c r="E595" s="28" t="n"/>
      <c r="F595" s="28" t="n"/>
      <c r="G595" s="28" t="n"/>
      <c r="H595" s="28" t="n"/>
      <c r="I595" s="28" t="n"/>
      <c r="J595" s="22" t="n"/>
      <c r="K595" s="23" t="n"/>
    </row>
    <row r="596">
      <c r="A596" s="27" t="n"/>
      <c r="B596" s="23" t="n"/>
      <c r="C596" s="23" t="n"/>
      <c r="D596" s="28" t="n"/>
      <c r="E596" s="28" t="n"/>
      <c r="F596" s="28" t="n"/>
      <c r="G596" s="28" t="n"/>
      <c r="H596" s="28" t="n"/>
      <c r="I596" s="28" t="n"/>
      <c r="J596" s="22" t="n"/>
      <c r="K596" s="23" t="n"/>
    </row>
    <row r="597">
      <c r="A597" s="27" t="n"/>
      <c r="B597" s="23" t="n"/>
      <c r="C597" s="23" t="n"/>
      <c r="D597" s="28" t="n"/>
      <c r="E597" s="28" t="n"/>
      <c r="F597" s="28" t="n"/>
      <c r="G597" s="28" t="n"/>
      <c r="H597" s="28" t="n"/>
      <c r="I597" s="28" t="n"/>
      <c r="J597" s="22" t="n"/>
      <c r="K597" s="23" t="n"/>
    </row>
    <row r="598">
      <c r="A598" s="27" t="n"/>
      <c r="B598" s="23" t="n"/>
      <c r="C598" s="23" t="n"/>
      <c r="D598" s="28" t="n"/>
      <c r="E598" s="28" t="n"/>
      <c r="F598" s="28" t="n"/>
      <c r="G598" s="28" t="n"/>
      <c r="H598" s="28" t="n"/>
      <c r="I598" s="28" t="n"/>
      <c r="J598" s="22" t="n"/>
      <c r="K598" s="23" t="n"/>
    </row>
    <row r="599">
      <c r="A599" s="27" t="n"/>
      <c r="B599" s="23" t="n"/>
      <c r="C599" s="23" t="n"/>
      <c r="D599" s="28" t="n"/>
      <c r="E599" s="28" t="n"/>
      <c r="F599" s="28" t="n"/>
      <c r="G599" s="28" t="n"/>
      <c r="H599" s="28" t="n"/>
      <c r="I599" s="28" t="n"/>
      <c r="J599" s="22" t="n"/>
      <c r="K599" s="23" t="n"/>
    </row>
    <row r="600">
      <c r="A600" s="27" t="n"/>
      <c r="B600" s="23" t="n"/>
      <c r="C600" s="23" t="n"/>
      <c r="D600" s="28" t="n"/>
      <c r="E600" s="28" t="n"/>
      <c r="F600" s="28" t="n"/>
      <c r="G600" s="28" t="n"/>
      <c r="H600" s="28" t="n"/>
      <c r="I600" s="28" t="n"/>
      <c r="J600" s="22" t="n"/>
      <c r="K600" s="23" t="n"/>
    </row>
    <row r="601">
      <c r="A601" s="27" t="n"/>
      <c r="B601" s="23" t="n"/>
      <c r="C601" s="23" t="n"/>
      <c r="D601" s="28" t="n"/>
      <c r="E601" s="28" t="n"/>
      <c r="F601" s="28" t="n"/>
      <c r="G601" s="28" t="n"/>
      <c r="H601" s="28" t="n"/>
      <c r="I601" s="28" t="n"/>
      <c r="J601" s="22" t="n"/>
      <c r="K601" s="23" t="n"/>
    </row>
    <row r="602">
      <c r="A602" s="27" t="n"/>
      <c r="B602" s="23" t="n"/>
      <c r="C602" s="23" t="n"/>
      <c r="D602" s="28" t="n"/>
      <c r="E602" s="28" t="n"/>
      <c r="F602" s="28" t="n"/>
      <c r="G602" s="28" t="n"/>
      <c r="H602" s="28" t="n"/>
      <c r="I602" s="28" t="n"/>
      <c r="J602" s="22" t="n"/>
      <c r="K602" s="23" t="n"/>
    </row>
    <row r="603">
      <c r="A603" s="27" t="n"/>
      <c r="B603" s="23" t="n"/>
      <c r="C603" s="23" t="n"/>
      <c r="D603" s="28" t="n"/>
      <c r="E603" s="28" t="n"/>
      <c r="F603" s="28" t="n"/>
      <c r="G603" s="28" t="n"/>
      <c r="H603" s="28" t="n"/>
      <c r="I603" s="28" t="n"/>
      <c r="J603" s="22" t="n"/>
      <c r="K603" s="23" t="n"/>
    </row>
    <row r="604">
      <c r="A604" s="27" t="n"/>
      <c r="B604" s="23" t="n"/>
      <c r="C604" s="23" t="n"/>
      <c r="D604" s="28" t="n"/>
      <c r="E604" s="28" t="n"/>
      <c r="F604" s="28" t="n"/>
      <c r="G604" s="28" t="n"/>
      <c r="H604" s="28" t="n"/>
      <c r="I604" s="28" t="n"/>
      <c r="J604" s="22" t="n"/>
      <c r="K604" s="23" t="n"/>
    </row>
    <row r="605">
      <c r="A605" s="27" t="n"/>
      <c r="B605" s="23" t="n"/>
      <c r="C605" s="23" t="n"/>
      <c r="D605" s="28" t="n"/>
      <c r="E605" s="28" t="n"/>
      <c r="F605" s="28" t="n"/>
      <c r="G605" s="28" t="n"/>
      <c r="H605" s="28" t="n"/>
      <c r="I605" s="28" t="n"/>
      <c r="J605" s="22" t="n"/>
      <c r="K605" s="23" t="n"/>
    </row>
    <row r="606">
      <c r="A606" s="27" t="n"/>
      <c r="B606" s="23" t="n"/>
      <c r="C606" s="23" t="n"/>
      <c r="D606" s="28" t="n"/>
      <c r="E606" s="28" t="n"/>
      <c r="F606" s="28" t="n"/>
      <c r="G606" s="28" t="n"/>
      <c r="H606" s="28" t="n"/>
      <c r="I606" s="28" t="n"/>
      <c r="J606" s="22" t="n"/>
      <c r="K606" s="23" t="n"/>
    </row>
    <row r="607">
      <c r="A607" s="27" t="n"/>
      <c r="B607" s="23" t="n"/>
      <c r="C607" s="23" t="n"/>
      <c r="D607" s="28" t="n"/>
      <c r="E607" s="28" t="n"/>
      <c r="F607" s="28" t="n"/>
      <c r="G607" s="28" t="n"/>
      <c r="H607" s="28" t="n"/>
      <c r="I607" s="28" t="n"/>
      <c r="J607" s="22" t="n"/>
      <c r="K607" s="23" t="n"/>
    </row>
    <row r="608">
      <c r="A608" s="27" t="n"/>
      <c r="B608" s="23" t="n"/>
      <c r="C608" s="23" t="n"/>
      <c r="D608" s="28" t="n"/>
      <c r="E608" s="28" t="n"/>
      <c r="F608" s="28" t="n"/>
      <c r="G608" s="28" t="n"/>
      <c r="H608" s="28" t="n"/>
      <c r="I608" s="28" t="n"/>
      <c r="J608" s="22" t="n"/>
      <c r="K608" s="23" t="n"/>
    </row>
    <row r="609">
      <c r="A609" s="27" t="n"/>
      <c r="B609" s="23" t="n"/>
      <c r="C609" s="23" t="n"/>
      <c r="D609" s="28" t="n"/>
      <c r="E609" s="28" t="n"/>
      <c r="F609" s="28" t="n"/>
      <c r="G609" s="28" t="n"/>
      <c r="H609" s="28" t="n"/>
      <c r="I609" s="28" t="n"/>
      <c r="J609" s="22" t="n"/>
      <c r="K609" s="23" t="n"/>
    </row>
    <row r="610">
      <c r="A610" s="27" t="n"/>
      <c r="B610" s="23" t="n"/>
      <c r="C610" s="23" t="n"/>
      <c r="D610" s="28" t="n"/>
      <c r="E610" s="28" t="n"/>
      <c r="F610" s="28" t="n"/>
      <c r="G610" s="28" t="n"/>
      <c r="H610" s="28" t="n"/>
      <c r="I610" s="28" t="n"/>
      <c r="J610" s="22" t="n"/>
      <c r="K610" s="23" t="n"/>
    </row>
    <row r="611">
      <c r="A611" s="27" t="n"/>
      <c r="B611" s="23" t="n"/>
      <c r="C611" s="23" t="n"/>
      <c r="D611" s="28" t="n"/>
      <c r="E611" s="28" t="n"/>
      <c r="F611" s="28" t="n"/>
      <c r="G611" s="28" t="n"/>
      <c r="H611" s="28" t="n"/>
      <c r="I611" s="28" t="n"/>
      <c r="J611" s="22" t="n"/>
      <c r="K611" s="23" t="n"/>
    </row>
    <row r="612">
      <c r="A612" s="27" t="n"/>
      <c r="B612" s="23" t="n"/>
      <c r="C612" s="23" t="n"/>
      <c r="D612" s="28" t="n"/>
      <c r="E612" s="28" t="n"/>
      <c r="F612" s="28" t="n"/>
      <c r="G612" s="28" t="n"/>
      <c r="H612" s="28" t="n"/>
      <c r="I612" s="28" t="n"/>
      <c r="J612" s="22" t="n"/>
      <c r="K612" s="23" t="n"/>
    </row>
    <row r="613">
      <c r="A613" s="27" t="n"/>
      <c r="B613" s="23" t="n"/>
      <c r="C613" s="23" t="n"/>
      <c r="D613" s="28" t="n"/>
      <c r="E613" s="28" t="n"/>
      <c r="F613" s="28" t="n"/>
      <c r="G613" s="28" t="n"/>
      <c r="H613" s="28" t="n"/>
      <c r="I613" s="28" t="n"/>
      <c r="J613" s="22" t="n"/>
      <c r="K613" s="23" t="n"/>
    </row>
    <row r="614">
      <c r="A614" s="27" t="n"/>
      <c r="B614" s="23" t="n"/>
      <c r="C614" s="23" t="n"/>
      <c r="D614" s="28" t="n"/>
      <c r="E614" s="28" t="n"/>
      <c r="F614" s="28" t="n"/>
      <c r="G614" s="28" t="n"/>
      <c r="H614" s="28" t="n"/>
      <c r="I614" s="28" t="n"/>
      <c r="J614" s="22" t="n"/>
      <c r="K614" s="23" t="n"/>
    </row>
    <row r="615">
      <c r="A615" s="27" t="n"/>
      <c r="B615" s="23" t="n"/>
      <c r="C615" s="23" t="n"/>
      <c r="D615" s="28" t="n"/>
      <c r="E615" s="28" t="n"/>
      <c r="F615" s="28" t="n"/>
      <c r="G615" s="28" t="n"/>
      <c r="H615" s="28" t="n"/>
      <c r="I615" s="28" t="n"/>
      <c r="J615" s="22" t="n"/>
      <c r="K615" s="23" t="n"/>
    </row>
    <row r="616">
      <c r="A616" s="27" t="n"/>
      <c r="B616" s="23" t="n"/>
      <c r="C616" s="23" t="n"/>
      <c r="D616" s="28" t="n"/>
      <c r="E616" s="28" t="n"/>
      <c r="F616" s="28" t="n"/>
      <c r="G616" s="28" t="n"/>
      <c r="H616" s="28" t="n"/>
      <c r="I616" s="28" t="n"/>
      <c r="J616" s="22" t="n"/>
      <c r="K616" s="23" t="n"/>
    </row>
    <row r="617">
      <c r="A617" s="27" t="n"/>
      <c r="B617" s="23" t="n"/>
      <c r="C617" s="23" t="n"/>
      <c r="D617" s="28" t="n"/>
      <c r="E617" s="28" t="n"/>
      <c r="F617" s="28" t="n"/>
      <c r="G617" s="28" t="n"/>
      <c r="H617" s="28" t="n"/>
      <c r="I617" s="28" t="n"/>
      <c r="J617" s="22" t="n"/>
      <c r="K617" s="23" t="n"/>
    </row>
    <row r="618">
      <c r="A618" s="27" t="n"/>
      <c r="B618" s="23" t="n"/>
      <c r="C618" s="23" t="n"/>
      <c r="D618" s="28" t="n"/>
      <c r="E618" s="28" t="n"/>
      <c r="F618" s="28" t="n"/>
      <c r="G618" s="28" t="n"/>
      <c r="H618" s="28" t="n"/>
      <c r="I618" s="28" t="n"/>
      <c r="J618" s="22" t="n"/>
      <c r="K618" s="23" t="n"/>
    </row>
    <row r="619">
      <c r="A619" s="27" t="n"/>
      <c r="B619" s="23" t="n"/>
      <c r="C619" s="23" t="n"/>
      <c r="D619" s="28" t="n"/>
      <c r="E619" s="28" t="n"/>
      <c r="F619" s="28" t="n"/>
      <c r="G619" s="28" t="n"/>
      <c r="H619" s="28" t="n"/>
      <c r="I619" s="28" t="n"/>
      <c r="J619" s="22" t="n"/>
      <c r="K619" s="23" t="n"/>
    </row>
    <row r="620">
      <c r="A620" s="27" t="n"/>
      <c r="B620" s="23" t="n"/>
      <c r="C620" s="23" t="n"/>
      <c r="D620" s="28" t="n"/>
      <c r="E620" s="28" t="n"/>
      <c r="F620" s="28" t="n"/>
      <c r="G620" s="28" t="n"/>
      <c r="H620" s="28" t="n"/>
      <c r="I620" s="28" t="n"/>
      <c r="J620" s="22" t="n"/>
      <c r="K620" s="23" t="n"/>
    </row>
    <row r="621">
      <c r="A621" s="27" t="n"/>
      <c r="B621" s="23" t="n"/>
      <c r="C621" s="23" t="n"/>
      <c r="D621" s="28" t="n"/>
      <c r="E621" s="28" t="n"/>
      <c r="F621" s="28" t="n"/>
      <c r="G621" s="28" t="n"/>
      <c r="H621" s="28" t="n"/>
      <c r="I621" s="28" t="n"/>
      <c r="J621" s="22" t="n"/>
      <c r="K621" s="23" t="n"/>
    </row>
    <row r="622">
      <c r="A622" s="27" t="n"/>
      <c r="B622" s="23" t="n"/>
      <c r="C622" s="23" t="n"/>
      <c r="D622" s="28" t="n"/>
      <c r="E622" s="28" t="n"/>
      <c r="F622" s="28" t="n"/>
      <c r="G622" s="28" t="n"/>
      <c r="H622" s="28" t="n"/>
      <c r="I622" s="28" t="n"/>
      <c r="J622" s="22" t="n"/>
      <c r="K622" s="23" t="n"/>
    </row>
    <row r="623">
      <c r="A623" s="27" t="n"/>
      <c r="B623" s="23" t="n"/>
      <c r="C623" s="23" t="n"/>
      <c r="D623" s="28" t="n"/>
      <c r="E623" s="28" t="n"/>
      <c r="F623" s="28" t="n"/>
      <c r="G623" s="28" t="n"/>
      <c r="H623" s="28" t="n"/>
      <c r="I623" s="28" t="n"/>
      <c r="J623" s="22" t="n"/>
      <c r="K623" s="23" t="n"/>
    </row>
    <row r="624">
      <c r="A624" s="27" t="n"/>
      <c r="B624" s="23" t="n"/>
      <c r="C624" s="23" t="n"/>
      <c r="D624" s="28" t="n"/>
      <c r="E624" s="28" t="n"/>
      <c r="F624" s="28" t="n"/>
      <c r="G624" s="28" t="n"/>
      <c r="H624" s="28" t="n"/>
      <c r="I624" s="28" t="n"/>
      <c r="J624" s="22" t="n"/>
      <c r="K624" s="23" t="n"/>
    </row>
    <row r="625">
      <c r="A625" s="27" t="n"/>
      <c r="B625" s="23" t="n"/>
      <c r="C625" s="23" t="n"/>
      <c r="D625" s="28" t="n"/>
      <c r="E625" s="28" t="n"/>
      <c r="F625" s="28" t="n"/>
      <c r="G625" s="28" t="n"/>
      <c r="H625" s="28" t="n"/>
      <c r="I625" s="28" t="n"/>
      <c r="J625" s="22" t="n"/>
      <c r="K625" s="23" t="n"/>
    </row>
    <row r="626">
      <c r="A626" s="27" t="n"/>
      <c r="B626" s="23" t="n"/>
      <c r="C626" s="23" t="n"/>
      <c r="D626" s="28" t="n"/>
      <c r="E626" s="28" t="n"/>
      <c r="F626" s="28" t="n"/>
      <c r="G626" s="28" t="n"/>
      <c r="H626" s="28" t="n"/>
      <c r="I626" s="28" t="n"/>
      <c r="J626" s="22" t="n"/>
      <c r="K626" s="23" t="n"/>
    </row>
    <row r="627">
      <c r="A627" s="27" t="n"/>
      <c r="B627" s="23" t="n"/>
      <c r="C627" s="23" t="n"/>
      <c r="D627" s="28" t="n"/>
      <c r="E627" s="28" t="n"/>
      <c r="F627" s="28" t="n"/>
      <c r="G627" s="28" t="n"/>
      <c r="H627" s="28" t="n"/>
      <c r="I627" s="28" t="n"/>
      <c r="J627" s="22" t="n"/>
      <c r="K627" s="23" t="n"/>
    </row>
    <row r="628">
      <c r="A628" s="27" t="n"/>
      <c r="B628" s="23" t="n"/>
      <c r="C628" s="23" t="n"/>
      <c r="D628" s="28" t="n"/>
      <c r="E628" s="28" t="n"/>
      <c r="F628" s="28" t="n"/>
      <c r="G628" s="28" t="n"/>
      <c r="H628" s="28" t="n"/>
      <c r="I628" s="28" t="n"/>
      <c r="J628" s="22" t="n"/>
      <c r="K628" s="23" t="n"/>
    </row>
    <row r="629">
      <c r="A629" s="27" t="n"/>
      <c r="B629" s="23" t="n"/>
      <c r="C629" s="23" t="n"/>
      <c r="D629" s="28" t="n"/>
      <c r="E629" s="28" t="n"/>
      <c r="F629" s="28" t="n"/>
      <c r="G629" s="28" t="n"/>
      <c r="H629" s="28" t="n"/>
      <c r="I629" s="28" t="n"/>
      <c r="J629" s="22" t="n"/>
      <c r="K629" s="23" t="n"/>
    </row>
    <row r="630">
      <c r="A630" s="27" t="n"/>
      <c r="B630" s="23" t="n"/>
      <c r="C630" s="23" t="n"/>
      <c r="D630" s="28" t="n"/>
      <c r="E630" s="28" t="n"/>
      <c r="F630" s="28" t="n"/>
      <c r="G630" s="28" t="n"/>
      <c r="H630" s="28" t="n"/>
      <c r="I630" s="28" t="n"/>
      <c r="J630" s="22" t="n"/>
      <c r="K630" s="23" t="n"/>
    </row>
    <row r="631">
      <c r="A631" s="27" t="n"/>
      <c r="B631" s="23" t="n"/>
      <c r="C631" s="23" t="n"/>
      <c r="D631" s="28" t="n"/>
      <c r="E631" s="28" t="n"/>
      <c r="F631" s="28" t="n"/>
      <c r="G631" s="28" t="n"/>
      <c r="H631" s="28" t="n"/>
      <c r="I631" s="28" t="n"/>
      <c r="J631" s="22" t="n"/>
      <c r="K631" s="23" t="n"/>
    </row>
    <row r="632">
      <c r="A632" s="27" t="n"/>
      <c r="B632" s="23" t="n"/>
      <c r="C632" s="23" t="n"/>
      <c r="D632" s="28" t="n"/>
      <c r="E632" s="28" t="n"/>
      <c r="F632" s="28" t="n"/>
      <c r="G632" s="28" t="n"/>
      <c r="H632" s="28" t="n"/>
      <c r="I632" s="28" t="n"/>
      <c r="J632" s="22" t="n"/>
      <c r="K632" s="23" t="n"/>
    </row>
    <row r="633">
      <c r="A633" s="27" t="n"/>
      <c r="B633" s="23" t="n"/>
      <c r="C633" s="23" t="n"/>
      <c r="D633" s="28" t="n"/>
      <c r="E633" s="28" t="n"/>
      <c r="F633" s="28" t="n"/>
      <c r="G633" s="28" t="n"/>
      <c r="H633" s="28" t="n"/>
      <c r="I633" s="28" t="n"/>
      <c r="J633" s="22" t="n"/>
      <c r="K633" s="23" t="n"/>
    </row>
    <row r="634">
      <c r="A634" s="27" t="n"/>
      <c r="B634" s="23" t="n"/>
      <c r="C634" s="23" t="n"/>
      <c r="D634" s="28" t="n"/>
      <c r="E634" s="28" t="n"/>
      <c r="F634" s="28" t="n"/>
      <c r="G634" s="28" t="n"/>
      <c r="H634" s="28" t="n"/>
      <c r="I634" s="28" t="n"/>
      <c r="J634" s="22" t="n"/>
      <c r="K634" s="23" t="n"/>
    </row>
    <row r="635">
      <c r="A635" s="27" t="n"/>
      <c r="B635" s="23" t="n"/>
      <c r="C635" s="23" t="n"/>
      <c r="D635" s="28" t="n"/>
      <c r="E635" s="28" t="n"/>
      <c r="F635" s="28" t="n"/>
      <c r="G635" s="28" t="n"/>
      <c r="H635" s="28" t="n"/>
      <c r="I635" s="28" t="n"/>
      <c r="J635" s="22" t="n"/>
      <c r="K635" s="23" t="n"/>
    </row>
    <row r="636">
      <c r="A636" s="27" t="n"/>
      <c r="B636" s="23" t="n"/>
      <c r="C636" s="23" t="n"/>
      <c r="D636" s="28" t="n"/>
      <c r="E636" s="28" t="n"/>
      <c r="F636" s="28" t="n"/>
      <c r="G636" s="28" t="n"/>
      <c r="H636" s="28" t="n"/>
      <c r="I636" s="28" t="n"/>
      <c r="J636" s="22" t="n"/>
      <c r="K636" s="23" t="n"/>
    </row>
    <row r="637">
      <c r="A637" s="27" t="n"/>
      <c r="B637" s="23" t="n"/>
      <c r="C637" s="23" t="n"/>
      <c r="D637" s="28" t="n"/>
      <c r="E637" s="28" t="n"/>
      <c r="F637" s="28" t="n"/>
      <c r="G637" s="28" t="n"/>
      <c r="H637" s="28" t="n"/>
      <c r="I637" s="28" t="n"/>
      <c r="J637" s="22" t="n"/>
      <c r="K637" s="23" t="n"/>
    </row>
    <row r="638">
      <c r="A638" s="27" t="n"/>
      <c r="B638" s="23" t="n"/>
      <c r="C638" s="23" t="n"/>
      <c r="D638" s="28" t="n"/>
      <c r="E638" s="28" t="n"/>
      <c r="F638" s="28" t="n"/>
      <c r="G638" s="28" t="n"/>
      <c r="H638" s="28" t="n"/>
      <c r="I638" s="28" t="n"/>
      <c r="J638" s="22" t="n"/>
      <c r="K638" s="23" t="n"/>
    </row>
    <row r="639">
      <c r="A639" s="27" t="n"/>
      <c r="B639" s="23" t="n"/>
      <c r="C639" s="23" t="n"/>
      <c r="D639" s="28" t="n"/>
      <c r="E639" s="28" t="n"/>
      <c r="F639" s="28" t="n"/>
      <c r="G639" s="28" t="n"/>
      <c r="H639" s="28" t="n"/>
      <c r="I639" s="28" t="n"/>
      <c r="J639" s="22" t="n"/>
      <c r="K639" s="23" t="n"/>
    </row>
    <row r="640">
      <c r="A640" s="27" t="n"/>
      <c r="B640" s="23" t="n"/>
      <c r="C640" s="23" t="n"/>
      <c r="D640" s="28" t="n"/>
      <c r="E640" s="28" t="n"/>
      <c r="F640" s="28" t="n"/>
      <c r="G640" s="28" t="n"/>
      <c r="H640" s="28" t="n"/>
      <c r="I640" s="28" t="n"/>
      <c r="J640" s="22" t="n"/>
      <c r="K640" s="23" t="n"/>
    </row>
    <row r="641">
      <c r="A641" s="27" t="n"/>
      <c r="B641" s="23" t="n"/>
      <c r="C641" s="23" t="n"/>
      <c r="D641" s="28" t="n"/>
      <c r="E641" s="28" t="n"/>
      <c r="F641" s="28" t="n"/>
      <c r="G641" s="28" t="n"/>
      <c r="H641" s="28" t="n"/>
      <c r="I641" s="28" t="n"/>
      <c r="J641" s="22" t="n"/>
      <c r="K641" s="23" t="n"/>
    </row>
    <row r="642">
      <c r="A642" s="27" t="n"/>
      <c r="B642" s="23" t="n"/>
      <c r="C642" s="23" t="n"/>
      <c r="D642" s="28" t="n"/>
      <c r="E642" s="28" t="n"/>
      <c r="F642" s="28" t="n"/>
      <c r="G642" s="28" t="n"/>
      <c r="H642" s="28" t="n"/>
      <c r="I642" s="28" t="n"/>
      <c r="J642" s="22" t="n"/>
      <c r="K642" s="23" t="n"/>
    </row>
    <row r="643">
      <c r="A643" s="27" t="n"/>
      <c r="B643" s="23" t="n"/>
      <c r="C643" s="23" t="n"/>
      <c r="D643" s="28" t="n"/>
      <c r="E643" s="28" t="n"/>
      <c r="F643" s="28" t="n"/>
      <c r="G643" s="28" t="n"/>
      <c r="H643" s="28" t="n"/>
      <c r="I643" s="28" t="n"/>
      <c r="J643" s="22" t="n"/>
      <c r="K643" s="23" t="n"/>
    </row>
    <row r="644">
      <c r="A644" s="27" t="n"/>
      <c r="B644" s="23" t="n"/>
      <c r="C644" s="23" t="n"/>
      <c r="D644" s="28" t="n"/>
      <c r="E644" s="28" t="n"/>
      <c r="F644" s="28" t="n"/>
      <c r="G644" s="28" t="n"/>
      <c r="H644" s="28" t="n"/>
      <c r="I644" s="28" t="n"/>
      <c r="J644" s="22" t="n"/>
      <c r="K644" s="23" t="n"/>
    </row>
    <row r="645">
      <c r="A645" s="27" t="n"/>
      <c r="B645" s="23" t="n"/>
      <c r="C645" s="23" t="n"/>
      <c r="D645" s="28" t="n"/>
      <c r="E645" s="28" t="n"/>
      <c r="F645" s="28" t="n"/>
      <c r="G645" s="28" t="n"/>
      <c r="H645" s="28" t="n"/>
      <c r="I645" s="28" t="n"/>
      <c r="J645" s="22" t="n"/>
      <c r="K645" s="23" t="n"/>
    </row>
    <row r="646">
      <c r="A646" s="27" t="n"/>
      <c r="B646" s="23" t="n"/>
      <c r="C646" s="23" t="n"/>
      <c r="D646" s="28" t="n"/>
      <c r="E646" s="28" t="n"/>
      <c r="F646" s="28" t="n"/>
      <c r="G646" s="28" t="n"/>
      <c r="H646" s="28" t="n"/>
      <c r="I646" s="28" t="n"/>
      <c r="J646" s="22" t="n"/>
      <c r="K646" s="23" t="n"/>
    </row>
    <row r="647">
      <c r="A647" s="27" t="n"/>
      <c r="B647" s="23" t="n"/>
      <c r="C647" s="23" t="n"/>
      <c r="D647" s="28" t="n"/>
      <c r="E647" s="28" t="n"/>
      <c r="F647" s="28" t="n"/>
      <c r="G647" s="28" t="n"/>
      <c r="H647" s="28" t="n"/>
      <c r="I647" s="28" t="n"/>
      <c r="J647" s="22" t="n"/>
      <c r="K647" s="23" t="n"/>
    </row>
    <row r="648">
      <c r="A648" s="27" t="n"/>
      <c r="B648" s="23" t="n"/>
      <c r="C648" s="23" t="n"/>
      <c r="D648" s="28" t="n"/>
      <c r="E648" s="28" t="n"/>
      <c r="F648" s="28" t="n"/>
      <c r="G648" s="28" t="n"/>
      <c r="H648" s="28" t="n"/>
      <c r="I648" s="28" t="n"/>
      <c r="J648" s="22" t="n"/>
      <c r="K648" s="23" t="n"/>
    </row>
    <row r="649">
      <c r="A649" s="27" t="n"/>
      <c r="B649" s="23" t="n"/>
      <c r="C649" s="23" t="n"/>
      <c r="D649" s="28" t="n"/>
      <c r="E649" s="28" t="n"/>
      <c r="F649" s="28" t="n"/>
      <c r="G649" s="28" t="n"/>
      <c r="H649" s="28" t="n"/>
      <c r="I649" s="28" t="n"/>
      <c r="J649" s="22" t="n"/>
      <c r="K649" s="23" t="n"/>
    </row>
    <row r="650">
      <c r="A650" s="27" t="n"/>
      <c r="B650" s="23" t="n"/>
      <c r="C650" s="23" t="n"/>
      <c r="D650" s="28" t="n"/>
      <c r="E650" s="28" t="n"/>
      <c r="F650" s="28" t="n"/>
      <c r="G650" s="28" t="n"/>
      <c r="H650" s="28" t="n"/>
      <c r="I650" s="28" t="n"/>
      <c r="J650" s="22" t="n"/>
      <c r="K650" s="23" t="n"/>
    </row>
    <row r="651">
      <c r="A651" s="27" t="n"/>
      <c r="B651" s="23" t="n"/>
      <c r="C651" s="23" t="n"/>
      <c r="D651" s="28" t="n"/>
      <c r="E651" s="28" t="n"/>
      <c r="F651" s="28" t="n"/>
      <c r="G651" s="28" t="n"/>
      <c r="H651" s="28" t="n"/>
      <c r="I651" s="28" t="n"/>
      <c r="J651" s="22" t="n"/>
      <c r="K651" s="23" t="n"/>
    </row>
    <row r="652">
      <c r="A652" s="27" t="n"/>
      <c r="B652" s="23" t="n"/>
      <c r="C652" s="23" t="n"/>
      <c r="D652" s="28" t="n"/>
      <c r="E652" s="28" t="n"/>
      <c r="F652" s="28" t="n"/>
      <c r="G652" s="28" t="n"/>
      <c r="H652" s="28" t="n"/>
      <c r="I652" s="28" t="n"/>
      <c r="J652" s="22" t="n"/>
      <c r="K652" s="23" t="n"/>
    </row>
    <row r="653">
      <c r="A653" s="27" t="n"/>
      <c r="B653" s="23" t="n"/>
      <c r="C653" s="23" t="n"/>
      <c r="D653" s="28" t="n"/>
      <c r="E653" s="28" t="n"/>
      <c r="F653" s="28" t="n"/>
      <c r="G653" s="28" t="n"/>
      <c r="H653" s="28" t="n"/>
      <c r="I653" s="28" t="n"/>
      <c r="J653" s="22" t="n"/>
      <c r="K653" s="23" t="n"/>
    </row>
    <row r="654">
      <c r="A654" s="27" t="n"/>
      <c r="B654" s="23" t="n"/>
      <c r="C654" s="23" t="n"/>
      <c r="D654" s="28" t="n"/>
      <c r="E654" s="28" t="n"/>
      <c r="F654" s="28" t="n"/>
      <c r="G654" s="28" t="n"/>
      <c r="H654" s="28" t="n"/>
      <c r="I654" s="28" t="n"/>
      <c r="J654" s="22" t="n"/>
      <c r="K654" s="23" t="n"/>
    </row>
    <row r="655">
      <c r="A655" s="27" t="n"/>
      <c r="B655" s="23" t="n"/>
      <c r="C655" s="23" t="n"/>
      <c r="D655" s="28" t="n"/>
      <c r="E655" s="28" t="n"/>
      <c r="F655" s="28" t="n"/>
      <c r="G655" s="28" t="n"/>
      <c r="H655" s="28" t="n"/>
      <c r="I655" s="28" t="n"/>
      <c r="J655" s="22" t="n"/>
      <c r="K655" s="23" t="n"/>
    </row>
    <row r="656">
      <c r="A656" s="27" t="n"/>
      <c r="B656" s="23" t="n"/>
      <c r="C656" s="23" t="n"/>
      <c r="D656" s="28" t="n"/>
      <c r="E656" s="28" t="n"/>
      <c r="F656" s="28" t="n"/>
      <c r="G656" s="28" t="n"/>
      <c r="H656" s="28" t="n"/>
      <c r="I656" s="28" t="n"/>
      <c r="J656" s="22" t="n"/>
      <c r="K656" s="23" t="n"/>
    </row>
    <row r="657">
      <c r="A657" s="27" t="n"/>
      <c r="B657" s="23" t="n"/>
      <c r="C657" s="23" t="n"/>
      <c r="D657" s="28" t="n"/>
      <c r="E657" s="28" t="n"/>
      <c r="F657" s="28" t="n"/>
      <c r="G657" s="28" t="n"/>
      <c r="H657" s="28" t="n"/>
      <c r="I657" s="28" t="n"/>
      <c r="J657" s="22" t="n"/>
      <c r="K657" s="23" t="n"/>
    </row>
    <row r="658">
      <c r="A658" s="27" t="n"/>
      <c r="B658" s="23" t="n"/>
      <c r="C658" s="23" t="n"/>
      <c r="D658" s="28" t="n"/>
      <c r="E658" s="28" t="n"/>
      <c r="F658" s="28" t="n"/>
      <c r="G658" s="28" t="n"/>
      <c r="H658" s="28" t="n"/>
      <c r="I658" s="28" t="n"/>
      <c r="J658" s="22" t="n"/>
      <c r="K658" s="23" t="n"/>
    </row>
    <row r="659">
      <c r="A659" s="27" t="n"/>
      <c r="B659" s="23" t="n"/>
      <c r="C659" s="23" t="n"/>
      <c r="D659" s="28" t="n"/>
      <c r="E659" s="28" t="n"/>
      <c r="F659" s="28" t="n"/>
      <c r="G659" s="28" t="n"/>
      <c r="H659" s="28" t="n"/>
      <c r="I659" s="28" t="n"/>
      <c r="J659" s="22" t="n"/>
      <c r="K659" s="23" t="n"/>
    </row>
    <row r="660">
      <c r="A660" s="27" t="n"/>
      <c r="B660" s="23" t="n"/>
      <c r="C660" s="23" t="n"/>
      <c r="D660" s="28" t="n"/>
      <c r="E660" s="28" t="n"/>
      <c r="F660" s="28" t="n"/>
      <c r="G660" s="28" t="n"/>
      <c r="H660" s="28" t="n"/>
      <c r="I660" s="28" t="n"/>
      <c r="J660" s="22" t="n"/>
      <c r="K660" s="23" t="n"/>
    </row>
    <row r="661">
      <c r="A661" s="27" t="n"/>
      <c r="B661" s="23" t="n"/>
      <c r="C661" s="23" t="n"/>
      <c r="D661" s="28" t="n"/>
      <c r="E661" s="28" t="n"/>
      <c r="F661" s="28" t="n"/>
      <c r="G661" s="28" t="n"/>
      <c r="H661" s="28" t="n"/>
      <c r="I661" s="28" t="n"/>
      <c r="J661" s="22" t="n"/>
      <c r="K661" s="23" t="n"/>
    </row>
    <row r="662">
      <c r="A662" s="27" t="n"/>
      <c r="B662" s="23" t="n"/>
      <c r="C662" s="23" t="n"/>
      <c r="D662" s="28" t="n"/>
      <c r="E662" s="28" t="n"/>
      <c r="F662" s="28" t="n"/>
      <c r="G662" s="28" t="n"/>
      <c r="H662" s="28" t="n"/>
      <c r="I662" s="28" t="n"/>
      <c r="J662" s="22" t="n"/>
      <c r="K662" s="23" t="n"/>
    </row>
    <row r="663">
      <c r="A663" s="27" t="n"/>
      <c r="B663" s="23" t="n"/>
      <c r="C663" s="23" t="n"/>
      <c r="D663" s="28" t="n"/>
      <c r="E663" s="28" t="n"/>
      <c r="F663" s="28" t="n"/>
      <c r="G663" s="28" t="n"/>
      <c r="H663" s="28" t="n"/>
      <c r="I663" s="28" t="n"/>
      <c r="J663" s="22" t="n"/>
      <c r="K663" s="23" t="n"/>
    </row>
    <row r="664">
      <c r="A664" s="27" t="n"/>
      <c r="B664" s="23" t="n"/>
      <c r="C664" s="23" t="n"/>
      <c r="D664" s="28" t="n"/>
      <c r="E664" s="28" t="n"/>
      <c r="F664" s="28" t="n"/>
      <c r="G664" s="28" t="n"/>
      <c r="H664" s="28" t="n"/>
      <c r="I664" s="28" t="n"/>
      <c r="J664" s="22" t="n"/>
      <c r="K664" s="23" t="n"/>
    </row>
    <row r="665">
      <c r="A665" s="27" t="n"/>
      <c r="B665" s="23" t="n"/>
      <c r="C665" s="23" t="n"/>
      <c r="D665" s="28" t="n"/>
      <c r="E665" s="28" t="n"/>
      <c r="F665" s="28" t="n"/>
      <c r="G665" s="28" t="n"/>
      <c r="H665" s="28" t="n"/>
      <c r="I665" s="28" t="n"/>
      <c r="J665" s="22" t="n"/>
      <c r="K665" s="23" t="n"/>
    </row>
    <row r="666">
      <c r="A666" s="27" t="n"/>
      <c r="B666" s="23" t="n"/>
      <c r="C666" s="23" t="n"/>
      <c r="D666" s="28" t="n"/>
      <c r="E666" s="28" t="n"/>
      <c r="F666" s="28" t="n"/>
      <c r="G666" s="28" t="n"/>
      <c r="H666" s="28" t="n"/>
      <c r="I666" s="28" t="n"/>
      <c r="J666" s="22" t="n"/>
      <c r="K666" s="23" t="n"/>
    </row>
    <row r="667">
      <c r="A667" s="27" t="n"/>
      <c r="B667" s="23" t="n"/>
      <c r="C667" s="23" t="n"/>
      <c r="D667" s="28" t="n"/>
      <c r="E667" s="28" t="n"/>
      <c r="F667" s="28" t="n"/>
      <c r="G667" s="28" t="n"/>
      <c r="H667" s="28" t="n"/>
      <c r="I667" s="28" t="n"/>
      <c r="J667" s="22" t="n"/>
      <c r="K667" s="23" t="n"/>
    </row>
    <row r="668">
      <c r="A668" s="27" t="n"/>
      <c r="B668" s="23" t="n"/>
      <c r="C668" s="23" t="n"/>
      <c r="D668" s="28" t="n"/>
      <c r="E668" s="28" t="n"/>
      <c r="F668" s="28" t="n"/>
      <c r="G668" s="28" t="n"/>
      <c r="H668" s="28" t="n"/>
      <c r="I668" s="28" t="n"/>
      <c r="J668" s="22" t="n"/>
      <c r="K668" s="23" t="n"/>
    </row>
    <row r="669">
      <c r="A669" s="27" t="n"/>
      <c r="B669" s="23" t="n"/>
      <c r="C669" s="23" t="n"/>
      <c r="D669" s="28" t="n"/>
      <c r="E669" s="28" t="n"/>
      <c r="F669" s="28" t="n"/>
      <c r="G669" s="28" t="n"/>
      <c r="H669" s="28" t="n"/>
      <c r="I669" s="28" t="n"/>
      <c r="J669" s="22" t="n"/>
      <c r="K669" s="23" t="n"/>
    </row>
    <row r="670">
      <c r="A670" s="27" t="n"/>
      <c r="B670" s="23" t="n"/>
      <c r="C670" s="23" t="n"/>
      <c r="D670" s="28" t="n"/>
      <c r="E670" s="28" t="n"/>
      <c r="F670" s="28" t="n"/>
      <c r="G670" s="28" t="n"/>
      <c r="H670" s="28" t="n"/>
      <c r="I670" s="28" t="n"/>
      <c r="J670" s="22" t="n"/>
      <c r="K670" s="23" t="n"/>
    </row>
    <row r="671">
      <c r="A671" s="27" t="n"/>
      <c r="B671" s="23" t="n"/>
      <c r="C671" s="23" t="n"/>
      <c r="D671" s="28" t="n"/>
      <c r="E671" s="28" t="n"/>
      <c r="F671" s="28" t="n"/>
      <c r="G671" s="28" t="n"/>
      <c r="H671" s="28" t="n"/>
      <c r="I671" s="28" t="n"/>
      <c r="J671" s="22" t="n"/>
      <c r="K671" s="23" t="n"/>
    </row>
    <row r="672">
      <c r="A672" s="27" t="n"/>
      <c r="B672" s="23" t="n"/>
      <c r="C672" s="23" t="n"/>
      <c r="D672" s="28" t="n"/>
      <c r="E672" s="28" t="n"/>
      <c r="F672" s="28" t="n"/>
      <c r="G672" s="28" t="n"/>
      <c r="H672" s="28" t="n"/>
      <c r="I672" s="28" t="n"/>
      <c r="J672" s="22" t="n"/>
      <c r="K672" s="23" t="n"/>
    </row>
    <row r="673">
      <c r="A673" s="27" t="n"/>
      <c r="B673" s="23" t="n"/>
      <c r="C673" s="23" t="n"/>
      <c r="D673" s="28" t="n"/>
      <c r="E673" s="28" t="n"/>
      <c r="F673" s="28" t="n"/>
      <c r="G673" s="28" t="n"/>
      <c r="H673" s="28" t="n"/>
      <c r="I673" s="28" t="n"/>
      <c r="J673" s="22" t="n"/>
      <c r="K673" s="23" t="n"/>
    </row>
    <row r="674">
      <c r="A674" s="27" t="n"/>
      <c r="B674" s="23" t="n"/>
      <c r="C674" s="23" t="n"/>
      <c r="D674" s="28" t="n"/>
      <c r="E674" s="28" t="n"/>
      <c r="F674" s="28" t="n"/>
      <c r="G674" s="28" t="n"/>
      <c r="H674" s="28" t="n"/>
      <c r="I674" s="28" t="n"/>
      <c r="J674" s="22" t="n"/>
      <c r="K674" s="23" t="n"/>
    </row>
    <row r="675">
      <c r="A675" s="27" t="n"/>
      <c r="B675" s="23" t="n"/>
      <c r="C675" s="23" t="n"/>
      <c r="D675" s="28" t="n"/>
      <c r="E675" s="28" t="n"/>
      <c r="F675" s="28" t="n"/>
      <c r="G675" s="28" t="n"/>
      <c r="H675" s="28" t="n"/>
      <c r="I675" s="28" t="n"/>
      <c r="J675" s="22" t="n"/>
      <c r="K675" s="23" t="n"/>
    </row>
    <row r="676">
      <c r="A676" s="27" t="n"/>
      <c r="B676" s="23" t="n"/>
      <c r="C676" s="23" t="n"/>
      <c r="D676" s="28" t="n"/>
      <c r="E676" s="28" t="n"/>
      <c r="F676" s="28" t="n"/>
      <c r="G676" s="28" t="n"/>
      <c r="H676" s="28" t="n"/>
      <c r="I676" s="28" t="n"/>
      <c r="J676" s="22" t="n"/>
      <c r="K676" s="23" t="n"/>
    </row>
    <row r="677">
      <c r="A677" s="27" t="n"/>
      <c r="B677" s="23" t="n"/>
      <c r="C677" s="23" t="n"/>
      <c r="D677" s="28" t="n"/>
      <c r="E677" s="28" t="n"/>
      <c r="F677" s="28" t="n"/>
      <c r="G677" s="28" t="n"/>
      <c r="H677" s="28" t="n"/>
      <c r="I677" s="28" t="n"/>
      <c r="J677" s="22" t="n"/>
      <c r="K677" s="23" t="n"/>
    </row>
    <row r="678">
      <c r="A678" s="27" t="n"/>
      <c r="B678" s="23" t="n"/>
      <c r="C678" s="23" t="n"/>
      <c r="D678" s="28" t="n"/>
      <c r="E678" s="28" t="n"/>
      <c r="F678" s="28" t="n"/>
      <c r="G678" s="28" t="n"/>
      <c r="H678" s="28" t="n"/>
      <c r="I678" s="28" t="n"/>
      <c r="J678" s="22" t="n"/>
      <c r="K678" s="23" t="n"/>
    </row>
    <row r="679">
      <c r="A679" s="27" t="n"/>
      <c r="B679" s="23" t="n"/>
      <c r="C679" s="23" t="n"/>
      <c r="D679" s="28" t="n"/>
      <c r="E679" s="28" t="n"/>
      <c r="F679" s="28" t="n"/>
      <c r="G679" s="28" t="n"/>
      <c r="H679" s="28" t="n"/>
      <c r="I679" s="28" t="n"/>
      <c r="J679" s="22" t="n"/>
      <c r="K679" s="23" t="n"/>
    </row>
    <row r="680">
      <c r="A680" s="27" t="n"/>
      <c r="B680" s="23" t="n"/>
      <c r="C680" s="23" t="n"/>
      <c r="D680" s="28" t="n"/>
      <c r="E680" s="28" t="n"/>
      <c r="F680" s="28" t="n"/>
      <c r="G680" s="28" t="n"/>
      <c r="H680" s="28" t="n"/>
      <c r="I680" s="28" t="n"/>
      <c r="J680" s="22" t="n"/>
      <c r="K680" s="23" t="n"/>
    </row>
    <row r="681">
      <c r="A681" s="27" t="n"/>
      <c r="B681" s="23" t="n"/>
      <c r="C681" s="23" t="n"/>
      <c r="D681" s="28" t="n"/>
      <c r="E681" s="28" t="n"/>
      <c r="F681" s="28" t="n"/>
      <c r="G681" s="28" t="n"/>
      <c r="H681" s="28" t="n"/>
      <c r="I681" s="28" t="n"/>
      <c r="J681" s="22" t="n"/>
      <c r="K681" s="23" t="n"/>
    </row>
    <row r="682">
      <c r="A682" s="27" t="n"/>
      <c r="B682" s="23" t="n"/>
      <c r="C682" s="23" t="n"/>
      <c r="D682" s="28" t="n"/>
      <c r="E682" s="28" t="n"/>
      <c r="F682" s="28" t="n"/>
      <c r="G682" s="28" t="n"/>
      <c r="H682" s="28" t="n"/>
      <c r="I682" s="28" t="n"/>
      <c r="J682" s="22" t="n"/>
      <c r="K682" s="23" t="n"/>
    </row>
    <row r="683">
      <c r="A683" s="27" t="n"/>
      <c r="B683" s="23" t="n"/>
      <c r="C683" s="23" t="n"/>
      <c r="D683" s="28" t="n"/>
      <c r="E683" s="28" t="n"/>
      <c r="F683" s="28" t="n"/>
      <c r="G683" s="28" t="n"/>
      <c r="H683" s="28" t="n"/>
      <c r="I683" s="28" t="n"/>
      <c r="J683" s="22" t="n"/>
      <c r="K683" s="23" t="n"/>
    </row>
    <row r="684">
      <c r="A684" s="27" t="n"/>
      <c r="B684" s="23" t="n"/>
      <c r="C684" s="23" t="n"/>
      <c r="D684" s="28" t="n"/>
      <c r="E684" s="28" t="n"/>
      <c r="F684" s="28" t="n"/>
      <c r="G684" s="28" t="n"/>
      <c r="H684" s="28" t="n"/>
      <c r="I684" s="28" t="n"/>
      <c r="J684" s="22" t="n"/>
      <c r="K684" s="23" t="n"/>
    </row>
    <row r="685">
      <c r="A685" s="27" t="n"/>
      <c r="B685" s="23" t="n"/>
      <c r="C685" s="23" t="n"/>
      <c r="D685" s="28" t="n"/>
      <c r="E685" s="28" t="n"/>
      <c r="F685" s="28" t="n"/>
      <c r="G685" s="28" t="n"/>
      <c r="H685" s="28" t="n"/>
      <c r="I685" s="28" t="n"/>
      <c r="J685" s="22" t="n"/>
      <c r="K685" s="23" t="n"/>
    </row>
    <row r="686">
      <c r="A686" s="27" t="n"/>
      <c r="B686" s="23" t="n"/>
      <c r="C686" s="23" t="n"/>
      <c r="D686" s="28" t="n"/>
      <c r="E686" s="28" t="n"/>
      <c r="F686" s="28" t="n"/>
      <c r="G686" s="28" t="n"/>
      <c r="H686" s="28" t="n"/>
      <c r="I686" s="28" t="n"/>
      <c r="J686" s="22" t="n"/>
      <c r="K686" s="23" t="n"/>
    </row>
    <row r="687">
      <c r="A687" s="27" t="n"/>
      <c r="B687" s="23" t="n"/>
      <c r="C687" s="23" t="n"/>
      <c r="D687" s="28" t="n"/>
      <c r="E687" s="28" t="n"/>
      <c r="F687" s="28" t="n"/>
      <c r="G687" s="28" t="n"/>
      <c r="H687" s="28" t="n"/>
      <c r="I687" s="28" t="n"/>
      <c r="J687" s="22" t="n"/>
      <c r="K687" s="23" t="n"/>
    </row>
    <row r="688">
      <c r="A688" s="27" t="n"/>
      <c r="B688" s="23" t="n"/>
      <c r="C688" s="23" t="n"/>
      <c r="D688" s="28" t="n"/>
      <c r="E688" s="28" t="n"/>
      <c r="F688" s="28" t="n"/>
      <c r="G688" s="28" t="n"/>
      <c r="H688" s="28" t="n"/>
      <c r="I688" s="28" t="n"/>
      <c r="J688" s="22" t="n"/>
      <c r="K688" s="23" t="n"/>
    </row>
    <row r="689">
      <c r="A689" s="27" t="n"/>
      <c r="B689" s="23" t="n"/>
      <c r="C689" s="23" t="n"/>
      <c r="D689" s="28" t="n"/>
      <c r="E689" s="28" t="n"/>
      <c r="F689" s="28" t="n"/>
      <c r="G689" s="28" t="n"/>
      <c r="H689" s="28" t="n"/>
      <c r="I689" s="28" t="n"/>
      <c r="J689" s="22" t="n"/>
      <c r="K689" s="23" t="n"/>
    </row>
    <row r="690">
      <c r="A690" s="27" t="n"/>
      <c r="B690" s="23" t="n"/>
      <c r="C690" s="23" t="n"/>
      <c r="D690" s="28" t="n"/>
      <c r="E690" s="28" t="n"/>
      <c r="F690" s="28" t="n"/>
      <c r="G690" s="28" t="n"/>
      <c r="H690" s="28" t="n"/>
      <c r="I690" s="28" t="n"/>
      <c r="J690" s="22" t="n"/>
      <c r="K690" s="23" t="n"/>
    </row>
    <row r="691">
      <c r="A691" s="27" t="n"/>
      <c r="B691" s="23" t="n"/>
      <c r="C691" s="23" t="n"/>
      <c r="D691" s="28" t="n"/>
      <c r="E691" s="28" t="n"/>
      <c r="F691" s="28" t="n"/>
      <c r="G691" s="28" t="n"/>
      <c r="H691" s="28" t="n"/>
      <c r="I691" s="28" t="n"/>
      <c r="J691" s="22" t="n"/>
      <c r="K691" s="23" t="n"/>
    </row>
    <row r="692">
      <c r="A692" s="27" t="n"/>
      <c r="B692" s="23" t="n"/>
      <c r="C692" s="23" t="n"/>
      <c r="D692" s="28" t="n"/>
      <c r="E692" s="28" t="n"/>
      <c r="F692" s="28" t="n"/>
      <c r="G692" s="28" t="n"/>
      <c r="H692" s="28" t="n"/>
      <c r="I692" s="28" t="n"/>
      <c r="J692" s="22" t="n"/>
      <c r="K692" s="23" t="n"/>
    </row>
    <row r="693">
      <c r="A693" s="27" t="n"/>
      <c r="B693" s="23" t="n"/>
      <c r="C693" s="23" t="n"/>
      <c r="D693" s="28" t="n"/>
      <c r="E693" s="28" t="n"/>
      <c r="F693" s="28" t="n"/>
      <c r="G693" s="28" t="n"/>
      <c r="H693" s="28" t="n"/>
      <c r="I693" s="28" t="n"/>
      <c r="J693" s="22" t="n"/>
      <c r="K693" s="23" t="n"/>
    </row>
    <row r="694">
      <c r="A694" s="27" t="n"/>
      <c r="B694" s="23" t="n"/>
      <c r="C694" s="23" t="n"/>
      <c r="D694" s="28" t="n"/>
      <c r="E694" s="28" t="n"/>
      <c r="F694" s="28" t="n"/>
      <c r="G694" s="28" t="n"/>
      <c r="H694" s="28" t="n"/>
      <c r="I694" s="28" t="n"/>
      <c r="J694" s="22" t="n"/>
      <c r="K694" s="23" t="n"/>
    </row>
    <row r="695">
      <c r="A695" s="27" t="n"/>
      <c r="B695" s="23" t="n"/>
      <c r="C695" s="23" t="n"/>
      <c r="D695" s="28" t="n"/>
      <c r="E695" s="28" t="n"/>
      <c r="F695" s="28" t="n"/>
      <c r="G695" s="28" t="n"/>
      <c r="H695" s="28" t="n"/>
      <c r="I695" s="28" t="n"/>
      <c r="J695" s="22" t="n"/>
      <c r="K695" s="23" t="n"/>
    </row>
    <row r="696">
      <c r="A696" s="27" t="n"/>
      <c r="B696" s="23" t="n"/>
      <c r="C696" s="23" t="n"/>
      <c r="D696" s="28" t="n"/>
      <c r="E696" s="28" t="n"/>
      <c r="F696" s="28" t="n"/>
      <c r="G696" s="28" t="n"/>
      <c r="H696" s="28" t="n"/>
      <c r="I696" s="28" t="n"/>
      <c r="J696" s="22" t="n"/>
      <c r="K696" s="23" t="n"/>
    </row>
    <row r="697">
      <c r="A697" s="27" t="n"/>
      <c r="B697" s="23" t="n"/>
      <c r="C697" s="23" t="n"/>
      <c r="D697" s="28" t="n"/>
      <c r="E697" s="28" t="n"/>
      <c r="F697" s="28" t="n"/>
      <c r="G697" s="28" t="n"/>
      <c r="H697" s="28" t="n"/>
      <c r="I697" s="28" t="n"/>
      <c r="J697" s="22" t="n"/>
      <c r="K697" s="23" t="n"/>
    </row>
    <row r="698">
      <c r="A698" s="27" t="n"/>
      <c r="B698" s="23" t="n"/>
      <c r="C698" s="23" t="n"/>
      <c r="D698" s="28" t="n"/>
      <c r="E698" s="28" t="n"/>
      <c r="F698" s="28" t="n"/>
      <c r="G698" s="28" t="n"/>
      <c r="H698" s="28" t="n"/>
      <c r="I698" s="28" t="n"/>
      <c r="J698" s="22" t="n"/>
      <c r="K698" s="23" t="n"/>
    </row>
    <row r="699">
      <c r="A699" s="27" t="n"/>
      <c r="B699" s="23" t="n"/>
      <c r="C699" s="23" t="n"/>
      <c r="D699" s="28" t="n"/>
      <c r="E699" s="28" t="n"/>
      <c r="F699" s="28" t="n"/>
      <c r="G699" s="28" t="n"/>
      <c r="H699" s="28" t="n"/>
      <c r="I699" s="28" t="n"/>
      <c r="J699" s="22" t="n"/>
      <c r="K699" s="23" t="n"/>
    </row>
    <row r="700">
      <c r="A700" s="27" t="n"/>
      <c r="B700" s="23" t="n"/>
      <c r="C700" s="23" t="n"/>
      <c r="D700" s="28" t="n"/>
      <c r="E700" s="28" t="n"/>
      <c r="F700" s="28" t="n"/>
      <c r="G700" s="28" t="n"/>
      <c r="H700" s="28" t="n"/>
      <c r="I700" s="28" t="n"/>
      <c r="J700" s="22" t="n"/>
      <c r="K700" s="23" t="n"/>
    </row>
    <row r="701">
      <c r="A701" s="27" t="n"/>
      <c r="B701" s="23" t="n"/>
      <c r="C701" s="23" t="n"/>
      <c r="D701" s="28" t="n"/>
      <c r="E701" s="28" t="n"/>
      <c r="F701" s="28" t="n"/>
      <c r="G701" s="28" t="n"/>
      <c r="H701" s="28" t="n"/>
      <c r="I701" s="28" t="n"/>
      <c r="J701" s="22" t="n"/>
      <c r="K701" s="23" t="n"/>
    </row>
    <row r="702">
      <c r="A702" s="27" t="n"/>
      <c r="B702" s="23" t="n"/>
      <c r="C702" s="23" t="n"/>
      <c r="D702" s="28" t="n"/>
      <c r="E702" s="28" t="n"/>
      <c r="F702" s="28" t="n"/>
      <c r="G702" s="28" t="n"/>
      <c r="H702" s="28" t="n"/>
      <c r="I702" s="28" t="n"/>
      <c r="J702" s="22" t="n"/>
      <c r="K702" s="23" t="n"/>
    </row>
    <row r="703">
      <c r="A703" s="27" t="n"/>
      <c r="B703" s="23" t="n"/>
      <c r="C703" s="23" t="n"/>
      <c r="D703" s="28" t="n"/>
      <c r="E703" s="28" t="n"/>
      <c r="F703" s="28" t="n"/>
      <c r="G703" s="28" t="n"/>
      <c r="H703" s="28" t="n"/>
      <c r="I703" s="28" t="n"/>
      <c r="J703" s="22" t="n"/>
      <c r="K703" s="23" t="n"/>
    </row>
    <row r="704">
      <c r="A704" s="27" t="n"/>
      <c r="B704" s="23" t="n"/>
      <c r="C704" s="23" t="n"/>
      <c r="D704" s="28" t="n"/>
      <c r="E704" s="28" t="n"/>
      <c r="F704" s="28" t="n"/>
      <c r="G704" s="28" t="n"/>
      <c r="H704" s="28" t="n"/>
      <c r="I704" s="28" t="n"/>
      <c r="J704" s="22" t="n"/>
      <c r="K704" s="23" t="n"/>
    </row>
    <row r="705">
      <c r="A705" s="27" t="n"/>
      <c r="B705" s="23" t="n"/>
      <c r="C705" s="23" t="n"/>
      <c r="D705" s="28" t="n"/>
      <c r="E705" s="28" t="n"/>
      <c r="F705" s="28" t="n"/>
      <c r="G705" s="28" t="n"/>
      <c r="H705" s="28" t="n"/>
      <c r="I705" s="28" t="n"/>
      <c r="J705" s="22" t="n"/>
      <c r="K705" s="23" t="n"/>
    </row>
    <row r="706">
      <c r="A706" s="27" t="n"/>
      <c r="B706" s="23" t="n"/>
      <c r="C706" s="23" t="n"/>
      <c r="D706" s="28" t="n"/>
      <c r="E706" s="28" t="n"/>
      <c r="F706" s="28" t="n"/>
      <c r="G706" s="28" t="n"/>
      <c r="H706" s="28" t="n"/>
      <c r="I706" s="28" t="n"/>
      <c r="J706" s="22" t="n"/>
      <c r="K706" s="23" t="n"/>
    </row>
    <row r="707">
      <c r="A707" s="27" t="n"/>
      <c r="B707" s="23" t="n"/>
      <c r="C707" s="23" t="n"/>
      <c r="D707" s="28" t="n"/>
      <c r="E707" s="28" t="n"/>
      <c r="F707" s="28" t="n"/>
      <c r="G707" s="28" t="n"/>
      <c r="H707" s="28" t="n"/>
      <c r="I707" s="28" t="n"/>
      <c r="J707" s="22" t="n"/>
      <c r="K707" s="23" t="n"/>
    </row>
    <row r="708">
      <c r="A708" s="27" t="n"/>
      <c r="B708" s="23" t="n"/>
      <c r="C708" s="23" t="n"/>
      <c r="D708" s="28" t="n"/>
      <c r="E708" s="28" t="n"/>
      <c r="F708" s="28" t="n"/>
      <c r="G708" s="28" t="n"/>
      <c r="H708" s="28" t="n"/>
      <c r="I708" s="28" t="n"/>
      <c r="J708" s="22" t="n"/>
      <c r="K708" s="23" t="n"/>
    </row>
    <row r="709">
      <c r="A709" s="27" t="n"/>
      <c r="B709" s="23" t="n"/>
      <c r="C709" s="23" t="n"/>
      <c r="D709" s="28" t="n"/>
      <c r="E709" s="28" t="n"/>
      <c r="F709" s="28" t="n"/>
      <c r="G709" s="28" t="n"/>
      <c r="H709" s="28" t="n"/>
      <c r="I709" s="28" t="n"/>
      <c r="J709" s="22" t="n"/>
      <c r="K709" s="23" t="n"/>
    </row>
    <row r="710">
      <c r="A710" s="27" t="n"/>
      <c r="B710" s="23" t="n"/>
      <c r="C710" s="23" t="n"/>
      <c r="D710" s="28" t="n"/>
      <c r="E710" s="28" t="n"/>
      <c r="F710" s="28" t="n"/>
      <c r="G710" s="28" t="n"/>
      <c r="H710" s="28" t="n"/>
      <c r="I710" s="28" t="n"/>
      <c r="J710" s="22" t="n"/>
      <c r="K710" s="23" t="n"/>
    </row>
    <row r="711">
      <c r="A711" s="27" t="n"/>
      <c r="B711" s="23" t="n"/>
      <c r="C711" s="23" t="n"/>
      <c r="D711" s="28" t="n"/>
      <c r="E711" s="28" t="n"/>
      <c r="F711" s="28" t="n"/>
      <c r="G711" s="28" t="n"/>
      <c r="H711" s="28" t="n"/>
      <c r="I711" s="28" t="n"/>
      <c r="J711" s="22" t="n"/>
      <c r="K711" s="23" t="n"/>
    </row>
    <row r="712">
      <c r="A712" s="27" t="n"/>
      <c r="B712" s="23" t="n"/>
      <c r="C712" s="23" t="n"/>
      <c r="D712" s="28" t="n"/>
      <c r="E712" s="28" t="n"/>
      <c r="F712" s="28" t="n"/>
      <c r="G712" s="28" t="n"/>
      <c r="H712" s="28" t="n"/>
      <c r="I712" s="28" t="n"/>
      <c r="J712" s="22" t="n"/>
      <c r="K712" s="23" t="n"/>
    </row>
    <row r="713">
      <c r="A713" s="27" t="n"/>
      <c r="B713" s="23" t="n"/>
      <c r="C713" s="23" t="n"/>
      <c r="D713" s="28" t="n"/>
      <c r="E713" s="28" t="n"/>
      <c r="F713" s="28" t="n"/>
      <c r="G713" s="28" t="n"/>
      <c r="H713" s="28" t="n"/>
      <c r="I713" s="28" t="n"/>
      <c r="J713" s="22" t="n"/>
      <c r="K713" s="23" t="n"/>
    </row>
    <row r="714">
      <c r="A714" s="27" t="n"/>
      <c r="B714" s="23" t="n"/>
      <c r="C714" s="23" t="n"/>
      <c r="D714" s="28" t="n"/>
      <c r="E714" s="28" t="n"/>
      <c r="F714" s="28" t="n"/>
      <c r="G714" s="28" t="n"/>
      <c r="H714" s="28" t="n"/>
      <c r="I714" s="28" t="n"/>
      <c r="J714" s="22" t="n"/>
      <c r="K714" s="23" t="n"/>
    </row>
    <row r="715">
      <c r="A715" s="27" t="n"/>
      <c r="B715" s="23" t="n"/>
      <c r="C715" s="23" t="n"/>
      <c r="D715" s="28" t="n"/>
      <c r="E715" s="28" t="n"/>
      <c r="F715" s="28" t="n"/>
      <c r="G715" s="28" t="n"/>
      <c r="H715" s="28" t="n"/>
      <c r="I715" s="28" t="n"/>
      <c r="J715" s="22" t="n"/>
      <c r="K715" s="23" t="n"/>
    </row>
    <row r="716">
      <c r="A716" s="27" t="n"/>
      <c r="B716" s="23" t="n"/>
      <c r="C716" s="23" t="n"/>
      <c r="D716" s="28" t="n"/>
      <c r="E716" s="28" t="n"/>
      <c r="F716" s="28" t="n"/>
      <c r="G716" s="28" t="n"/>
      <c r="H716" s="28" t="n"/>
      <c r="I716" s="28" t="n"/>
      <c r="J716" s="22" t="n"/>
      <c r="K716" s="23" t="n"/>
    </row>
    <row r="717">
      <c r="A717" s="27" t="n"/>
      <c r="B717" s="23" t="n"/>
      <c r="C717" s="23" t="n"/>
      <c r="D717" s="28" t="n"/>
      <c r="E717" s="28" t="n"/>
      <c r="F717" s="28" t="n"/>
      <c r="G717" s="28" t="n"/>
      <c r="H717" s="28" t="n"/>
      <c r="I717" s="28" t="n"/>
      <c r="J717" s="22" t="n"/>
      <c r="K717" s="23" t="n"/>
    </row>
    <row r="718">
      <c r="A718" s="27" t="n"/>
      <c r="B718" s="23" t="n"/>
      <c r="C718" s="23" t="n"/>
      <c r="D718" s="28" t="n"/>
      <c r="E718" s="28" t="n"/>
      <c r="F718" s="28" t="n"/>
      <c r="G718" s="28" t="n"/>
      <c r="H718" s="28" t="n"/>
      <c r="I718" s="28" t="n"/>
      <c r="J718" s="22" t="n"/>
      <c r="K718" s="23" t="n"/>
    </row>
    <row r="719">
      <c r="A719" s="27" t="n"/>
      <c r="B719" s="23" t="n"/>
      <c r="C719" s="23" t="n"/>
      <c r="D719" s="28" t="n"/>
      <c r="E719" s="28" t="n"/>
      <c r="F719" s="28" t="n"/>
      <c r="G719" s="28" t="n"/>
      <c r="H719" s="28" t="n"/>
      <c r="I719" s="28" t="n"/>
      <c r="J719" s="22" t="n"/>
      <c r="K719" s="23" t="n"/>
    </row>
    <row r="720">
      <c r="A720" s="27" t="n"/>
      <c r="B720" s="23" t="n"/>
      <c r="C720" s="23" t="n"/>
      <c r="D720" s="28" t="n"/>
      <c r="E720" s="28" t="n"/>
      <c r="F720" s="28" t="n"/>
      <c r="G720" s="28" t="n"/>
      <c r="H720" s="28" t="n"/>
      <c r="I720" s="28" t="n"/>
      <c r="J720" s="22" t="n"/>
      <c r="K720" s="23" t="n"/>
    </row>
    <row r="721">
      <c r="A721" s="27" t="n"/>
      <c r="B721" s="23" t="n"/>
      <c r="C721" s="23" t="n"/>
      <c r="D721" s="28" t="n"/>
      <c r="E721" s="28" t="n"/>
      <c r="F721" s="28" t="n"/>
      <c r="G721" s="28" t="n"/>
      <c r="H721" s="28" t="n"/>
      <c r="I721" s="28" t="n"/>
      <c r="J721" s="22" t="n"/>
      <c r="K721" s="23" t="n"/>
    </row>
    <row r="722">
      <c r="A722" s="27" t="n"/>
      <c r="B722" s="23" t="n"/>
      <c r="C722" s="23" t="n"/>
      <c r="D722" s="28" t="n"/>
      <c r="E722" s="28" t="n"/>
      <c r="F722" s="28" t="n"/>
      <c r="G722" s="28" t="n"/>
      <c r="H722" s="28" t="n"/>
      <c r="I722" s="28" t="n"/>
      <c r="J722" s="22" t="n"/>
      <c r="K722" s="23" t="n"/>
    </row>
    <row r="723">
      <c r="A723" s="27" t="n"/>
      <c r="B723" s="23" t="n"/>
      <c r="C723" s="23" t="n"/>
      <c r="D723" s="28" t="n"/>
      <c r="E723" s="28" t="n"/>
      <c r="F723" s="28" t="n"/>
      <c r="G723" s="28" t="n"/>
      <c r="H723" s="28" t="n"/>
      <c r="I723" s="28" t="n"/>
      <c r="J723" s="22" t="n"/>
      <c r="K723" s="23" t="n"/>
    </row>
    <row r="724">
      <c r="A724" s="27" t="n"/>
      <c r="B724" s="23" t="n"/>
      <c r="C724" s="23" t="n"/>
      <c r="D724" s="28" t="n"/>
      <c r="E724" s="28" t="n"/>
      <c r="F724" s="28" t="n"/>
      <c r="G724" s="28" t="n"/>
      <c r="H724" s="28" t="n"/>
      <c r="I724" s="28" t="n"/>
      <c r="J724" s="22" t="n"/>
      <c r="K724" s="23" t="n"/>
    </row>
    <row r="725">
      <c r="A725" s="27" t="n"/>
      <c r="B725" s="23" t="n"/>
      <c r="C725" s="23" t="n"/>
      <c r="D725" s="28" t="n"/>
      <c r="E725" s="28" t="n"/>
      <c r="F725" s="28" t="n"/>
      <c r="G725" s="28" t="n"/>
      <c r="H725" s="28" t="n"/>
      <c r="I725" s="28" t="n"/>
      <c r="J725" s="22" t="n"/>
      <c r="K725" s="23" t="n"/>
    </row>
    <row r="726">
      <c r="A726" s="27" t="n"/>
      <c r="B726" s="23" t="n"/>
      <c r="C726" s="23" t="n"/>
      <c r="D726" s="28" t="n"/>
      <c r="E726" s="28" t="n"/>
      <c r="F726" s="28" t="n"/>
      <c r="G726" s="28" t="n"/>
      <c r="H726" s="28" t="n"/>
      <c r="I726" s="28" t="n"/>
      <c r="J726" s="22" t="n"/>
      <c r="K726" s="23" t="n"/>
    </row>
    <row r="727">
      <c r="A727" s="27" t="n"/>
      <c r="B727" s="23" t="n"/>
      <c r="C727" s="23" t="n"/>
      <c r="D727" s="28" t="n"/>
      <c r="E727" s="28" t="n"/>
      <c r="F727" s="28" t="n"/>
      <c r="G727" s="28" t="n"/>
      <c r="H727" s="28" t="n"/>
      <c r="I727" s="28" t="n"/>
      <c r="J727" s="22" t="n"/>
      <c r="K727" s="23" t="n"/>
    </row>
    <row r="728">
      <c r="A728" s="27" t="n"/>
      <c r="B728" s="23" t="n"/>
      <c r="C728" s="23" t="n"/>
      <c r="D728" s="28" t="n"/>
      <c r="E728" s="28" t="n"/>
      <c r="F728" s="28" t="n"/>
      <c r="G728" s="28" t="n"/>
      <c r="H728" s="28" t="n"/>
      <c r="I728" s="28" t="n"/>
      <c r="J728" s="22" t="n"/>
      <c r="K728" s="23" t="n"/>
    </row>
    <row r="729">
      <c r="A729" s="27" t="n"/>
      <c r="B729" s="23" t="n"/>
      <c r="C729" s="23" t="n"/>
      <c r="D729" s="28" t="n"/>
      <c r="E729" s="28" t="n"/>
      <c r="F729" s="28" t="n"/>
      <c r="G729" s="28" t="n"/>
      <c r="H729" s="28" t="n"/>
      <c r="I729" s="28" t="n"/>
      <c r="J729" s="22" t="n"/>
      <c r="K729" s="23" t="n"/>
    </row>
    <row r="730">
      <c r="A730" s="27" t="n"/>
      <c r="B730" s="23" t="n"/>
      <c r="C730" s="23" t="n"/>
      <c r="D730" s="28" t="n"/>
      <c r="E730" s="28" t="n"/>
      <c r="F730" s="28" t="n"/>
      <c r="G730" s="28" t="n"/>
      <c r="H730" s="28" t="n"/>
      <c r="I730" s="28" t="n"/>
      <c r="J730" s="22" t="n"/>
      <c r="K730" s="23" t="n"/>
    </row>
    <row r="731">
      <c r="A731" s="27" t="n"/>
      <c r="B731" s="23" t="n"/>
      <c r="C731" s="23" t="n"/>
      <c r="D731" s="28" t="n"/>
      <c r="E731" s="28" t="n"/>
      <c r="F731" s="28" t="n"/>
      <c r="G731" s="28" t="n"/>
      <c r="H731" s="28" t="n"/>
      <c r="I731" s="28" t="n"/>
      <c r="J731" s="22" t="n"/>
      <c r="K731" s="23" t="n"/>
    </row>
    <row r="732">
      <c r="A732" s="27" t="n"/>
      <c r="B732" s="23" t="n"/>
      <c r="C732" s="23" t="n"/>
      <c r="D732" s="28" t="n"/>
      <c r="E732" s="28" t="n"/>
      <c r="F732" s="28" t="n"/>
      <c r="G732" s="28" t="n"/>
      <c r="H732" s="28" t="n"/>
      <c r="I732" s="28" t="n"/>
      <c r="J732" s="22" t="n"/>
      <c r="K732" s="23" t="n"/>
    </row>
    <row r="733">
      <c r="A733" s="27" t="n"/>
      <c r="B733" s="23" t="n"/>
      <c r="C733" s="23" t="n"/>
      <c r="D733" s="28" t="n"/>
      <c r="E733" s="28" t="n"/>
      <c r="F733" s="28" t="n"/>
      <c r="G733" s="28" t="n"/>
      <c r="H733" s="28" t="n"/>
      <c r="I733" s="28" t="n"/>
      <c r="J733" s="22" t="n"/>
      <c r="K733" s="23" t="n"/>
    </row>
    <row r="734">
      <c r="A734" s="27" t="n"/>
      <c r="B734" s="23" t="n"/>
      <c r="C734" s="23" t="n"/>
      <c r="D734" s="28" t="n"/>
      <c r="E734" s="28" t="n"/>
      <c r="F734" s="28" t="n"/>
      <c r="G734" s="28" t="n"/>
      <c r="H734" s="28" t="n"/>
      <c r="I734" s="28" t="n"/>
      <c r="J734" s="22" t="n"/>
      <c r="K734" s="23" t="n"/>
    </row>
    <row r="735">
      <c r="A735" s="27" t="n"/>
      <c r="B735" s="23" t="n"/>
      <c r="C735" s="23" t="n"/>
      <c r="D735" s="28" t="n"/>
      <c r="E735" s="28" t="n"/>
      <c r="F735" s="28" t="n"/>
      <c r="G735" s="28" t="n"/>
      <c r="H735" s="28" t="n"/>
      <c r="I735" s="28" t="n"/>
      <c r="J735" s="22" t="n"/>
      <c r="K735" s="23" t="n"/>
    </row>
    <row r="736">
      <c r="A736" s="27" t="n"/>
      <c r="B736" s="23" t="n"/>
      <c r="C736" s="23" t="n"/>
      <c r="D736" s="28" t="n"/>
      <c r="E736" s="28" t="n"/>
      <c r="F736" s="28" t="n"/>
      <c r="G736" s="28" t="n"/>
      <c r="H736" s="28" t="n"/>
      <c r="I736" s="28" t="n"/>
      <c r="J736" s="22" t="n"/>
      <c r="K736" s="23" t="n"/>
    </row>
    <row r="737">
      <c r="A737" s="27" t="n"/>
      <c r="B737" s="23" t="n"/>
      <c r="C737" s="23" t="n"/>
      <c r="D737" s="28" t="n"/>
      <c r="E737" s="28" t="n"/>
      <c r="F737" s="28" t="n"/>
      <c r="G737" s="28" t="n"/>
      <c r="H737" s="28" t="n"/>
      <c r="I737" s="28" t="n"/>
      <c r="J737" s="22" t="n"/>
      <c r="K737" s="23" t="n"/>
    </row>
    <row r="738">
      <c r="A738" s="27" t="n"/>
      <c r="B738" s="23" t="n"/>
      <c r="C738" s="23" t="n"/>
      <c r="D738" s="28" t="n"/>
      <c r="E738" s="28" t="n"/>
      <c r="F738" s="28" t="n"/>
      <c r="G738" s="28" t="n"/>
      <c r="H738" s="28" t="n"/>
      <c r="I738" s="28" t="n"/>
      <c r="J738" s="22" t="n"/>
      <c r="K738" s="23" t="n"/>
    </row>
    <row r="739">
      <c r="A739" s="27" t="n"/>
      <c r="B739" s="23" t="n"/>
      <c r="C739" s="23" t="n"/>
      <c r="D739" s="28" t="n"/>
      <c r="E739" s="28" t="n"/>
      <c r="F739" s="28" t="n"/>
      <c r="G739" s="28" t="n"/>
      <c r="H739" s="28" t="n"/>
      <c r="I739" s="28" t="n"/>
      <c r="J739" s="22" t="n"/>
      <c r="K739" s="23" t="n"/>
    </row>
    <row r="740">
      <c r="A740" s="27" t="n"/>
      <c r="B740" s="23" t="n"/>
      <c r="C740" s="23" t="n"/>
      <c r="D740" s="28" t="n"/>
      <c r="E740" s="28" t="n"/>
      <c r="F740" s="28" t="n"/>
      <c r="G740" s="28" t="n"/>
      <c r="H740" s="28" t="n"/>
      <c r="I740" s="28" t="n"/>
      <c r="J740" s="22" t="n"/>
      <c r="K740" s="23" t="n"/>
    </row>
    <row r="741">
      <c r="A741" s="27" t="n"/>
      <c r="B741" s="23" t="n"/>
      <c r="C741" s="23" t="n"/>
      <c r="D741" s="28" t="n"/>
      <c r="E741" s="28" t="n"/>
      <c r="F741" s="28" t="n"/>
      <c r="G741" s="28" t="n"/>
      <c r="H741" s="28" t="n"/>
      <c r="I741" s="28" t="n"/>
      <c r="J741" s="22" t="n"/>
      <c r="K741" s="23" t="n"/>
    </row>
    <row r="742">
      <c r="A742" s="27" t="n"/>
      <c r="B742" s="23" t="n"/>
      <c r="C742" s="23" t="n"/>
      <c r="D742" s="28" t="n"/>
      <c r="E742" s="28" t="n"/>
      <c r="F742" s="28" t="n"/>
      <c r="G742" s="28" t="n"/>
      <c r="H742" s="28" t="n"/>
      <c r="I742" s="28" t="n"/>
      <c r="J742" s="22" t="n"/>
      <c r="K742" s="23" t="n"/>
    </row>
    <row r="743">
      <c r="A743" s="27" t="n"/>
      <c r="B743" s="23" t="n"/>
      <c r="C743" s="23" t="n"/>
      <c r="D743" s="28" t="n"/>
      <c r="E743" s="28" t="n"/>
      <c r="F743" s="28" t="n"/>
      <c r="G743" s="28" t="n"/>
      <c r="H743" s="28" t="n"/>
      <c r="I743" s="28" t="n"/>
      <c r="J743" s="22" t="n"/>
      <c r="K743" s="23" t="n"/>
    </row>
    <row r="744">
      <c r="A744" s="27" t="n"/>
      <c r="B744" s="23" t="n"/>
      <c r="C744" s="23" t="n"/>
      <c r="D744" s="28" t="n"/>
      <c r="E744" s="28" t="n"/>
      <c r="F744" s="28" t="n"/>
      <c r="G744" s="28" t="n"/>
      <c r="H744" s="28" t="n"/>
      <c r="I744" s="28" t="n"/>
      <c r="J744" s="22" t="n"/>
      <c r="K744" s="23" t="n"/>
    </row>
    <row r="745">
      <c r="A745" s="27" t="n"/>
      <c r="B745" s="23" t="n"/>
      <c r="C745" s="23" t="n"/>
      <c r="D745" s="28" t="n"/>
      <c r="E745" s="28" t="n"/>
      <c r="F745" s="28" t="n"/>
      <c r="G745" s="28" t="n"/>
      <c r="H745" s="28" t="n"/>
      <c r="I745" s="28" t="n"/>
      <c r="J745" s="22" t="n"/>
      <c r="K745" s="23" t="n"/>
    </row>
    <row r="746">
      <c r="A746" s="27" t="n"/>
      <c r="B746" s="23" t="n"/>
      <c r="C746" s="23" t="n"/>
      <c r="D746" s="28" t="n"/>
      <c r="E746" s="28" t="n"/>
      <c r="F746" s="28" t="n"/>
      <c r="G746" s="28" t="n"/>
      <c r="H746" s="28" t="n"/>
      <c r="I746" s="28" t="n"/>
      <c r="J746" s="22" t="n"/>
      <c r="K746" s="23" t="n"/>
    </row>
    <row r="747">
      <c r="A747" s="27" t="n"/>
      <c r="B747" s="23" t="n"/>
      <c r="C747" s="23" t="n"/>
      <c r="D747" s="28" t="n"/>
      <c r="E747" s="28" t="n"/>
      <c r="F747" s="28" t="n"/>
      <c r="G747" s="28" t="n"/>
      <c r="H747" s="28" t="n"/>
      <c r="I747" s="28" t="n"/>
      <c r="J747" s="22" t="n"/>
      <c r="K747" s="23" t="n"/>
    </row>
    <row r="748">
      <c r="A748" s="27" t="n"/>
      <c r="B748" s="23" t="n"/>
      <c r="C748" s="23" t="n"/>
      <c r="D748" s="28" t="n"/>
      <c r="E748" s="28" t="n"/>
      <c r="F748" s="28" t="n"/>
      <c r="G748" s="28" t="n"/>
      <c r="H748" s="28" t="n"/>
      <c r="I748" s="28" t="n"/>
      <c r="J748" s="22" t="n"/>
      <c r="K748" s="23" t="n"/>
    </row>
    <row r="749">
      <c r="A749" s="27" t="n"/>
      <c r="B749" s="23" t="n"/>
      <c r="C749" s="23" t="n"/>
      <c r="D749" s="28" t="n"/>
      <c r="E749" s="28" t="n"/>
      <c r="F749" s="28" t="n"/>
      <c r="G749" s="28" t="n"/>
      <c r="H749" s="28" t="n"/>
      <c r="I749" s="28" t="n"/>
      <c r="J749" s="22" t="n"/>
      <c r="K749" s="23" t="n"/>
    </row>
    <row r="750">
      <c r="A750" s="27" t="n"/>
      <c r="B750" s="23" t="n"/>
      <c r="C750" s="23" t="n"/>
      <c r="D750" s="28" t="n"/>
      <c r="E750" s="28" t="n"/>
      <c r="F750" s="28" t="n"/>
      <c r="G750" s="28" t="n"/>
      <c r="H750" s="28" t="n"/>
      <c r="I750" s="28" t="n"/>
      <c r="J750" s="22" t="n"/>
      <c r="K750" s="23" t="n"/>
    </row>
    <row r="751">
      <c r="A751" s="27" t="n"/>
      <c r="B751" s="23" t="n"/>
      <c r="C751" s="23" t="n"/>
      <c r="D751" s="28" t="n"/>
      <c r="E751" s="28" t="n"/>
      <c r="F751" s="28" t="n"/>
      <c r="G751" s="28" t="n"/>
      <c r="H751" s="28" t="n"/>
      <c r="I751" s="28" t="n"/>
      <c r="J751" s="22" t="n"/>
      <c r="K751" s="23" t="n"/>
    </row>
    <row r="752">
      <c r="A752" s="27" t="n"/>
      <c r="B752" s="23" t="n"/>
      <c r="C752" s="23" t="n"/>
      <c r="D752" s="28" t="n"/>
      <c r="E752" s="28" t="n"/>
      <c r="F752" s="28" t="n"/>
      <c r="G752" s="28" t="n"/>
      <c r="H752" s="28" t="n"/>
      <c r="I752" s="28" t="n"/>
      <c r="J752" s="22" t="n"/>
      <c r="K752" s="23" t="n"/>
    </row>
    <row r="753">
      <c r="A753" s="27" t="n"/>
      <c r="B753" s="23" t="n"/>
      <c r="C753" s="23" t="n"/>
      <c r="D753" s="28" t="n"/>
      <c r="E753" s="28" t="n"/>
      <c r="F753" s="28" t="n"/>
      <c r="G753" s="28" t="n"/>
      <c r="H753" s="28" t="n"/>
      <c r="I753" s="28" t="n"/>
      <c r="J753" s="22" t="n"/>
      <c r="K753" s="23" t="n"/>
    </row>
    <row r="754">
      <c r="A754" s="27" t="n"/>
      <c r="B754" s="23" t="n"/>
      <c r="C754" s="23" t="n"/>
      <c r="D754" s="28" t="n"/>
      <c r="E754" s="28" t="n"/>
      <c r="F754" s="28" t="n"/>
      <c r="G754" s="28" t="n"/>
      <c r="H754" s="28" t="n"/>
      <c r="I754" s="28" t="n"/>
      <c r="J754" s="22" t="n"/>
      <c r="K754" s="23" t="n"/>
    </row>
    <row r="755">
      <c r="A755" s="27" t="n"/>
      <c r="B755" s="23" t="n"/>
      <c r="C755" s="23" t="n"/>
      <c r="D755" s="28" t="n"/>
      <c r="E755" s="28" t="n"/>
      <c r="F755" s="28" t="n"/>
      <c r="G755" s="28" t="n"/>
      <c r="H755" s="28" t="n"/>
      <c r="I755" s="28" t="n"/>
      <c r="J755" s="22" t="n"/>
      <c r="K755" s="23" t="n"/>
    </row>
    <row r="756">
      <c r="A756" s="27" t="n"/>
      <c r="B756" s="23" t="n"/>
      <c r="C756" s="23" t="n"/>
      <c r="D756" s="28" t="n"/>
      <c r="E756" s="28" t="n"/>
      <c r="F756" s="28" t="n"/>
      <c r="G756" s="28" t="n"/>
      <c r="H756" s="28" t="n"/>
      <c r="I756" s="28" t="n"/>
      <c r="J756" s="22" t="n"/>
      <c r="K756" s="23" t="n"/>
    </row>
    <row r="757">
      <c r="A757" s="27" t="n"/>
      <c r="B757" s="23" t="n"/>
      <c r="C757" s="23" t="n"/>
      <c r="D757" s="28" t="n"/>
      <c r="E757" s="28" t="n"/>
      <c r="F757" s="28" t="n"/>
      <c r="G757" s="28" t="n"/>
      <c r="H757" s="28" t="n"/>
      <c r="I757" s="28" t="n"/>
      <c r="J757" s="22" t="n"/>
      <c r="K757" s="23" t="n"/>
    </row>
    <row r="758">
      <c r="A758" s="27" t="n"/>
      <c r="B758" s="23" t="n"/>
      <c r="C758" s="23" t="n"/>
      <c r="D758" s="28" t="n"/>
      <c r="E758" s="28" t="n"/>
      <c r="F758" s="28" t="n"/>
      <c r="G758" s="28" t="n"/>
      <c r="H758" s="28" t="n"/>
      <c r="I758" s="28" t="n"/>
      <c r="J758" s="22" t="n"/>
      <c r="K758" s="23" t="n"/>
    </row>
    <row r="759">
      <c r="A759" s="27" t="n"/>
      <c r="B759" s="23" t="n"/>
      <c r="C759" s="23" t="n"/>
      <c r="D759" s="28" t="n"/>
      <c r="E759" s="28" t="n"/>
      <c r="F759" s="28" t="n"/>
      <c r="G759" s="28" t="n"/>
      <c r="H759" s="28" t="n"/>
      <c r="I759" s="28" t="n"/>
      <c r="J759" s="22" t="n"/>
      <c r="K759" s="23" t="n"/>
    </row>
    <row r="760">
      <c r="A760" s="27" t="n"/>
      <c r="B760" s="23" t="n"/>
      <c r="C760" s="23" t="n"/>
      <c r="D760" s="28" t="n"/>
      <c r="E760" s="28" t="n"/>
      <c r="F760" s="28" t="n"/>
      <c r="G760" s="28" t="n"/>
      <c r="H760" s="28" t="n"/>
      <c r="I760" s="28" t="n"/>
      <c r="J760" s="22" t="n"/>
      <c r="K760" s="23" t="n"/>
    </row>
    <row r="761">
      <c r="A761" s="27" t="n"/>
      <c r="B761" s="23" t="n"/>
      <c r="C761" s="23" t="n"/>
      <c r="D761" s="28" t="n"/>
      <c r="E761" s="28" t="n"/>
      <c r="F761" s="28" t="n"/>
      <c r="G761" s="28" t="n"/>
      <c r="H761" s="28" t="n"/>
      <c r="I761" s="28" t="n"/>
      <c r="J761" s="22" t="n"/>
      <c r="K761" s="23" t="n"/>
    </row>
    <row r="762">
      <c r="A762" s="27" t="n"/>
      <c r="B762" s="23" t="n"/>
      <c r="C762" s="23" t="n"/>
      <c r="D762" s="28" t="n"/>
      <c r="E762" s="28" t="n"/>
      <c r="F762" s="28" t="n"/>
      <c r="G762" s="28" t="n"/>
      <c r="H762" s="28" t="n"/>
      <c r="I762" s="28" t="n"/>
      <c r="J762" s="22" t="n"/>
      <c r="K762" s="23" t="n"/>
    </row>
    <row r="763">
      <c r="A763" s="27" t="n"/>
      <c r="B763" s="23" t="n"/>
      <c r="C763" s="23" t="n"/>
      <c r="D763" s="28" t="n"/>
      <c r="E763" s="28" t="n"/>
      <c r="F763" s="28" t="n"/>
      <c r="G763" s="28" t="n"/>
      <c r="H763" s="28" t="n"/>
      <c r="I763" s="28" t="n"/>
      <c r="J763" s="22" t="n"/>
      <c r="K763" s="23" t="n"/>
    </row>
    <row r="764">
      <c r="A764" s="27" t="n"/>
      <c r="B764" s="23" t="n"/>
      <c r="C764" s="23" t="n"/>
      <c r="D764" s="28" t="n"/>
      <c r="E764" s="28" t="n"/>
      <c r="F764" s="28" t="n"/>
      <c r="G764" s="28" t="n"/>
      <c r="H764" s="28" t="n"/>
      <c r="I764" s="28" t="n"/>
      <c r="J764" s="22" t="n"/>
      <c r="K764" s="23" t="n"/>
    </row>
    <row r="765">
      <c r="A765" s="27" t="n"/>
      <c r="B765" s="23" t="n"/>
      <c r="C765" s="23" t="n"/>
      <c r="D765" s="28" t="n"/>
      <c r="E765" s="28" t="n"/>
      <c r="F765" s="28" t="n"/>
      <c r="G765" s="28" t="n"/>
      <c r="H765" s="28" t="n"/>
      <c r="I765" s="28" t="n"/>
      <c r="J765" s="22" t="n"/>
      <c r="K765" s="23" t="n"/>
    </row>
    <row r="766">
      <c r="A766" s="27" t="n"/>
      <c r="B766" s="23" t="n"/>
      <c r="C766" s="23" t="n"/>
      <c r="D766" s="28" t="n"/>
      <c r="E766" s="28" t="n"/>
      <c r="F766" s="28" t="n"/>
      <c r="G766" s="28" t="n"/>
      <c r="H766" s="28" t="n"/>
      <c r="I766" s="28" t="n"/>
      <c r="J766" s="22" t="n"/>
      <c r="K766" s="23" t="n"/>
    </row>
    <row r="767">
      <c r="A767" s="27" t="n"/>
      <c r="B767" s="23" t="n"/>
      <c r="C767" s="23" t="n"/>
      <c r="D767" s="28" t="n"/>
      <c r="E767" s="28" t="n"/>
      <c r="F767" s="28" t="n"/>
      <c r="G767" s="28" t="n"/>
      <c r="H767" s="28" t="n"/>
      <c r="I767" s="28" t="n"/>
      <c r="J767" s="22" t="n"/>
      <c r="K767" s="23" t="n"/>
    </row>
    <row r="768">
      <c r="A768" s="27" t="n"/>
      <c r="B768" s="23" t="n"/>
      <c r="C768" s="23" t="n"/>
      <c r="D768" s="28" t="n"/>
      <c r="E768" s="28" t="n"/>
      <c r="F768" s="28" t="n"/>
      <c r="G768" s="28" t="n"/>
      <c r="H768" s="28" t="n"/>
      <c r="I768" s="28" t="n"/>
      <c r="J768" s="22" t="n"/>
      <c r="K768" s="23" t="n"/>
    </row>
    <row r="769">
      <c r="A769" s="27" t="n"/>
      <c r="B769" s="23" t="n"/>
      <c r="C769" s="23" t="n"/>
      <c r="D769" s="28" t="n"/>
      <c r="E769" s="28" t="n"/>
      <c r="F769" s="28" t="n"/>
      <c r="G769" s="28" t="n"/>
      <c r="H769" s="28" t="n"/>
      <c r="I769" s="28" t="n"/>
      <c r="J769" s="22" t="n"/>
      <c r="K769" s="23" t="n"/>
    </row>
    <row r="770">
      <c r="A770" s="27" t="n"/>
      <c r="B770" s="23" t="n"/>
      <c r="C770" s="23" t="n"/>
      <c r="D770" s="28" t="n"/>
      <c r="E770" s="28" t="n"/>
      <c r="F770" s="28" t="n"/>
      <c r="G770" s="28" t="n"/>
      <c r="H770" s="28" t="n"/>
      <c r="I770" s="28" t="n"/>
      <c r="J770" s="22" t="n"/>
      <c r="K770" s="23" t="n"/>
    </row>
    <row r="771">
      <c r="A771" s="27" t="n"/>
      <c r="B771" s="23" t="n"/>
      <c r="C771" s="23" t="n"/>
      <c r="D771" s="28" t="n"/>
      <c r="E771" s="28" t="n"/>
      <c r="F771" s="28" t="n"/>
      <c r="G771" s="28" t="n"/>
      <c r="H771" s="28" t="n"/>
      <c r="I771" s="28" t="n"/>
      <c r="J771" s="22" t="n"/>
      <c r="K771" s="23" t="n"/>
    </row>
    <row r="772">
      <c r="A772" s="27" t="n"/>
      <c r="B772" s="23" t="n"/>
      <c r="C772" s="23" t="n"/>
      <c r="D772" s="28" t="n"/>
      <c r="E772" s="28" t="n"/>
      <c r="F772" s="28" t="n"/>
      <c r="G772" s="28" t="n"/>
      <c r="H772" s="28" t="n"/>
      <c r="I772" s="28" t="n"/>
      <c r="J772" s="22" t="n"/>
      <c r="K772" s="23" t="n"/>
    </row>
    <row r="773">
      <c r="A773" s="27" t="n"/>
      <c r="B773" s="23" t="n"/>
      <c r="C773" s="23" t="n"/>
      <c r="D773" s="28" t="n"/>
      <c r="E773" s="28" t="n"/>
      <c r="F773" s="28" t="n"/>
      <c r="G773" s="28" t="n"/>
      <c r="H773" s="28" t="n"/>
      <c r="I773" s="28" t="n"/>
      <c r="J773" s="22" t="n"/>
      <c r="K773" s="23" t="n"/>
    </row>
    <row r="774">
      <c r="A774" s="27" t="n"/>
      <c r="B774" s="23" t="n"/>
      <c r="C774" s="23" t="n"/>
      <c r="D774" s="28" t="n"/>
      <c r="E774" s="28" t="n"/>
      <c r="F774" s="28" t="n"/>
      <c r="G774" s="28" t="n"/>
      <c r="H774" s="28" t="n"/>
      <c r="I774" s="28" t="n"/>
      <c r="J774" s="22" t="n"/>
      <c r="K774" s="23" t="n"/>
    </row>
    <row r="775">
      <c r="A775" s="27" t="n"/>
      <c r="B775" s="23" t="n"/>
      <c r="C775" s="23" t="n"/>
      <c r="D775" s="28" t="n"/>
      <c r="E775" s="28" t="n"/>
      <c r="F775" s="28" t="n"/>
      <c r="G775" s="28" t="n"/>
      <c r="H775" s="28" t="n"/>
      <c r="I775" s="28" t="n"/>
      <c r="J775" s="22" t="n"/>
      <c r="K775" s="23" t="n"/>
    </row>
    <row r="776">
      <c r="A776" s="27" t="n"/>
      <c r="B776" s="23" t="n"/>
      <c r="C776" s="23" t="n"/>
      <c r="D776" s="28" t="n"/>
      <c r="E776" s="28" t="n"/>
      <c r="F776" s="28" t="n"/>
      <c r="G776" s="28" t="n"/>
      <c r="H776" s="28" t="n"/>
      <c r="I776" s="28" t="n"/>
      <c r="J776" s="22" t="n"/>
      <c r="K776" s="23" t="n"/>
    </row>
    <row r="777">
      <c r="A777" s="27" t="n"/>
      <c r="B777" s="23" t="n"/>
      <c r="C777" s="23" t="n"/>
      <c r="D777" s="28" t="n"/>
      <c r="E777" s="28" t="n"/>
      <c r="F777" s="28" t="n"/>
      <c r="G777" s="28" t="n"/>
      <c r="H777" s="28" t="n"/>
      <c r="I777" s="28" t="n"/>
      <c r="J777" s="22" t="n"/>
      <c r="K777" s="23" t="n"/>
    </row>
    <row r="778">
      <c r="A778" s="27" t="n"/>
      <c r="B778" s="23" t="n"/>
      <c r="C778" s="23" t="n"/>
      <c r="D778" s="28" t="n"/>
      <c r="E778" s="28" t="n"/>
      <c r="F778" s="28" t="n"/>
      <c r="G778" s="28" t="n"/>
      <c r="H778" s="28" t="n"/>
      <c r="I778" s="28" t="n"/>
      <c r="J778" s="22" t="n"/>
      <c r="K778" s="23" t="n"/>
    </row>
    <row r="779">
      <c r="A779" s="27" t="n"/>
      <c r="B779" s="23" t="n"/>
      <c r="C779" s="23" t="n"/>
      <c r="D779" s="28" t="n"/>
      <c r="E779" s="28" t="n"/>
      <c r="F779" s="28" t="n"/>
      <c r="G779" s="28" t="n"/>
      <c r="H779" s="28" t="n"/>
      <c r="I779" s="28" t="n"/>
      <c r="J779" s="22" t="n"/>
      <c r="K779" s="23" t="n"/>
    </row>
    <row r="780">
      <c r="A780" s="27" t="n"/>
      <c r="B780" s="23" t="n"/>
      <c r="C780" s="23" t="n"/>
      <c r="D780" s="28" t="n"/>
      <c r="E780" s="28" t="n"/>
      <c r="F780" s="28" t="n"/>
      <c r="G780" s="28" t="n"/>
      <c r="H780" s="28" t="n"/>
      <c r="I780" s="28" t="n"/>
      <c r="J780" s="22" t="n"/>
      <c r="K780" s="23" t="n"/>
    </row>
    <row r="781">
      <c r="A781" s="27" t="n"/>
      <c r="B781" s="23" t="n"/>
      <c r="C781" s="23" t="n"/>
      <c r="D781" s="28" t="n"/>
      <c r="E781" s="28" t="n"/>
      <c r="F781" s="28" t="n"/>
      <c r="G781" s="28" t="n"/>
      <c r="H781" s="28" t="n"/>
      <c r="I781" s="28" t="n"/>
      <c r="J781" s="22" t="n"/>
      <c r="K781" s="23" t="n"/>
    </row>
    <row r="782">
      <c r="A782" s="27" t="n"/>
      <c r="B782" s="23" t="n"/>
      <c r="C782" s="23" t="n"/>
      <c r="D782" s="28" t="n"/>
      <c r="E782" s="28" t="n"/>
      <c r="F782" s="28" t="n"/>
      <c r="G782" s="28" t="n"/>
      <c r="H782" s="28" t="n"/>
      <c r="I782" s="28" t="n"/>
      <c r="J782" s="22" t="n"/>
      <c r="K782" s="23" t="n"/>
    </row>
    <row r="783">
      <c r="A783" s="27" t="n"/>
      <c r="B783" s="23" t="n"/>
      <c r="C783" s="23" t="n"/>
      <c r="D783" s="28" t="n"/>
      <c r="E783" s="28" t="n"/>
      <c r="F783" s="28" t="n"/>
      <c r="G783" s="28" t="n"/>
      <c r="H783" s="28" t="n"/>
      <c r="I783" s="28" t="n"/>
      <c r="J783" s="22" t="n"/>
      <c r="K783" s="23" t="n"/>
    </row>
    <row r="784">
      <c r="A784" s="27" t="n"/>
      <c r="B784" s="23" t="n"/>
      <c r="C784" s="23" t="n"/>
      <c r="D784" s="28" t="n"/>
      <c r="E784" s="28" t="n"/>
      <c r="F784" s="28" t="n"/>
      <c r="G784" s="28" t="n"/>
      <c r="H784" s="28" t="n"/>
      <c r="I784" s="28" t="n"/>
      <c r="J784" s="22" t="n"/>
      <c r="K784" s="23" t="n"/>
    </row>
    <row r="785">
      <c r="A785" s="27" t="n"/>
      <c r="B785" s="23" t="n"/>
      <c r="C785" s="23" t="n"/>
      <c r="D785" s="28" t="n"/>
      <c r="E785" s="28" t="n"/>
      <c r="F785" s="28" t="n"/>
      <c r="G785" s="28" t="n"/>
      <c r="H785" s="28" t="n"/>
      <c r="I785" s="28" t="n"/>
      <c r="J785" s="22" t="n"/>
      <c r="K785" s="23" t="n"/>
    </row>
    <row r="786">
      <c r="A786" s="27" t="n"/>
      <c r="B786" s="23" t="n"/>
      <c r="C786" s="23" t="n"/>
      <c r="D786" s="28" t="n"/>
      <c r="E786" s="28" t="n"/>
      <c r="F786" s="28" t="n"/>
      <c r="G786" s="28" t="n"/>
      <c r="H786" s="28" t="n"/>
      <c r="I786" s="28" t="n"/>
      <c r="J786" s="22" t="n"/>
      <c r="K786" s="23" t="n"/>
    </row>
    <row r="787">
      <c r="A787" s="27" t="n"/>
      <c r="B787" s="23" t="n"/>
      <c r="C787" s="23" t="n"/>
      <c r="D787" s="28" t="n"/>
      <c r="E787" s="28" t="n"/>
      <c r="F787" s="28" t="n"/>
      <c r="G787" s="28" t="n"/>
      <c r="H787" s="28" t="n"/>
      <c r="I787" s="28" t="n"/>
      <c r="J787" s="22" t="n"/>
      <c r="K787" s="23" t="n"/>
    </row>
    <row r="788">
      <c r="A788" s="27" t="n"/>
      <c r="B788" s="23" t="n"/>
      <c r="C788" s="23" t="n"/>
      <c r="D788" s="28" t="n"/>
      <c r="E788" s="28" t="n"/>
      <c r="F788" s="28" t="n"/>
      <c r="G788" s="28" t="n"/>
      <c r="H788" s="28" t="n"/>
      <c r="I788" s="28" t="n"/>
      <c r="J788" s="22" t="n"/>
      <c r="K788" s="23" t="n"/>
    </row>
    <row r="789">
      <c r="A789" s="27" t="n"/>
      <c r="B789" s="23" t="n"/>
      <c r="C789" s="23" t="n"/>
      <c r="D789" s="28" t="n"/>
      <c r="E789" s="28" t="n"/>
      <c r="F789" s="28" t="n"/>
      <c r="G789" s="28" t="n"/>
      <c r="H789" s="28" t="n"/>
      <c r="I789" s="28" t="n"/>
      <c r="J789" s="22" t="n"/>
      <c r="K789" s="23" t="n"/>
    </row>
    <row r="790">
      <c r="A790" s="27" t="n"/>
      <c r="B790" s="23" t="n"/>
      <c r="C790" s="23" t="n"/>
      <c r="D790" s="28" t="n"/>
      <c r="E790" s="28" t="n"/>
      <c r="F790" s="28" t="n"/>
      <c r="G790" s="28" t="n"/>
      <c r="H790" s="28" t="n"/>
      <c r="I790" s="28" t="n"/>
      <c r="J790" s="22" t="n"/>
      <c r="K790" s="23" t="n"/>
    </row>
    <row r="791">
      <c r="A791" s="27" t="n"/>
      <c r="B791" s="23" t="n"/>
      <c r="C791" s="23" t="n"/>
      <c r="D791" s="28" t="n"/>
      <c r="E791" s="28" t="n"/>
      <c r="F791" s="28" t="n"/>
      <c r="G791" s="28" t="n"/>
      <c r="H791" s="28" t="n"/>
      <c r="I791" s="28" t="n"/>
      <c r="J791" s="22" t="n"/>
      <c r="K791" s="23" t="n"/>
    </row>
    <row r="792">
      <c r="A792" s="27" t="n"/>
      <c r="B792" s="23" t="n"/>
      <c r="C792" s="23" t="n"/>
      <c r="D792" s="28" t="n"/>
      <c r="E792" s="28" t="n"/>
      <c r="F792" s="28" t="n"/>
      <c r="G792" s="28" t="n"/>
      <c r="H792" s="28" t="n"/>
      <c r="I792" s="28" t="n"/>
      <c r="J792" s="22" t="n"/>
      <c r="K792" s="23" t="n"/>
    </row>
    <row r="793">
      <c r="A793" s="27" t="n"/>
      <c r="B793" s="23" t="n"/>
      <c r="C793" s="23" t="n"/>
      <c r="D793" s="28" t="n"/>
      <c r="E793" s="28" t="n"/>
      <c r="F793" s="28" t="n"/>
      <c r="G793" s="28" t="n"/>
      <c r="H793" s="28" t="n"/>
      <c r="I793" s="28" t="n"/>
      <c r="J793" s="22" t="n"/>
      <c r="K793" s="23" t="n"/>
    </row>
    <row r="794">
      <c r="A794" s="27" t="n"/>
      <c r="B794" s="23" t="n"/>
      <c r="C794" s="23" t="n"/>
      <c r="D794" s="28" t="n"/>
      <c r="E794" s="28" t="n"/>
      <c r="F794" s="28" t="n"/>
      <c r="G794" s="28" t="n"/>
      <c r="H794" s="28" t="n"/>
      <c r="I794" s="28" t="n"/>
      <c r="J794" s="22" t="n"/>
      <c r="K794" s="23" t="n"/>
    </row>
    <row r="795">
      <c r="A795" s="27" t="n"/>
      <c r="B795" s="23" t="n"/>
      <c r="C795" s="23" t="n"/>
      <c r="D795" s="28" t="n"/>
      <c r="E795" s="28" t="n"/>
      <c r="F795" s="28" t="n"/>
      <c r="G795" s="28" t="n"/>
      <c r="H795" s="28" t="n"/>
      <c r="I795" s="28" t="n"/>
      <c r="J795" s="22" t="n"/>
      <c r="K795" s="23" t="n"/>
    </row>
    <row r="796">
      <c r="A796" s="27" t="n"/>
      <c r="B796" s="23" t="n"/>
      <c r="C796" s="23" t="n"/>
      <c r="D796" s="28" t="n"/>
      <c r="E796" s="28" t="n"/>
      <c r="F796" s="28" t="n"/>
      <c r="G796" s="28" t="n"/>
      <c r="H796" s="28" t="n"/>
      <c r="I796" s="28" t="n"/>
      <c r="J796" s="22" t="n"/>
      <c r="K796" s="23" t="n"/>
    </row>
    <row r="797">
      <c r="A797" s="27" t="n"/>
      <c r="B797" s="23" t="n"/>
      <c r="C797" s="23" t="n"/>
      <c r="D797" s="28" t="n"/>
      <c r="E797" s="28" t="n"/>
      <c r="F797" s="28" t="n"/>
      <c r="G797" s="28" t="n"/>
      <c r="H797" s="28" t="n"/>
      <c r="I797" s="28" t="n"/>
      <c r="J797" s="22" t="n"/>
      <c r="K797" s="23" t="n"/>
    </row>
    <row r="798">
      <c r="A798" s="27" t="n"/>
      <c r="B798" s="23" t="n"/>
      <c r="C798" s="23" t="n"/>
      <c r="D798" s="28" t="n"/>
      <c r="E798" s="28" t="n"/>
      <c r="F798" s="28" t="n"/>
      <c r="G798" s="28" t="n"/>
      <c r="H798" s="28" t="n"/>
      <c r="I798" s="28" t="n"/>
      <c r="J798" s="22" t="n"/>
      <c r="K798" s="23" t="n"/>
    </row>
    <row r="799">
      <c r="A799" s="27" t="n"/>
      <c r="B799" s="23" t="n"/>
      <c r="C799" s="23" t="n"/>
      <c r="D799" s="28" t="n"/>
      <c r="E799" s="28" t="n"/>
      <c r="F799" s="28" t="n"/>
      <c r="G799" s="28" t="n"/>
      <c r="H799" s="28" t="n"/>
      <c r="I799" s="28" t="n"/>
      <c r="J799" s="22" t="n"/>
      <c r="K799" s="23" t="n"/>
    </row>
    <row r="800">
      <c r="A800" s="27" t="n"/>
      <c r="B800" s="23" t="n"/>
      <c r="C800" s="23" t="n"/>
      <c r="D800" s="28" t="n"/>
      <c r="E800" s="28" t="n"/>
      <c r="F800" s="28" t="n"/>
      <c r="G800" s="28" t="n"/>
      <c r="H800" s="28" t="n"/>
      <c r="I800" s="28" t="n"/>
      <c r="J800" s="22" t="n"/>
      <c r="K800" s="23" t="n"/>
    </row>
    <row r="801">
      <c r="A801" s="27" t="n"/>
      <c r="B801" s="23" t="n"/>
      <c r="C801" s="23" t="n"/>
      <c r="D801" s="28" t="n"/>
      <c r="E801" s="28" t="n"/>
      <c r="F801" s="28" t="n"/>
      <c r="G801" s="28" t="n"/>
      <c r="H801" s="28" t="n"/>
      <c r="I801" s="28" t="n"/>
      <c r="J801" s="22" t="n"/>
      <c r="K801" s="23" t="n"/>
    </row>
    <row r="802">
      <c r="A802" s="27" t="n"/>
      <c r="B802" s="23" t="n"/>
      <c r="C802" s="23" t="n"/>
      <c r="D802" s="28" t="n"/>
      <c r="E802" s="28" t="n"/>
      <c r="F802" s="28" t="n"/>
      <c r="G802" s="28" t="n"/>
      <c r="H802" s="28" t="n"/>
      <c r="I802" s="28" t="n"/>
      <c r="J802" s="22" t="n"/>
      <c r="K802" s="23" t="n"/>
    </row>
    <row r="803">
      <c r="A803" s="27" t="n"/>
      <c r="B803" s="23" t="n"/>
      <c r="C803" s="23" t="n"/>
      <c r="D803" s="28" t="n"/>
      <c r="E803" s="28" t="n"/>
      <c r="F803" s="28" t="n"/>
      <c r="G803" s="28" t="n"/>
      <c r="H803" s="28" t="n"/>
      <c r="I803" s="28" t="n"/>
      <c r="J803" s="22" t="n"/>
      <c r="K803" s="23" t="n"/>
    </row>
    <row r="804">
      <c r="A804" s="27" t="n"/>
      <c r="B804" s="23" t="n"/>
      <c r="C804" s="23" t="n"/>
      <c r="D804" s="28" t="n"/>
      <c r="E804" s="28" t="n"/>
      <c r="F804" s="28" t="n"/>
      <c r="G804" s="28" t="n"/>
      <c r="H804" s="28" t="n"/>
      <c r="I804" s="28" t="n"/>
      <c r="J804" s="22" t="n"/>
      <c r="K804" s="23" t="n"/>
    </row>
    <row r="805">
      <c r="A805" s="27" t="n"/>
      <c r="B805" s="23" t="n"/>
      <c r="C805" s="23" t="n"/>
      <c r="D805" s="28" t="n"/>
      <c r="E805" s="28" t="n"/>
      <c r="F805" s="28" t="n"/>
      <c r="G805" s="28" t="n"/>
      <c r="H805" s="28" t="n"/>
      <c r="I805" s="28" t="n"/>
      <c r="J805" s="22" t="n"/>
      <c r="K805" s="23" t="n"/>
    </row>
    <row r="806">
      <c r="A806" s="27" t="n"/>
      <c r="B806" s="23" t="n"/>
      <c r="C806" s="23" t="n"/>
      <c r="D806" s="28" t="n"/>
      <c r="E806" s="28" t="n"/>
      <c r="F806" s="28" t="n"/>
      <c r="G806" s="28" t="n"/>
      <c r="H806" s="28" t="n"/>
      <c r="I806" s="28" t="n"/>
      <c r="J806" s="22" t="n"/>
      <c r="K806" s="23" t="n"/>
    </row>
    <row r="807">
      <c r="A807" s="27" t="n"/>
      <c r="B807" s="23" t="n"/>
      <c r="C807" s="23" t="n"/>
      <c r="D807" s="28" t="n"/>
      <c r="E807" s="28" t="n"/>
      <c r="F807" s="28" t="n"/>
      <c r="G807" s="28" t="n"/>
      <c r="H807" s="28" t="n"/>
      <c r="I807" s="28" t="n"/>
      <c r="J807" s="22" t="n"/>
      <c r="K807" s="23" t="n"/>
    </row>
    <row r="808">
      <c r="A808" s="27" t="n"/>
      <c r="B808" s="23" t="n"/>
      <c r="C808" s="23" t="n"/>
      <c r="D808" s="28" t="n"/>
      <c r="E808" s="28" t="n"/>
      <c r="F808" s="28" t="n"/>
      <c r="G808" s="28" t="n"/>
      <c r="H808" s="28" t="n"/>
      <c r="I808" s="28" t="n"/>
      <c r="J808" s="22" t="n"/>
      <c r="K808" s="23" t="n"/>
    </row>
    <row r="809">
      <c r="A809" s="27" t="n"/>
      <c r="B809" s="23" t="n"/>
      <c r="C809" s="23" t="n"/>
      <c r="D809" s="28" t="n"/>
      <c r="E809" s="28" t="n"/>
      <c r="F809" s="28" t="n"/>
      <c r="G809" s="28" t="n"/>
      <c r="H809" s="28" t="n"/>
      <c r="I809" s="28" t="n"/>
      <c r="J809" s="22" t="n"/>
      <c r="K809" s="23" t="n"/>
    </row>
    <row r="810">
      <c r="A810" s="27" t="n"/>
      <c r="B810" s="23" t="n"/>
      <c r="C810" s="23" t="n"/>
      <c r="D810" s="28" t="n"/>
      <c r="E810" s="28" t="n"/>
      <c r="F810" s="28" t="n"/>
      <c r="G810" s="28" t="n"/>
      <c r="H810" s="28" t="n"/>
      <c r="I810" s="28" t="n"/>
      <c r="J810" s="22" t="n"/>
      <c r="K810" s="23" t="n"/>
    </row>
    <row r="811">
      <c r="A811" s="27" t="n"/>
      <c r="B811" s="23" t="n"/>
      <c r="C811" s="23" t="n"/>
      <c r="D811" s="28" t="n"/>
      <c r="E811" s="28" t="n"/>
      <c r="F811" s="28" t="n"/>
      <c r="G811" s="28" t="n"/>
      <c r="H811" s="28" t="n"/>
      <c r="I811" s="28" t="n"/>
      <c r="J811" s="22" t="n"/>
      <c r="K811" s="23" t="n"/>
    </row>
    <row r="812">
      <c r="A812" s="27" t="n"/>
      <c r="B812" s="23" t="n"/>
      <c r="C812" s="23" t="n"/>
      <c r="D812" s="28" t="n"/>
      <c r="E812" s="28" t="n"/>
      <c r="F812" s="28" t="n"/>
      <c r="G812" s="28" t="n"/>
      <c r="H812" s="28" t="n"/>
      <c r="I812" s="28" t="n"/>
      <c r="J812" s="22" t="n"/>
      <c r="K812" s="23" t="n"/>
    </row>
    <row r="813">
      <c r="A813" s="27" t="n"/>
      <c r="B813" s="23" t="n"/>
      <c r="C813" s="23" t="n"/>
      <c r="D813" s="28" t="n"/>
      <c r="E813" s="28" t="n"/>
      <c r="F813" s="28" t="n"/>
      <c r="G813" s="28" t="n"/>
      <c r="H813" s="28" t="n"/>
      <c r="I813" s="28" t="n"/>
      <c r="J813" s="22" t="n"/>
      <c r="K813" s="23" t="n"/>
    </row>
    <row r="814">
      <c r="A814" s="27" t="n"/>
      <c r="B814" s="23" t="n"/>
      <c r="C814" s="23" t="n"/>
      <c r="D814" s="28" t="n"/>
      <c r="E814" s="28" t="n"/>
      <c r="F814" s="28" t="n"/>
      <c r="G814" s="28" t="n"/>
      <c r="H814" s="28" t="n"/>
      <c r="I814" s="28" t="n"/>
      <c r="J814" s="22" t="n"/>
      <c r="K814" s="23" t="n"/>
    </row>
    <row r="815">
      <c r="A815" s="27" t="n"/>
      <c r="B815" s="23" t="n"/>
      <c r="C815" s="23" t="n"/>
      <c r="D815" s="28" t="n"/>
      <c r="E815" s="28" t="n"/>
      <c r="F815" s="28" t="n"/>
      <c r="G815" s="28" t="n"/>
      <c r="H815" s="28" t="n"/>
      <c r="I815" s="28" t="n"/>
      <c r="J815" s="22" t="n"/>
      <c r="K815" s="23" t="n"/>
    </row>
    <row r="816">
      <c r="A816" s="27" t="n"/>
      <c r="B816" s="23" t="n"/>
      <c r="C816" s="23" t="n"/>
      <c r="D816" s="28" t="n"/>
      <c r="E816" s="28" t="n"/>
      <c r="F816" s="28" t="n"/>
      <c r="G816" s="28" t="n"/>
      <c r="H816" s="28" t="n"/>
      <c r="I816" s="28" t="n"/>
      <c r="J816" s="22" t="n"/>
      <c r="K816" s="23" t="n"/>
    </row>
    <row r="817">
      <c r="A817" s="27" t="n"/>
      <c r="B817" s="23" t="n"/>
      <c r="C817" s="23" t="n"/>
      <c r="D817" s="28" t="n"/>
      <c r="E817" s="28" t="n"/>
      <c r="F817" s="28" t="n"/>
      <c r="G817" s="28" t="n"/>
      <c r="H817" s="28" t="n"/>
      <c r="I817" s="28" t="n"/>
      <c r="J817" s="22" t="n"/>
      <c r="K817" s="23" t="n"/>
    </row>
    <row r="818">
      <c r="A818" s="27" t="n"/>
      <c r="B818" s="23" t="n"/>
      <c r="C818" s="23" t="n"/>
      <c r="D818" s="28" t="n"/>
      <c r="E818" s="28" t="n"/>
      <c r="F818" s="28" t="n"/>
      <c r="G818" s="28" t="n"/>
      <c r="H818" s="28" t="n"/>
      <c r="I818" s="28" t="n"/>
      <c r="J818" s="22" t="n"/>
      <c r="K818" s="23" t="n"/>
    </row>
    <row r="819">
      <c r="A819" s="27" t="n"/>
      <c r="B819" s="23" t="n"/>
      <c r="C819" s="23" t="n"/>
      <c r="D819" s="28" t="n"/>
      <c r="E819" s="28" t="n"/>
      <c r="F819" s="28" t="n"/>
      <c r="G819" s="28" t="n"/>
      <c r="H819" s="28" t="n"/>
      <c r="I819" s="28" t="n"/>
      <c r="J819" s="22" t="n"/>
      <c r="K819" s="23" t="n"/>
    </row>
    <row r="820">
      <c r="A820" s="27" t="n"/>
      <c r="B820" s="23" t="n"/>
      <c r="C820" s="23" t="n"/>
      <c r="D820" s="28" t="n"/>
      <c r="E820" s="28" t="n"/>
      <c r="F820" s="28" t="n"/>
      <c r="G820" s="28" t="n"/>
      <c r="H820" s="28" t="n"/>
      <c r="I820" s="28" t="n"/>
      <c r="J820" s="22" t="n"/>
      <c r="K820" s="23" t="n"/>
    </row>
    <row r="821">
      <c r="A821" s="27" t="n"/>
      <c r="B821" s="23" t="n"/>
      <c r="C821" s="23" t="n"/>
      <c r="D821" s="28" t="n"/>
      <c r="E821" s="28" t="n"/>
      <c r="F821" s="28" t="n"/>
      <c r="G821" s="28" t="n"/>
      <c r="H821" s="28" t="n"/>
      <c r="I821" s="28" t="n"/>
      <c r="J821" s="22" t="n"/>
      <c r="K821" s="23" t="n"/>
    </row>
    <row r="822">
      <c r="A822" s="27" t="n"/>
      <c r="B822" s="23" t="n"/>
      <c r="C822" s="23" t="n"/>
      <c r="D822" s="28" t="n"/>
      <c r="E822" s="28" t="n"/>
      <c r="F822" s="28" t="n"/>
      <c r="G822" s="28" t="n"/>
      <c r="H822" s="28" t="n"/>
      <c r="I822" s="28" t="n"/>
      <c r="J822" s="22" t="n"/>
      <c r="K822" s="23" t="n"/>
    </row>
    <row r="823">
      <c r="A823" s="27" t="n"/>
      <c r="B823" s="23" t="n"/>
      <c r="C823" s="23" t="n"/>
      <c r="D823" s="28" t="n"/>
      <c r="E823" s="28" t="n"/>
      <c r="F823" s="28" t="n"/>
      <c r="G823" s="28" t="n"/>
      <c r="H823" s="28" t="n"/>
      <c r="I823" s="28" t="n"/>
      <c r="J823" s="22" t="n"/>
      <c r="K823" s="23" t="n"/>
    </row>
    <row r="824">
      <c r="A824" s="27" t="n"/>
      <c r="B824" s="23" t="n"/>
      <c r="C824" s="23" t="n"/>
      <c r="D824" s="28" t="n"/>
      <c r="E824" s="28" t="n"/>
      <c r="F824" s="28" t="n"/>
      <c r="G824" s="28" t="n"/>
      <c r="H824" s="28" t="n"/>
      <c r="I824" s="28" t="n"/>
      <c r="J824" s="22" t="n"/>
      <c r="K824" s="23" t="n"/>
    </row>
    <row r="825">
      <c r="A825" s="27" t="n"/>
      <c r="B825" s="23" t="n"/>
      <c r="C825" s="23" t="n"/>
      <c r="D825" s="28" t="n"/>
      <c r="E825" s="28" t="n"/>
      <c r="F825" s="28" t="n"/>
      <c r="G825" s="28" t="n"/>
      <c r="H825" s="28" t="n"/>
      <c r="I825" s="28" t="n"/>
      <c r="J825" s="22" t="n"/>
      <c r="K825" s="23" t="n"/>
    </row>
    <row r="826">
      <c r="A826" s="27" t="n"/>
      <c r="B826" s="23" t="n"/>
      <c r="C826" s="23" t="n"/>
      <c r="D826" s="28" t="n"/>
      <c r="E826" s="28" t="n"/>
      <c r="F826" s="28" t="n"/>
      <c r="G826" s="28" t="n"/>
      <c r="H826" s="28" t="n"/>
      <c r="I826" s="28" t="n"/>
      <c r="J826" s="22" t="n"/>
      <c r="K826" s="23" t="n"/>
    </row>
    <row r="827">
      <c r="A827" s="27" t="n"/>
      <c r="B827" s="23" t="n"/>
      <c r="C827" s="23" t="n"/>
      <c r="D827" s="28" t="n"/>
      <c r="E827" s="28" t="n"/>
      <c r="F827" s="28" t="n"/>
      <c r="G827" s="28" t="n"/>
      <c r="H827" s="28" t="n"/>
      <c r="I827" s="28" t="n"/>
      <c r="J827" s="22" t="n"/>
      <c r="K827" s="23" t="n"/>
    </row>
    <row r="828">
      <c r="A828" s="27" t="n"/>
      <c r="B828" s="23" t="n"/>
      <c r="C828" s="23" t="n"/>
      <c r="D828" s="28" t="n"/>
      <c r="E828" s="28" t="n"/>
      <c r="F828" s="28" t="n"/>
      <c r="G828" s="28" t="n"/>
      <c r="H828" s="28" t="n"/>
      <c r="I828" s="28" t="n"/>
      <c r="J828" s="22" t="n"/>
      <c r="K828" s="23" t="n"/>
    </row>
    <row r="829">
      <c r="A829" s="27" t="n"/>
      <c r="B829" s="23" t="n"/>
      <c r="C829" s="23" t="n"/>
      <c r="D829" s="28" t="n"/>
      <c r="E829" s="28" t="n"/>
      <c r="F829" s="28" t="n"/>
      <c r="G829" s="28" t="n"/>
      <c r="H829" s="28" t="n"/>
      <c r="I829" s="28" t="n"/>
      <c r="J829" s="22" t="n"/>
      <c r="K829" s="23" t="n"/>
    </row>
    <row r="830">
      <c r="A830" s="27" t="n"/>
      <c r="B830" s="23" t="n"/>
      <c r="C830" s="23" t="n"/>
      <c r="D830" s="28" t="n"/>
      <c r="E830" s="28" t="n"/>
      <c r="F830" s="28" t="n"/>
      <c r="G830" s="28" t="n"/>
      <c r="H830" s="28" t="n"/>
      <c r="I830" s="28" t="n"/>
      <c r="J830" s="22" t="n"/>
      <c r="K830" s="23" t="n"/>
    </row>
    <row r="831">
      <c r="A831" s="27" t="n"/>
      <c r="B831" s="23" t="n"/>
      <c r="C831" s="23" t="n"/>
      <c r="D831" s="28" t="n"/>
      <c r="E831" s="28" t="n"/>
      <c r="F831" s="28" t="n"/>
      <c r="G831" s="28" t="n"/>
      <c r="H831" s="28" t="n"/>
      <c r="I831" s="28" t="n"/>
      <c r="J831" s="22" t="n"/>
      <c r="K831" s="23" t="n"/>
    </row>
    <row r="832">
      <c r="A832" s="27" t="n"/>
      <c r="B832" s="23" t="n"/>
      <c r="C832" s="23" t="n"/>
      <c r="D832" s="28" t="n"/>
      <c r="E832" s="28" t="n"/>
      <c r="F832" s="28" t="n"/>
      <c r="G832" s="28" t="n"/>
      <c r="H832" s="28" t="n"/>
      <c r="I832" s="28" t="n"/>
      <c r="J832" s="22" t="n"/>
      <c r="K832" s="23" t="n"/>
    </row>
    <row r="833">
      <c r="A833" s="27" t="n"/>
      <c r="B833" s="23" t="n"/>
      <c r="C833" s="23" t="n"/>
      <c r="D833" s="28" t="n"/>
      <c r="E833" s="28" t="n"/>
      <c r="F833" s="28" t="n"/>
      <c r="G833" s="28" t="n"/>
      <c r="H833" s="28" t="n"/>
      <c r="I833" s="28" t="n"/>
      <c r="J833" s="22" t="n"/>
      <c r="K833" s="23" t="n"/>
    </row>
    <row r="834">
      <c r="A834" s="27" t="n"/>
      <c r="B834" s="23" t="n"/>
      <c r="C834" s="23" t="n"/>
      <c r="D834" s="28" t="n"/>
      <c r="E834" s="28" t="n"/>
      <c r="F834" s="28" t="n"/>
      <c r="G834" s="28" t="n"/>
      <c r="H834" s="28" t="n"/>
      <c r="I834" s="28" t="n"/>
      <c r="J834" s="22" t="n"/>
      <c r="K834" s="23" t="n"/>
    </row>
    <row r="835">
      <c r="A835" s="27" t="n"/>
      <c r="B835" s="23" t="n"/>
      <c r="C835" s="23" t="n"/>
      <c r="D835" s="28" t="n"/>
      <c r="E835" s="28" t="n"/>
      <c r="F835" s="28" t="n"/>
      <c r="G835" s="28" t="n"/>
      <c r="H835" s="28" t="n"/>
      <c r="I835" s="28" t="n"/>
      <c r="J835" s="22" t="n"/>
      <c r="K835" s="23" t="n"/>
    </row>
    <row r="836">
      <c r="A836" s="27" t="n"/>
      <c r="B836" s="23" t="n"/>
      <c r="C836" s="23" t="n"/>
      <c r="D836" s="28" t="n"/>
      <c r="E836" s="28" t="n"/>
      <c r="F836" s="28" t="n"/>
      <c r="G836" s="28" t="n"/>
      <c r="H836" s="28" t="n"/>
      <c r="I836" s="28" t="n"/>
      <c r="J836" s="22" t="n"/>
      <c r="K836" s="23" t="n"/>
    </row>
    <row r="837">
      <c r="A837" s="27" t="n"/>
      <c r="B837" s="23" t="n"/>
      <c r="C837" s="23" t="n"/>
      <c r="D837" s="28" t="n"/>
      <c r="E837" s="28" t="n"/>
      <c r="F837" s="28" t="n"/>
      <c r="G837" s="28" t="n"/>
      <c r="H837" s="28" t="n"/>
      <c r="I837" s="28" t="n"/>
      <c r="J837" s="22" t="n"/>
      <c r="K837" s="23" t="n"/>
    </row>
    <row r="838">
      <c r="A838" s="27" t="n"/>
      <c r="B838" s="23" t="n"/>
      <c r="C838" s="23" t="n"/>
      <c r="D838" s="28" t="n"/>
      <c r="E838" s="28" t="n"/>
      <c r="F838" s="28" t="n"/>
      <c r="G838" s="28" t="n"/>
      <c r="H838" s="28" t="n"/>
      <c r="I838" s="28" t="n"/>
      <c r="J838" s="22" t="n"/>
      <c r="K838" s="23" t="n"/>
    </row>
    <row r="839">
      <c r="A839" s="27" t="n"/>
      <c r="B839" s="23" t="n"/>
      <c r="C839" s="23" t="n"/>
      <c r="D839" s="28" t="n"/>
      <c r="E839" s="28" t="n"/>
      <c r="F839" s="28" t="n"/>
      <c r="G839" s="28" t="n"/>
      <c r="H839" s="28" t="n"/>
      <c r="I839" s="28" t="n"/>
      <c r="J839" s="22" t="n"/>
      <c r="K839" s="23" t="n"/>
    </row>
    <row r="840">
      <c r="A840" s="27" t="n"/>
      <c r="B840" s="23" t="n"/>
      <c r="C840" s="23" t="n"/>
      <c r="D840" s="28" t="n"/>
      <c r="E840" s="28" t="n"/>
      <c r="F840" s="28" t="n"/>
      <c r="G840" s="28" t="n"/>
      <c r="H840" s="28" t="n"/>
      <c r="I840" s="28" t="n"/>
      <c r="J840" s="22" t="n"/>
      <c r="K840" s="23" t="n"/>
    </row>
    <row r="841">
      <c r="A841" s="27" t="n"/>
      <c r="B841" s="23" t="n"/>
      <c r="C841" s="23" t="n"/>
      <c r="D841" s="28" t="n"/>
      <c r="E841" s="28" t="n"/>
      <c r="F841" s="28" t="n"/>
      <c r="G841" s="28" t="n"/>
      <c r="H841" s="28" t="n"/>
      <c r="I841" s="28" t="n"/>
      <c r="J841" s="22" t="n"/>
      <c r="K841" s="23" t="n"/>
    </row>
    <row r="842">
      <c r="A842" s="27" t="n"/>
      <c r="B842" s="23" t="n"/>
      <c r="C842" s="23" t="n"/>
      <c r="D842" s="28" t="n"/>
      <c r="E842" s="28" t="n"/>
      <c r="F842" s="28" t="n"/>
      <c r="G842" s="28" t="n"/>
      <c r="H842" s="28" t="n"/>
      <c r="I842" s="28" t="n"/>
      <c r="J842" s="22" t="n"/>
      <c r="K842" s="23" t="n"/>
    </row>
    <row r="843">
      <c r="A843" s="27" t="n"/>
      <c r="B843" s="23" t="n"/>
      <c r="C843" s="23" t="n"/>
      <c r="D843" s="28" t="n"/>
      <c r="E843" s="28" t="n"/>
      <c r="F843" s="28" t="n"/>
      <c r="G843" s="28" t="n"/>
      <c r="H843" s="28" t="n"/>
      <c r="I843" s="28" t="n"/>
      <c r="J843" s="22" t="n"/>
      <c r="K843" s="23" t="n"/>
    </row>
    <row r="844">
      <c r="A844" s="27" t="n"/>
      <c r="B844" s="23" t="n"/>
      <c r="C844" s="23" t="n"/>
      <c r="D844" s="28" t="n"/>
      <c r="E844" s="28" t="n"/>
      <c r="F844" s="28" t="n"/>
      <c r="G844" s="28" t="n"/>
      <c r="H844" s="28" t="n"/>
      <c r="I844" s="28" t="n"/>
      <c r="J844" s="22" t="n"/>
      <c r="K844" s="23" t="n"/>
    </row>
    <row r="845">
      <c r="A845" s="27" t="n"/>
      <c r="B845" s="23" t="n"/>
      <c r="C845" s="23" t="n"/>
      <c r="D845" s="28" t="n"/>
      <c r="E845" s="28" t="n"/>
      <c r="F845" s="28" t="n"/>
      <c r="G845" s="28" t="n"/>
      <c r="H845" s="28" t="n"/>
      <c r="I845" s="28" t="n"/>
      <c r="J845" s="22" t="n"/>
      <c r="K845" s="23" t="n"/>
    </row>
    <row r="846">
      <c r="A846" s="27" t="n"/>
      <c r="B846" s="23" t="n"/>
      <c r="C846" s="23" t="n"/>
      <c r="D846" s="28" t="n"/>
      <c r="E846" s="28" t="n"/>
      <c r="F846" s="28" t="n"/>
      <c r="G846" s="28" t="n"/>
      <c r="H846" s="28" t="n"/>
      <c r="I846" s="28" t="n"/>
      <c r="J846" s="22" t="n"/>
      <c r="K846" s="23" t="n"/>
    </row>
    <row r="847">
      <c r="A847" s="27" t="n"/>
      <c r="B847" s="23" t="n"/>
      <c r="C847" s="23" t="n"/>
      <c r="D847" s="28" t="n"/>
      <c r="E847" s="28" t="n"/>
      <c r="F847" s="28" t="n"/>
      <c r="G847" s="28" t="n"/>
      <c r="H847" s="28" t="n"/>
      <c r="I847" s="28" t="n"/>
      <c r="J847" s="22" t="n"/>
      <c r="K847" s="23" t="n"/>
    </row>
    <row r="848">
      <c r="A848" s="27" t="n"/>
      <c r="B848" s="23" t="n"/>
      <c r="C848" s="23" t="n"/>
      <c r="D848" s="28" t="n"/>
      <c r="E848" s="28" t="n"/>
      <c r="F848" s="28" t="n"/>
      <c r="G848" s="28" t="n"/>
      <c r="H848" s="28" t="n"/>
      <c r="I848" s="28" t="n"/>
      <c r="J848" s="22" t="n"/>
      <c r="K848" s="23" t="n"/>
    </row>
    <row r="849">
      <c r="A849" s="27" t="n"/>
      <c r="B849" s="23" t="n"/>
      <c r="C849" s="23" t="n"/>
      <c r="D849" s="28" t="n"/>
      <c r="E849" s="28" t="n"/>
      <c r="F849" s="28" t="n"/>
      <c r="G849" s="28" t="n"/>
      <c r="H849" s="28" t="n"/>
      <c r="I849" s="28" t="n"/>
      <c r="J849" s="22" t="n"/>
      <c r="K849" s="23" t="n"/>
    </row>
    <row r="850">
      <c r="A850" s="27" t="n"/>
      <c r="B850" s="23" t="n"/>
      <c r="C850" s="23" t="n"/>
      <c r="D850" s="28" t="n"/>
      <c r="E850" s="28" t="n"/>
      <c r="F850" s="28" t="n"/>
      <c r="G850" s="28" t="n"/>
      <c r="H850" s="28" t="n"/>
      <c r="I850" s="28" t="n"/>
      <c r="J850" s="22" t="n"/>
      <c r="K850" s="23" t="n"/>
    </row>
    <row r="851">
      <c r="A851" s="27" t="n"/>
      <c r="B851" s="23" t="n"/>
      <c r="C851" s="23" t="n"/>
      <c r="D851" s="28" t="n"/>
      <c r="E851" s="28" t="n"/>
      <c r="F851" s="28" t="n"/>
      <c r="G851" s="28" t="n"/>
      <c r="H851" s="28" t="n"/>
      <c r="I851" s="28" t="n"/>
      <c r="J851" s="22" t="n"/>
      <c r="K851" s="23" t="n"/>
    </row>
    <row r="852">
      <c r="A852" s="27" t="n"/>
      <c r="B852" s="23" t="n"/>
      <c r="C852" s="23" t="n"/>
      <c r="D852" s="28" t="n"/>
      <c r="E852" s="28" t="n"/>
      <c r="F852" s="28" t="n"/>
      <c r="G852" s="28" t="n"/>
      <c r="H852" s="28" t="n"/>
      <c r="I852" s="28" t="n"/>
      <c r="J852" s="22" t="n"/>
      <c r="K852" s="23" t="n"/>
    </row>
    <row r="853">
      <c r="A853" s="27" t="n"/>
      <c r="B853" s="23" t="n"/>
      <c r="C853" s="23" t="n"/>
      <c r="D853" s="28" t="n"/>
      <c r="E853" s="28" t="n"/>
      <c r="F853" s="28" t="n"/>
      <c r="G853" s="28" t="n"/>
      <c r="H853" s="28" t="n"/>
      <c r="I853" s="28" t="n"/>
      <c r="J853" s="22" t="n"/>
      <c r="K853" s="23" t="n"/>
    </row>
    <row r="854">
      <c r="A854" s="27" t="n"/>
      <c r="B854" s="23" t="n"/>
      <c r="C854" s="23" t="n"/>
      <c r="D854" s="28" t="n"/>
      <c r="E854" s="28" t="n"/>
      <c r="F854" s="28" t="n"/>
      <c r="G854" s="28" t="n"/>
      <c r="H854" s="28" t="n"/>
      <c r="I854" s="28" t="n"/>
      <c r="J854" s="22" t="n"/>
      <c r="K854" s="23" t="n"/>
    </row>
    <row r="855">
      <c r="A855" s="27" t="n"/>
      <c r="B855" s="23" t="n"/>
      <c r="C855" s="23" t="n"/>
      <c r="D855" s="28" t="n"/>
      <c r="E855" s="28" t="n"/>
      <c r="F855" s="28" t="n"/>
      <c r="G855" s="28" t="n"/>
      <c r="H855" s="28" t="n"/>
      <c r="I855" s="28" t="n"/>
      <c r="J855" s="22" t="n"/>
      <c r="K855" s="23" t="n"/>
    </row>
    <row r="856">
      <c r="A856" s="27" t="n"/>
      <c r="B856" s="23" t="n"/>
      <c r="C856" s="23" t="n"/>
      <c r="D856" s="28" t="n"/>
      <c r="E856" s="28" t="n"/>
      <c r="F856" s="28" t="n"/>
      <c r="G856" s="28" t="n"/>
      <c r="H856" s="28" t="n"/>
      <c r="I856" s="28" t="n"/>
      <c r="J856" s="22" t="n"/>
      <c r="K856" s="23" t="n"/>
    </row>
    <row r="857">
      <c r="A857" s="27" t="n"/>
      <c r="B857" s="23" t="n"/>
      <c r="C857" s="23" t="n"/>
      <c r="D857" s="28" t="n"/>
      <c r="E857" s="28" t="n"/>
      <c r="F857" s="28" t="n"/>
      <c r="G857" s="28" t="n"/>
      <c r="H857" s="28" t="n"/>
      <c r="I857" s="28" t="n"/>
      <c r="J857" s="22" t="n"/>
      <c r="K857" s="23" t="n"/>
    </row>
    <row r="858">
      <c r="A858" s="27" t="n"/>
      <c r="B858" s="23" t="n"/>
      <c r="C858" s="23" t="n"/>
      <c r="D858" s="28" t="n"/>
      <c r="E858" s="28" t="n"/>
      <c r="F858" s="28" t="n"/>
      <c r="G858" s="28" t="n"/>
      <c r="H858" s="28" t="n"/>
      <c r="I858" s="28" t="n"/>
      <c r="J858" s="22" t="n"/>
      <c r="K858" s="23" t="n"/>
    </row>
    <row r="859">
      <c r="A859" s="27" t="n"/>
      <c r="B859" s="23" t="n"/>
      <c r="C859" s="23" t="n"/>
      <c r="D859" s="28" t="n"/>
      <c r="E859" s="28" t="n"/>
      <c r="F859" s="28" t="n"/>
      <c r="G859" s="28" t="n"/>
      <c r="H859" s="28" t="n"/>
      <c r="I859" s="28" t="n"/>
      <c r="J859" s="22" t="n"/>
      <c r="K859" s="23" t="n"/>
    </row>
    <row r="860">
      <c r="A860" s="27" t="n"/>
      <c r="B860" s="23" t="n"/>
      <c r="C860" s="23" t="n"/>
      <c r="D860" s="28" t="n"/>
      <c r="E860" s="28" t="n"/>
      <c r="F860" s="28" t="n"/>
      <c r="G860" s="28" t="n"/>
      <c r="H860" s="28" t="n"/>
      <c r="I860" s="28" t="n"/>
      <c r="J860" s="22" t="n"/>
      <c r="K860" s="23" t="n"/>
    </row>
    <row r="861">
      <c r="A861" s="27" t="n"/>
      <c r="B861" s="23" t="n"/>
      <c r="C861" s="23" t="n"/>
      <c r="D861" s="28" t="n"/>
      <c r="E861" s="28" t="n"/>
      <c r="F861" s="28" t="n"/>
      <c r="G861" s="28" t="n"/>
      <c r="H861" s="28" t="n"/>
      <c r="I861" s="28" t="n"/>
      <c r="J861" s="22" t="n"/>
      <c r="K861" s="23" t="n"/>
    </row>
    <row r="862">
      <c r="A862" s="27" t="n"/>
      <c r="B862" s="23" t="n"/>
      <c r="C862" s="23" t="n"/>
      <c r="D862" s="28" t="n"/>
      <c r="E862" s="28" t="n"/>
      <c r="F862" s="28" t="n"/>
      <c r="G862" s="28" t="n"/>
      <c r="H862" s="28" t="n"/>
      <c r="I862" s="28" t="n"/>
      <c r="J862" s="22" t="n"/>
      <c r="K862" s="23" t="n"/>
    </row>
    <row r="863">
      <c r="A863" s="27" t="n"/>
      <c r="B863" s="23" t="n"/>
      <c r="C863" s="23" t="n"/>
      <c r="D863" s="28" t="n"/>
      <c r="E863" s="28" t="n"/>
      <c r="F863" s="28" t="n"/>
      <c r="G863" s="28" t="n"/>
      <c r="H863" s="28" t="n"/>
      <c r="I863" s="28" t="n"/>
      <c r="J863" s="22" t="n"/>
      <c r="K863" s="23" t="n"/>
    </row>
    <row r="864">
      <c r="A864" s="27" t="n"/>
      <c r="B864" s="23" t="n"/>
      <c r="C864" s="23" t="n"/>
      <c r="D864" s="28" t="n"/>
      <c r="E864" s="28" t="n"/>
      <c r="F864" s="28" t="n"/>
      <c r="G864" s="28" t="n"/>
      <c r="H864" s="28" t="n"/>
      <c r="I864" s="28" t="n"/>
      <c r="J864" s="22" t="n"/>
      <c r="K864" s="23" t="n"/>
    </row>
    <row r="865">
      <c r="A865" s="27" t="n"/>
      <c r="B865" s="23" t="n"/>
      <c r="C865" s="23" t="n"/>
      <c r="D865" s="28" t="n"/>
      <c r="E865" s="28" t="n"/>
      <c r="F865" s="28" t="n"/>
      <c r="G865" s="28" t="n"/>
      <c r="H865" s="28" t="n"/>
      <c r="I865" s="28" t="n"/>
      <c r="J865" s="22" t="n"/>
      <c r="K865" s="23" t="n"/>
    </row>
    <row r="866">
      <c r="A866" s="27" t="n"/>
      <c r="B866" s="23" t="n"/>
      <c r="C866" s="23" t="n"/>
      <c r="D866" s="28" t="n"/>
      <c r="E866" s="28" t="n"/>
      <c r="F866" s="28" t="n"/>
      <c r="G866" s="28" t="n"/>
      <c r="H866" s="28" t="n"/>
      <c r="I866" s="28" t="n"/>
      <c r="J866" s="22" t="n"/>
      <c r="K866" s="23" t="n"/>
    </row>
    <row r="867">
      <c r="A867" s="27" t="n"/>
      <c r="B867" s="23" t="n"/>
      <c r="C867" s="23" t="n"/>
      <c r="D867" s="28" t="n"/>
      <c r="E867" s="28" t="n"/>
      <c r="F867" s="28" t="n"/>
      <c r="G867" s="28" t="n"/>
      <c r="H867" s="28" t="n"/>
      <c r="I867" s="28" t="n"/>
      <c r="J867" s="22" t="n"/>
      <c r="K867" s="23" t="n"/>
    </row>
    <row r="868">
      <c r="A868" s="27" t="n"/>
      <c r="B868" s="23" t="n"/>
      <c r="C868" s="23" t="n"/>
      <c r="D868" s="28" t="n"/>
      <c r="E868" s="28" t="n"/>
      <c r="F868" s="28" t="n"/>
      <c r="G868" s="28" t="n"/>
      <c r="H868" s="28" t="n"/>
      <c r="I868" s="28" t="n"/>
      <c r="J868" s="22" t="n"/>
      <c r="K868" s="23" t="n"/>
    </row>
    <row r="869">
      <c r="A869" s="27" t="n"/>
      <c r="B869" s="23" t="n"/>
      <c r="C869" s="23" t="n"/>
      <c r="D869" s="28" t="n"/>
      <c r="E869" s="28" t="n"/>
      <c r="F869" s="28" t="n"/>
      <c r="G869" s="28" t="n"/>
      <c r="H869" s="28" t="n"/>
      <c r="I869" s="28" t="n"/>
      <c r="J869" s="22" t="n"/>
      <c r="K869" s="23" t="n"/>
    </row>
    <row r="870">
      <c r="A870" s="27" t="n"/>
      <c r="B870" s="23" t="n"/>
      <c r="C870" s="23" t="n"/>
      <c r="D870" s="28" t="n"/>
      <c r="E870" s="28" t="n"/>
      <c r="F870" s="28" t="n"/>
      <c r="G870" s="28" t="n"/>
      <c r="H870" s="28" t="n"/>
      <c r="I870" s="28" t="n"/>
      <c r="J870" s="22" t="n"/>
      <c r="K870" s="23" t="n"/>
    </row>
    <row r="871">
      <c r="A871" s="27" t="n"/>
      <c r="B871" s="23" t="n"/>
      <c r="C871" s="23" t="n"/>
      <c r="D871" s="28" t="n"/>
      <c r="E871" s="28" t="n"/>
      <c r="F871" s="28" t="n"/>
      <c r="G871" s="28" t="n"/>
      <c r="H871" s="28" t="n"/>
      <c r="I871" s="28" t="n"/>
      <c r="J871" s="22" t="n"/>
      <c r="K871" s="23" t="n"/>
    </row>
    <row r="872">
      <c r="A872" s="27" t="n"/>
      <c r="B872" s="23" t="n"/>
      <c r="C872" s="23" t="n"/>
      <c r="D872" s="28" t="n"/>
      <c r="E872" s="28" t="n"/>
      <c r="F872" s="28" t="n"/>
      <c r="G872" s="28" t="n"/>
      <c r="H872" s="28" t="n"/>
      <c r="I872" s="28" t="n"/>
      <c r="J872" s="22" t="n"/>
      <c r="K872" s="23" t="n"/>
    </row>
    <row r="873">
      <c r="A873" s="27" t="n"/>
      <c r="B873" s="23" t="n"/>
      <c r="C873" s="23" t="n"/>
      <c r="D873" s="28" t="n"/>
      <c r="E873" s="28" t="n"/>
      <c r="F873" s="28" t="n"/>
      <c r="G873" s="28" t="n"/>
      <c r="H873" s="28" t="n"/>
      <c r="I873" s="28" t="n"/>
      <c r="J873" s="22" t="n"/>
      <c r="K873" s="23" t="n"/>
    </row>
    <row r="874">
      <c r="A874" s="27" t="n"/>
      <c r="B874" s="23" t="n"/>
      <c r="C874" s="23" t="n"/>
      <c r="D874" s="28" t="n"/>
      <c r="E874" s="28" t="n"/>
      <c r="F874" s="28" t="n"/>
      <c r="G874" s="28" t="n"/>
      <c r="H874" s="28" t="n"/>
      <c r="I874" s="28" t="n"/>
      <c r="J874" s="22" t="n"/>
      <c r="K874" s="23" t="n"/>
    </row>
    <row r="875">
      <c r="A875" s="27" t="n"/>
      <c r="B875" s="23" t="n"/>
      <c r="C875" s="23" t="n"/>
      <c r="D875" s="28" t="n"/>
      <c r="E875" s="28" t="n"/>
      <c r="F875" s="28" t="n"/>
      <c r="G875" s="28" t="n"/>
      <c r="H875" s="28" t="n"/>
      <c r="I875" s="28" t="n"/>
      <c r="J875" s="22" t="n"/>
      <c r="K875" s="23" t="n"/>
    </row>
    <row r="876">
      <c r="A876" s="27" t="n"/>
      <c r="B876" s="23" t="n"/>
      <c r="C876" s="23" t="n"/>
      <c r="D876" s="28" t="n"/>
      <c r="E876" s="28" t="n"/>
      <c r="F876" s="28" t="n"/>
      <c r="G876" s="28" t="n"/>
      <c r="H876" s="28" t="n"/>
      <c r="I876" s="28" t="n"/>
      <c r="J876" s="22" t="n"/>
      <c r="K876" s="23" t="n"/>
    </row>
    <row r="877">
      <c r="A877" s="27" t="n"/>
      <c r="B877" s="23" t="n"/>
      <c r="C877" s="23" t="n"/>
      <c r="D877" s="28" t="n"/>
      <c r="E877" s="28" t="n"/>
      <c r="F877" s="28" t="n"/>
      <c r="G877" s="28" t="n"/>
      <c r="H877" s="28" t="n"/>
      <c r="I877" s="28" t="n"/>
      <c r="J877" s="22" t="n"/>
      <c r="K877" s="23" t="n"/>
    </row>
    <row r="878">
      <c r="A878" s="27" t="n"/>
      <c r="B878" s="23" t="n"/>
      <c r="C878" s="23" t="n"/>
      <c r="D878" s="28" t="n"/>
      <c r="E878" s="28" t="n"/>
      <c r="F878" s="28" t="n"/>
      <c r="G878" s="28" t="n"/>
      <c r="H878" s="28" t="n"/>
      <c r="I878" s="28" t="n"/>
      <c r="J878" s="22" t="n"/>
      <c r="K878" s="23" t="n"/>
    </row>
    <row r="879">
      <c r="A879" s="27" t="n"/>
      <c r="B879" s="23" t="n"/>
      <c r="C879" s="23" t="n"/>
      <c r="D879" s="28" t="n"/>
      <c r="E879" s="28" t="n"/>
      <c r="F879" s="28" t="n"/>
      <c r="G879" s="28" t="n"/>
      <c r="H879" s="28" t="n"/>
      <c r="I879" s="28" t="n"/>
      <c r="J879" s="22" t="n"/>
      <c r="K879" s="23" t="n"/>
    </row>
    <row r="880">
      <c r="A880" s="27" t="n"/>
      <c r="B880" s="23" t="n"/>
      <c r="C880" s="23" t="n"/>
      <c r="D880" s="28" t="n"/>
      <c r="E880" s="28" t="n"/>
      <c r="F880" s="28" t="n"/>
      <c r="G880" s="28" t="n"/>
      <c r="H880" s="28" t="n"/>
      <c r="I880" s="28" t="n"/>
      <c r="J880" s="22" t="n"/>
      <c r="K880" s="23" t="n"/>
    </row>
    <row r="881">
      <c r="A881" s="27" t="n"/>
      <c r="B881" s="23" t="n"/>
      <c r="C881" s="23" t="n"/>
      <c r="D881" s="28" t="n"/>
      <c r="E881" s="28" t="n"/>
      <c r="F881" s="28" t="n"/>
      <c r="G881" s="28" t="n"/>
      <c r="H881" s="28" t="n"/>
      <c r="I881" s="28" t="n"/>
      <c r="J881" s="22" t="n"/>
      <c r="K881" s="23" t="n"/>
    </row>
    <row r="882">
      <c r="A882" s="27" t="n"/>
      <c r="B882" s="23" t="n"/>
      <c r="C882" s="23" t="n"/>
      <c r="D882" s="28" t="n"/>
      <c r="E882" s="28" t="n"/>
      <c r="F882" s="28" t="n"/>
      <c r="G882" s="28" t="n"/>
      <c r="H882" s="28" t="n"/>
      <c r="I882" s="28" t="n"/>
      <c r="J882" s="22" t="n"/>
      <c r="K882" s="23" t="n"/>
    </row>
    <row r="883">
      <c r="A883" s="27" t="n"/>
      <c r="B883" s="23" t="n"/>
      <c r="C883" s="23" t="n"/>
      <c r="D883" s="28" t="n"/>
      <c r="E883" s="28" t="n"/>
      <c r="F883" s="28" t="n"/>
      <c r="G883" s="28" t="n"/>
      <c r="H883" s="28" t="n"/>
      <c r="I883" s="28" t="n"/>
      <c r="J883" s="22" t="n"/>
      <c r="K883" s="23" t="n"/>
    </row>
    <row r="884">
      <c r="A884" s="27" t="n"/>
      <c r="B884" s="23" t="n"/>
      <c r="C884" s="23" t="n"/>
      <c r="D884" s="28" t="n"/>
      <c r="E884" s="28" t="n"/>
      <c r="F884" s="28" t="n"/>
      <c r="G884" s="28" t="n"/>
      <c r="H884" s="28" t="n"/>
      <c r="I884" s="28" t="n"/>
      <c r="J884" s="22" t="n"/>
      <c r="K884" s="23" t="n"/>
    </row>
    <row r="885">
      <c r="A885" s="27" t="n"/>
      <c r="B885" s="23" t="n"/>
      <c r="C885" s="23" t="n"/>
      <c r="D885" s="28" t="n"/>
      <c r="E885" s="28" t="n"/>
      <c r="F885" s="28" t="n"/>
      <c r="G885" s="28" t="n"/>
      <c r="H885" s="28" t="n"/>
      <c r="I885" s="28" t="n"/>
      <c r="J885" s="22" t="n"/>
      <c r="K885" s="23" t="n"/>
    </row>
    <row r="886">
      <c r="A886" s="27" t="n"/>
      <c r="B886" s="23" t="n"/>
      <c r="C886" s="23" t="n"/>
      <c r="D886" s="28" t="n"/>
      <c r="E886" s="28" t="n"/>
      <c r="F886" s="28" t="n"/>
      <c r="G886" s="28" t="n"/>
      <c r="H886" s="28" t="n"/>
      <c r="I886" s="28" t="n"/>
      <c r="J886" s="22" t="n"/>
      <c r="K886" s="23" t="n"/>
    </row>
    <row r="887">
      <c r="A887" s="27" t="n"/>
      <c r="B887" s="23" t="n"/>
      <c r="C887" s="23" t="n"/>
      <c r="D887" s="28" t="n"/>
      <c r="E887" s="28" t="n"/>
      <c r="F887" s="28" t="n"/>
      <c r="G887" s="28" t="n"/>
      <c r="H887" s="28" t="n"/>
      <c r="I887" s="28" t="n"/>
      <c r="J887" s="22" t="n"/>
      <c r="K887" s="23" t="n"/>
    </row>
    <row r="888">
      <c r="A888" s="27" t="n"/>
      <c r="B888" s="23" t="n"/>
      <c r="C888" s="23" t="n"/>
      <c r="D888" s="28" t="n"/>
      <c r="E888" s="28" t="n"/>
      <c r="F888" s="28" t="n"/>
      <c r="G888" s="28" t="n"/>
      <c r="H888" s="28" t="n"/>
      <c r="I888" s="28" t="n"/>
      <c r="J888" s="22" t="n"/>
      <c r="K888" s="23" t="n"/>
    </row>
    <row r="889">
      <c r="A889" s="27" t="n"/>
      <c r="B889" s="23" t="n"/>
      <c r="C889" s="23" t="n"/>
      <c r="D889" s="28" t="n"/>
      <c r="E889" s="28" t="n"/>
      <c r="F889" s="28" t="n"/>
      <c r="G889" s="28" t="n"/>
      <c r="H889" s="28" t="n"/>
      <c r="I889" s="28" t="n"/>
      <c r="J889" s="22" t="n"/>
      <c r="K889" s="23" t="n"/>
    </row>
    <row r="890">
      <c r="A890" s="27" t="n"/>
      <c r="B890" s="23" t="n"/>
      <c r="C890" s="23" t="n"/>
      <c r="D890" s="28" t="n"/>
      <c r="E890" s="28" t="n"/>
      <c r="F890" s="28" t="n"/>
      <c r="G890" s="28" t="n"/>
      <c r="H890" s="28" t="n"/>
      <c r="I890" s="28" t="n"/>
      <c r="J890" s="22" t="n"/>
      <c r="K890" s="23" t="n"/>
    </row>
    <row r="891">
      <c r="A891" s="27" t="n"/>
      <c r="B891" s="23" t="n"/>
      <c r="C891" s="23" t="n"/>
      <c r="D891" s="28" t="n"/>
      <c r="E891" s="28" t="n"/>
      <c r="F891" s="28" t="n"/>
      <c r="G891" s="28" t="n"/>
      <c r="H891" s="28" t="n"/>
      <c r="I891" s="28" t="n"/>
      <c r="J891" s="22" t="n"/>
      <c r="K891" s="23" t="n"/>
    </row>
    <row r="892">
      <c r="A892" s="27" t="n"/>
      <c r="B892" s="23" t="n"/>
      <c r="C892" s="23" t="n"/>
      <c r="D892" s="28" t="n"/>
      <c r="E892" s="28" t="n"/>
      <c r="F892" s="28" t="n"/>
      <c r="G892" s="28" t="n"/>
      <c r="H892" s="28" t="n"/>
      <c r="I892" s="28" t="n"/>
      <c r="J892" s="22" t="n"/>
      <c r="K892" s="23" t="n"/>
    </row>
    <row r="893">
      <c r="A893" s="27" t="n"/>
      <c r="B893" s="23" t="n"/>
      <c r="C893" s="23" t="n"/>
      <c r="D893" s="28" t="n"/>
      <c r="E893" s="28" t="n"/>
      <c r="F893" s="28" t="n"/>
      <c r="G893" s="28" t="n"/>
      <c r="H893" s="28" t="n"/>
      <c r="I893" s="28" t="n"/>
      <c r="J893" s="22" t="n"/>
      <c r="K893" s="23" t="n"/>
    </row>
    <row r="894">
      <c r="A894" s="27" t="n"/>
      <c r="B894" s="23" t="n"/>
      <c r="C894" s="23" t="n"/>
      <c r="D894" s="28" t="n"/>
      <c r="E894" s="28" t="n"/>
      <c r="F894" s="28" t="n"/>
      <c r="G894" s="28" t="n"/>
      <c r="H894" s="28" t="n"/>
      <c r="I894" s="28" t="n"/>
      <c r="J894" s="22" t="n"/>
      <c r="K894" s="23" t="n"/>
    </row>
    <row r="895">
      <c r="A895" s="27" t="n"/>
      <c r="B895" s="23" t="n"/>
      <c r="C895" s="23" t="n"/>
      <c r="D895" s="28" t="n"/>
      <c r="E895" s="28" t="n"/>
      <c r="F895" s="28" t="n"/>
      <c r="G895" s="28" t="n"/>
      <c r="H895" s="28" t="n"/>
      <c r="I895" s="28" t="n"/>
      <c r="J895" s="22" t="n"/>
      <c r="K895" s="23" t="n"/>
    </row>
    <row r="896">
      <c r="A896" s="27" t="n"/>
      <c r="B896" s="23" t="n"/>
      <c r="C896" s="23" t="n"/>
      <c r="D896" s="28" t="n"/>
      <c r="E896" s="28" t="n"/>
      <c r="F896" s="28" t="n"/>
      <c r="G896" s="28" t="n"/>
      <c r="H896" s="28" t="n"/>
      <c r="I896" s="28" t="n"/>
      <c r="J896" s="22" t="n"/>
      <c r="K896" s="23" t="n"/>
    </row>
    <row r="897">
      <c r="A897" s="27" t="n"/>
      <c r="B897" s="23" t="n"/>
      <c r="C897" s="23" t="n"/>
      <c r="D897" s="28" t="n"/>
      <c r="E897" s="28" t="n"/>
      <c r="F897" s="28" t="n"/>
      <c r="G897" s="28" t="n"/>
      <c r="H897" s="28" t="n"/>
      <c r="I897" s="28" t="n"/>
      <c r="J897" s="22" t="n"/>
      <c r="K897" s="23" t="n"/>
    </row>
    <row r="898">
      <c r="A898" s="27" t="n"/>
      <c r="B898" s="23" t="n"/>
      <c r="C898" s="23" t="n"/>
      <c r="D898" s="28" t="n"/>
      <c r="E898" s="28" t="n"/>
      <c r="F898" s="28" t="n"/>
      <c r="G898" s="28" t="n"/>
      <c r="H898" s="28" t="n"/>
      <c r="I898" s="28" t="n"/>
      <c r="J898" s="22" t="n"/>
      <c r="K898" s="23" t="n"/>
    </row>
    <row r="899">
      <c r="A899" s="27" t="n"/>
      <c r="B899" s="23" t="n"/>
      <c r="C899" s="23" t="n"/>
      <c r="D899" s="28" t="n"/>
      <c r="E899" s="28" t="n"/>
      <c r="F899" s="28" t="n"/>
      <c r="G899" s="28" t="n"/>
      <c r="H899" s="28" t="n"/>
      <c r="I899" s="28" t="n"/>
      <c r="J899" s="22" t="n"/>
      <c r="K899" s="23" t="n"/>
    </row>
    <row r="900">
      <c r="A900" s="27" t="n"/>
      <c r="B900" s="23" t="n"/>
      <c r="C900" s="23" t="n"/>
      <c r="D900" s="28" t="n"/>
      <c r="E900" s="28" t="n"/>
      <c r="F900" s="28" t="n"/>
      <c r="G900" s="28" t="n"/>
      <c r="H900" s="28" t="n"/>
      <c r="I900" s="28" t="n"/>
      <c r="J900" s="22" t="n"/>
      <c r="K900" s="23" t="n"/>
    </row>
    <row r="901">
      <c r="A901" s="27" t="n"/>
      <c r="B901" s="23" t="n"/>
      <c r="C901" s="23" t="n"/>
      <c r="D901" s="28" t="n"/>
      <c r="E901" s="28" t="n"/>
      <c r="F901" s="28" t="n"/>
      <c r="G901" s="28" t="n"/>
      <c r="H901" s="28" t="n"/>
      <c r="I901" s="28" t="n"/>
      <c r="J901" s="22" t="n"/>
      <c r="K901" s="23" t="n"/>
    </row>
    <row r="902">
      <c r="A902" s="27" t="n"/>
      <c r="B902" s="23" t="n"/>
      <c r="C902" s="23" t="n"/>
      <c r="D902" s="28" t="n"/>
      <c r="E902" s="28" t="n"/>
      <c r="F902" s="28" t="n"/>
      <c r="G902" s="28" t="n"/>
      <c r="H902" s="28" t="n"/>
      <c r="I902" s="28" t="n"/>
      <c r="J902" s="22" t="n"/>
      <c r="K902" s="23" t="n"/>
    </row>
    <row r="903">
      <c r="A903" s="27" t="n"/>
      <c r="B903" s="23" t="n"/>
      <c r="C903" s="23" t="n"/>
      <c r="D903" s="28" t="n"/>
      <c r="E903" s="28" t="n"/>
      <c r="F903" s="28" t="n"/>
      <c r="G903" s="28" t="n"/>
      <c r="H903" s="28" t="n"/>
      <c r="I903" s="28" t="n"/>
      <c r="J903" s="22" t="n"/>
      <c r="K903" s="23" t="n"/>
    </row>
    <row r="904">
      <c r="A904" s="27" t="n"/>
      <c r="B904" s="23" t="n"/>
      <c r="C904" s="23" t="n"/>
      <c r="D904" s="28" t="n"/>
      <c r="E904" s="28" t="n"/>
      <c r="F904" s="28" t="n"/>
      <c r="G904" s="28" t="n"/>
      <c r="H904" s="28" t="n"/>
      <c r="I904" s="28" t="n"/>
      <c r="J904" s="22" t="n"/>
      <c r="K904" s="23" t="n"/>
    </row>
    <row r="905">
      <c r="A905" s="27" t="n"/>
      <c r="B905" s="23" t="n"/>
      <c r="C905" s="23" t="n"/>
      <c r="D905" s="28" t="n"/>
      <c r="E905" s="28" t="n"/>
      <c r="F905" s="28" t="n"/>
      <c r="G905" s="28" t="n"/>
      <c r="H905" s="28" t="n"/>
      <c r="I905" s="28" t="n"/>
      <c r="J905" s="22" t="n"/>
      <c r="K905" s="23" t="n"/>
    </row>
    <row r="906">
      <c r="A906" s="27" t="n"/>
      <c r="B906" s="23" t="n"/>
      <c r="C906" s="23" t="n"/>
      <c r="D906" s="28" t="n"/>
      <c r="E906" s="28" t="n"/>
      <c r="F906" s="28" t="n"/>
      <c r="G906" s="28" t="n"/>
      <c r="H906" s="28" t="n"/>
      <c r="I906" s="28" t="n"/>
      <c r="J906" s="22" t="n"/>
      <c r="K906" s="23" t="n"/>
    </row>
    <row r="907">
      <c r="A907" s="27" t="n"/>
      <c r="B907" s="23" t="n"/>
      <c r="C907" s="23" t="n"/>
      <c r="D907" s="28" t="n"/>
      <c r="E907" s="28" t="n"/>
      <c r="F907" s="28" t="n"/>
      <c r="G907" s="28" t="n"/>
      <c r="H907" s="28" t="n"/>
      <c r="I907" s="28" t="n"/>
      <c r="J907" s="22" t="n"/>
      <c r="K907" s="23" t="n"/>
    </row>
    <row r="908">
      <c r="A908" s="27" t="n"/>
      <c r="B908" s="23" t="n"/>
      <c r="C908" s="23" t="n"/>
      <c r="D908" s="28" t="n"/>
      <c r="E908" s="28" t="n"/>
      <c r="F908" s="28" t="n"/>
      <c r="G908" s="28" t="n"/>
      <c r="H908" s="28" t="n"/>
      <c r="I908" s="28" t="n"/>
      <c r="J908" s="22" t="n"/>
      <c r="K908" s="23" t="n"/>
    </row>
    <row r="909">
      <c r="A909" s="27" t="n"/>
      <c r="B909" s="23" t="n"/>
      <c r="C909" s="23" t="n"/>
      <c r="D909" s="28" t="n"/>
      <c r="E909" s="28" t="n"/>
      <c r="F909" s="28" t="n"/>
      <c r="G909" s="28" t="n"/>
      <c r="H909" s="28" t="n"/>
      <c r="I909" s="28" t="n"/>
      <c r="J909" s="22" t="n"/>
      <c r="K909" s="23" t="n"/>
    </row>
    <row r="910">
      <c r="A910" s="27" t="n"/>
      <c r="B910" s="23" t="n"/>
      <c r="C910" s="23" t="n"/>
      <c r="D910" s="28" t="n"/>
      <c r="E910" s="28" t="n"/>
      <c r="F910" s="28" t="n"/>
      <c r="G910" s="28" t="n"/>
      <c r="H910" s="28" t="n"/>
      <c r="I910" s="28" t="n"/>
      <c r="J910" s="22" t="n"/>
      <c r="K910" s="23" t="n"/>
    </row>
    <row r="911">
      <c r="A911" s="27" t="n"/>
      <c r="B911" s="23" t="n"/>
      <c r="C911" s="23" t="n"/>
      <c r="D911" s="28" t="n"/>
      <c r="E911" s="28" t="n"/>
      <c r="F911" s="28" t="n"/>
      <c r="G911" s="28" t="n"/>
      <c r="H911" s="28" t="n"/>
      <c r="I911" s="28" t="n"/>
      <c r="J911" s="22" t="n"/>
      <c r="K911" s="23" t="n"/>
    </row>
    <row r="912">
      <c r="A912" s="27" t="n"/>
      <c r="B912" s="23" t="n"/>
      <c r="C912" s="23" t="n"/>
      <c r="D912" s="28" t="n"/>
      <c r="E912" s="28" t="n"/>
      <c r="F912" s="28" t="n"/>
      <c r="G912" s="28" t="n"/>
      <c r="H912" s="28" t="n"/>
      <c r="I912" s="28" t="n"/>
      <c r="J912" s="22" t="n"/>
      <c r="K912" s="23" t="n"/>
    </row>
    <row r="913">
      <c r="A913" s="27" t="n"/>
      <c r="B913" s="23" t="n"/>
      <c r="C913" s="23" t="n"/>
      <c r="D913" s="28" t="n"/>
      <c r="E913" s="28" t="n"/>
      <c r="F913" s="28" t="n"/>
      <c r="G913" s="28" t="n"/>
      <c r="H913" s="28" t="n"/>
      <c r="I913" s="28" t="n"/>
      <c r="J913" s="22" t="n"/>
      <c r="K913" s="23" t="n"/>
    </row>
    <row r="914">
      <c r="A914" s="27" t="n"/>
      <c r="B914" s="23" t="n"/>
      <c r="C914" s="23" t="n"/>
      <c r="D914" s="28" t="n"/>
      <c r="E914" s="28" t="n"/>
      <c r="F914" s="28" t="n"/>
      <c r="G914" s="28" t="n"/>
      <c r="H914" s="28" t="n"/>
      <c r="I914" s="28" t="n"/>
      <c r="J914" s="22" t="n"/>
      <c r="K914" s="23" t="n"/>
    </row>
    <row r="915">
      <c r="A915" s="27" t="n"/>
      <c r="B915" s="23" t="n"/>
      <c r="C915" s="23" t="n"/>
      <c r="D915" s="28" t="n"/>
      <c r="E915" s="28" t="n"/>
      <c r="F915" s="28" t="n"/>
      <c r="G915" s="28" t="n"/>
      <c r="H915" s="28" t="n"/>
      <c r="I915" s="28" t="n"/>
      <c r="J915" s="22" t="n"/>
      <c r="K915" s="23" t="n"/>
    </row>
    <row r="916">
      <c r="A916" s="27" t="n"/>
      <c r="B916" s="23" t="n"/>
      <c r="C916" s="23" t="n"/>
      <c r="D916" s="28" t="n"/>
      <c r="E916" s="28" t="n"/>
      <c r="F916" s="28" t="n"/>
      <c r="G916" s="28" t="n"/>
      <c r="H916" s="28" t="n"/>
      <c r="I916" s="28" t="n"/>
      <c r="J916" s="22" t="n"/>
      <c r="K916" s="23" t="n"/>
    </row>
    <row r="917">
      <c r="A917" s="27" t="n"/>
      <c r="B917" s="23" t="n"/>
      <c r="C917" s="23" t="n"/>
      <c r="D917" s="28" t="n"/>
      <c r="E917" s="28" t="n"/>
      <c r="F917" s="28" t="n"/>
      <c r="G917" s="28" t="n"/>
      <c r="H917" s="28" t="n"/>
      <c r="I917" s="28" t="n"/>
      <c r="J917" s="22" t="n"/>
      <c r="K917" s="23" t="n"/>
    </row>
    <row r="918">
      <c r="A918" s="27" t="n"/>
      <c r="B918" s="23" t="n"/>
      <c r="C918" s="23" t="n"/>
      <c r="D918" s="28" t="n"/>
      <c r="E918" s="28" t="n"/>
      <c r="F918" s="28" t="n"/>
      <c r="G918" s="28" t="n"/>
      <c r="H918" s="28" t="n"/>
      <c r="I918" s="28" t="n"/>
      <c r="J918" s="22" t="n"/>
      <c r="K918" s="23" t="n"/>
    </row>
    <row r="919">
      <c r="A919" s="27" t="n"/>
      <c r="B919" s="23" t="n"/>
      <c r="C919" s="23" t="n"/>
      <c r="D919" s="28" t="n"/>
      <c r="E919" s="28" t="n"/>
      <c r="F919" s="28" t="n"/>
      <c r="G919" s="28" t="n"/>
      <c r="H919" s="28" t="n"/>
      <c r="I919" s="28" t="n"/>
      <c r="J919" s="22" t="n"/>
      <c r="K919" s="23" t="n"/>
    </row>
    <row r="920">
      <c r="A920" s="27" t="n"/>
      <c r="B920" s="23" t="n"/>
      <c r="C920" s="23" t="n"/>
      <c r="D920" s="28" t="n"/>
      <c r="E920" s="28" t="n"/>
      <c r="F920" s="28" t="n"/>
      <c r="G920" s="28" t="n"/>
      <c r="H920" s="28" t="n"/>
      <c r="I920" s="28" t="n"/>
      <c r="J920" s="22" t="n"/>
      <c r="K920" s="23" t="n"/>
    </row>
    <row r="921">
      <c r="A921" s="27" t="n"/>
      <c r="B921" s="23" t="n"/>
      <c r="C921" s="23" t="n"/>
      <c r="D921" s="28" t="n"/>
      <c r="E921" s="28" t="n"/>
      <c r="F921" s="28" t="n"/>
      <c r="G921" s="28" t="n"/>
      <c r="H921" s="28" t="n"/>
      <c r="I921" s="28" t="n"/>
      <c r="J921" s="22" t="n"/>
      <c r="K921" s="23" t="n"/>
    </row>
    <row r="922">
      <c r="A922" s="27" t="n"/>
      <c r="B922" s="23" t="n"/>
      <c r="C922" s="23" t="n"/>
      <c r="D922" s="28" t="n"/>
      <c r="E922" s="28" t="n"/>
      <c r="F922" s="28" t="n"/>
      <c r="G922" s="28" t="n"/>
      <c r="H922" s="28" t="n"/>
      <c r="I922" s="28" t="n"/>
      <c r="J922" s="22" t="n"/>
      <c r="K922" s="23" t="n"/>
    </row>
    <row r="923">
      <c r="A923" s="27" t="n"/>
      <c r="B923" s="23" t="n"/>
      <c r="C923" s="23" t="n"/>
      <c r="D923" s="28" t="n"/>
      <c r="E923" s="28" t="n"/>
      <c r="F923" s="28" t="n"/>
      <c r="G923" s="28" t="n"/>
      <c r="H923" s="28" t="n"/>
      <c r="I923" s="28" t="n"/>
      <c r="J923" s="22" t="n"/>
      <c r="K923" s="23" t="n"/>
    </row>
    <row r="924">
      <c r="A924" s="27" t="n"/>
      <c r="B924" s="23" t="n"/>
      <c r="C924" s="23" t="n"/>
      <c r="D924" s="28" t="n"/>
      <c r="E924" s="28" t="n"/>
      <c r="F924" s="28" t="n"/>
      <c r="G924" s="28" t="n"/>
      <c r="H924" s="28" t="n"/>
      <c r="I924" s="28" t="n"/>
      <c r="J924" s="22" t="n"/>
      <c r="K924" s="23" t="n"/>
    </row>
    <row r="925">
      <c r="A925" s="27" t="n"/>
      <c r="B925" s="23" t="n"/>
      <c r="C925" s="23" t="n"/>
      <c r="D925" s="28" t="n"/>
      <c r="E925" s="28" t="n"/>
      <c r="F925" s="28" t="n"/>
      <c r="G925" s="28" t="n"/>
      <c r="H925" s="28" t="n"/>
      <c r="I925" s="28" t="n"/>
      <c r="J925" s="22" t="n"/>
      <c r="K925" s="23" t="n"/>
    </row>
    <row r="926">
      <c r="A926" s="27" t="n"/>
      <c r="B926" s="23" t="n"/>
      <c r="C926" s="23" t="n"/>
      <c r="D926" s="28" t="n"/>
      <c r="E926" s="28" t="n"/>
      <c r="F926" s="28" t="n"/>
      <c r="G926" s="28" t="n"/>
      <c r="H926" s="28" t="n"/>
      <c r="I926" s="28" t="n"/>
      <c r="J926" s="22" t="n"/>
      <c r="K926" s="23" t="n"/>
    </row>
    <row r="927">
      <c r="A927" s="27" t="n"/>
      <c r="B927" s="23" t="n"/>
      <c r="C927" s="23" t="n"/>
      <c r="D927" s="28" t="n"/>
      <c r="E927" s="28" t="n"/>
      <c r="F927" s="28" t="n"/>
      <c r="G927" s="28" t="n"/>
      <c r="H927" s="28" t="n"/>
      <c r="I927" s="28" t="n"/>
      <c r="J927" s="22" t="n"/>
      <c r="K927" s="23" t="n"/>
    </row>
    <row r="928">
      <c r="A928" s="27" t="n"/>
      <c r="B928" s="23" t="n"/>
      <c r="C928" s="23" t="n"/>
      <c r="D928" s="28" t="n"/>
      <c r="E928" s="28" t="n"/>
      <c r="F928" s="28" t="n"/>
      <c r="G928" s="28" t="n"/>
      <c r="H928" s="28" t="n"/>
      <c r="I928" s="28" t="n"/>
      <c r="J928" s="22" t="n"/>
      <c r="K928" s="23" t="n"/>
    </row>
    <row r="929">
      <c r="A929" s="27" t="n"/>
      <c r="B929" s="23" t="n"/>
      <c r="C929" s="23" t="n"/>
      <c r="D929" s="28" t="n"/>
      <c r="E929" s="28" t="n"/>
      <c r="F929" s="28" t="n"/>
      <c r="G929" s="28" t="n"/>
      <c r="H929" s="28" t="n"/>
      <c r="I929" s="28" t="n"/>
      <c r="J929" s="22" t="n"/>
      <c r="K929" s="23" t="n"/>
    </row>
    <row r="930">
      <c r="A930" s="27" t="n"/>
      <c r="B930" s="23" t="n"/>
      <c r="C930" s="23" t="n"/>
      <c r="D930" s="28" t="n"/>
      <c r="E930" s="28" t="n"/>
      <c r="F930" s="28" t="n"/>
      <c r="G930" s="28" t="n"/>
      <c r="H930" s="28" t="n"/>
      <c r="I930" s="28" t="n"/>
      <c r="J930" s="22" t="n"/>
      <c r="K930" s="23" t="n"/>
    </row>
    <row r="931">
      <c r="A931" s="27" t="n"/>
      <c r="B931" s="23" t="n"/>
      <c r="C931" s="23" t="n"/>
      <c r="D931" s="28" t="n"/>
      <c r="E931" s="28" t="n"/>
      <c r="F931" s="28" t="n"/>
      <c r="G931" s="28" t="n"/>
      <c r="H931" s="28" t="n"/>
      <c r="I931" s="28" t="n"/>
      <c r="J931" s="22" t="n"/>
      <c r="K931" s="23" t="n"/>
    </row>
    <row r="932">
      <c r="A932" s="27" t="n"/>
      <c r="B932" s="23" t="n"/>
      <c r="C932" s="23" t="n"/>
      <c r="D932" s="28" t="n"/>
      <c r="E932" s="28" t="n"/>
      <c r="F932" s="28" t="n"/>
      <c r="G932" s="28" t="n"/>
      <c r="H932" s="28" t="n"/>
      <c r="I932" s="28" t="n"/>
      <c r="J932" s="22" t="n"/>
      <c r="K932" s="23" t="n"/>
    </row>
    <row r="933">
      <c r="A933" s="27" t="n"/>
      <c r="B933" s="23" t="n"/>
      <c r="C933" s="23" t="n"/>
      <c r="D933" s="28" t="n"/>
      <c r="E933" s="28" t="n"/>
      <c r="F933" s="28" t="n"/>
      <c r="G933" s="28" t="n"/>
      <c r="H933" s="28" t="n"/>
      <c r="I933" s="28" t="n"/>
      <c r="J933" s="22" t="n"/>
      <c r="K933" s="23" t="n"/>
    </row>
    <row r="934">
      <c r="A934" s="27" t="n"/>
      <c r="B934" s="23" t="n"/>
      <c r="C934" s="23" t="n"/>
      <c r="D934" s="28" t="n"/>
      <c r="E934" s="28" t="n"/>
      <c r="F934" s="28" t="n"/>
      <c r="G934" s="28" t="n"/>
      <c r="H934" s="28" t="n"/>
      <c r="I934" s="28" t="n"/>
      <c r="J934" s="22" t="n"/>
      <c r="K934" s="23" t="n"/>
    </row>
    <row r="935">
      <c r="A935" s="27" t="n"/>
      <c r="B935" s="23" t="n"/>
      <c r="C935" s="23" t="n"/>
      <c r="D935" s="28" t="n"/>
      <c r="E935" s="28" t="n"/>
      <c r="F935" s="28" t="n"/>
      <c r="G935" s="28" t="n"/>
      <c r="H935" s="28" t="n"/>
      <c r="I935" s="28" t="n"/>
      <c r="J935" s="22" t="n"/>
      <c r="K935" s="23" t="n"/>
    </row>
    <row r="936">
      <c r="A936" s="27" t="n"/>
      <c r="B936" s="23" t="n"/>
      <c r="C936" s="23" t="n"/>
      <c r="D936" s="28" t="n"/>
      <c r="E936" s="28" t="n"/>
      <c r="F936" s="28" t="n"/>
      <c r="G936" s="28" t="n"/>
      <c r="H936" s="28" t="n"/>
      <c r="I936" s="28" t="n"/>
      <c r="J936" s="22" t="n"/>
      <c r="K936" s="23" t="n"/>
    </row>
    <row r="937">
      <c r="A937" s="27" t="n"/>
      <c r="B937" s="23" t="n"/>
      <c r="C937" s="23" t="n"/>
      <c r="D937" s="28" t="n"/>
      <c r="E937" s="28" t="n"/>
      <c r="F937" s="28" t="n"/>
      <c r="G937" s="28" t="n"/>
      <c r="H937" s="28" t="n"/>
      <c r="I937" s="28" t="n"/>
      <c r="J937" s="22" t="n"/>
      <c r="K937" s="23" t="n"/>
    </row>
    <row r="938">
      <c r="A938" s="27" t="n"/>
      <c r="B938" s="23" t="n"/>
      <c r="C938" s="23" t="n"/>
      <c r="D938" s="28" t="n"/>
      <c r="E938" s="28" t="n"/>
      <c r="F938" s="28" t="n"/>
      <c r="G938" s="28" t="n"/>
      <c r="H938" s="28" t="n"/>
      <c r="I938" s="28" t="n"/>
      <c r="J938" s="22" t="n"/>
      <c r="K938" s="23" t="n"/>
    </row>
    <row r="939">
      <c r="A939" s="27" t="n"/>
      <c r="B939" s="23" t="n"/>
      <c r="C939" s="23" t="n"/>
      <c r="D939" s="28" t="n"/>
      <c r="E939" s="28" t="n"/>
      <c r="F939" s="28" t="n"/>
      <c r="G939" s="28" t="n"/>
      <c r="H939" s="28" t="n"/>
      <c r="I939" s="28" t="n"/>
      <c r="J939" s="22" t="n"/>
      <c r="K939" s="23" t="n"/>
    </row>
    <row r="940">
      <c r="A940" s="27" t="n"/>
      <c r="B940" s="23" t="n"/>
      <c r="C940" s="23" t="n"/>
      <c r="D940" s="28" t="n"/>
      <c r="E940" s="28" t="n"/>
      <c r="F940" s="28" t="n"/>
      <c r="G940" s="28" t="n"/>
      <c r="H940" s="28" t="n"/>
      <c r="I940" s="28" t="n"/>
      <c r="J940" s="22" t="n"/>
      <c r="K940" s="23" t="n"/>
    </row>
    <row r="941">
      <c r="A941" s="27" t="n"/>
      <c r="B941" s="23" t="n"/>
      <c r="C941" s="23" t="n"/>
      <c r="D941" s="28" t="n"/>
      <c r="E941" s="28" t="n"/>
      <c r="F941" s="28" t="n"/>
      <c r="G941" s="28" t="n"/>
      <c r="H941" s="28" t="n"/>
      <c r="I941" s="28" t="n"/>
      <c r="J941" s="22" t="n"/>
      <c r="K941" s="23" t="n"/>
    </row>
    <row r="942">
      <c r="A942" s="27" t="n"/>
      <c r="B942" s="23" t="n"/>
      <c r="C942" s="23" t="n"/>
      <c r="D942" s="28" t="n"/>
      <c r="E942" s="28" t="n"/>
      <c r="F942" s="28" t="n"/>
      <c r="G942" s="28" t="n"/>
      <c r="H942" s="28" t="n"/>
      <c r="I942" s="28" t="n"/>
      <c r="J942" s="22" t="n"/>
      <c r="K942" s="23" t="n"/>
    </row>
    <row r="943">
      <c r="A943" s="27" t="n"/>
      <c r="B943" s="23" t="n"/>
      <c r="C943" s="23" t="n"/>
      <c r="D943" s="28" t="n"/>
      <c r="E943" s="28" t="n"/>
      <c r="F943" s="28" t="n"/>
      <c r="G943" s="28" t="n"/>
      <c r="H943" s="28" t="n"/>
      <c r="I943" s="28" t="n"/>
      <c r="J943" s="22" t="n"/>
      <c r="K943" s="23" t="n"/>
    </row>
    <row r="944">
      <c r="A944" s="27" t="n"/>
      <c r="B944" s="23" t="n"/>
      <c r="C944" s="23" t="n"/>
      <c r="D944" s="28" t="n"/>
      <c r="E944" s="28" t="n"/>
      <c r="F944" s="28" t="n"/>
      <c r="G944" s="28" t="n"/>
      <c r="H944" s="28" t="n"/>
      <c r="I944" s="28" t="n"/>
      <c r="J944" s="22" t="n"/>
      <c r="K944" s="23" t="n"/>
    </row>
    <row r="945">
      <c r="A945" s="27" t="n"/>
      <c r="B945" s="23" t="n"/>
      <c r="C945" s="23" t="n"/>
      <c r="D945" s="28" t="n"/>
      <c r="E945" s="28" t="n"/>
      <c r="F945" s="28" t="n"/>
      <c r="G945" s="28" t="n"/>
      <c r="H945" s="28" t="n"/>
      <c r="I945" s="28" t="n"/>
      <c r="J945" s="22" t="n"/>
      <c r="K945" s="23" t="n"/>
    </row>
    <row r="946">
      <c r="A946" s="27" t="n"/>
      <c r="B946" s="23" t="n"/>
      <c r="C946" s="23" t="n"/>
      <c r="D946" s="28" t="n"/>
      <c r="E946" s="28" t="n"/>
      <c r="F946" s="28" t="n"/>
      <c r="G946" s="28" t="n"/>
      <c r="H946" s="28" t="n"/>
      <c r="I946" s="28" t="n"/>
      <c r="J946" s="22" t="n"/>
      <c r="K946" s="23" t="n"/>
    </row>
    <row r="947">
      <c r="A947" s="27" t="n"/>
      <c r="B947" s="23" t="n"/>
      <c r="C947" s="23" t="n"/>
      <c r="D947" s="28" t="n"/>
      <c r="E947" s="28" t="n"/>
      <c r="F947" s="28" t="n"/>
      <c r="G947" s="28" t="n"/>
      <c r="H947" s="28" t="n"/>
      <c r="I947" s="28" t="n"/>
      <c r="J947" s="22" t="n"/>
      <c r="K947" s="23" t="n"/>
    </row>
    <row r="948">
      <c r="A948" s="27" t="n"/>
      <c r="B948" s="23" t="n"/>
      <c r="C948" s="23" t="n"/>
      <c r="D948" s="28" t="n"/>
      <c r="E948" s="28" t="n"/>
      <c r="F948" s="28" t="n"/>
      <c r="G948" s="28" t="n"/>
      <c r="H948" s="28" t="n"/>
      <c r="I948" s="28" t="n"/>
      <c r="J948" s="22" t="n"/>
      <c r="K948" s="23" t="n"/>
    </row>
    <row r="949">
      <c r="A949" s="27" t="n"/>
      <c r="B949" s="23" t="n"/>
      <c r="C949" s="23" t="n"/>
      <c r="D949" s="28" t="n"/>
      <c r="E949" s="28" t="n"/>
      <c r="F949" s="28" t="n"/>
      <c r="G949" s="28" t="n"/>
      <c r="H949" s="28" t="n"/>
      <c r="I949" s="28" t="n"/>
      <c r="J949" s="22" t="n"/>
      <c r="K949" s="23" t="n"/>
    </row>
    <row r="950">
      <c r="A950" s="27" t="n"/>
      <c r="B950" s="23" t="n"/>
      <c r="C950" s="23" t="n"/>
      <c r="D950" s="28" t="n"/>
      <c r="E950" s="28" t="n"/>
      <c r="F950" s="28" t="n"/>
      <c r="G950" s="28" t="n"/>
      <c r="H950" s="28" t="n"/>
      <c r="I950" s="28" t="n"/>
      <c r="J950" s="22" t="n"/>
      <c r="K950" s="23" t="n"/>
    </row>
    <row r="951">
      <c r="A951" s="27" t="n"/>
      <c r="B951" s="23" t="n"/>
      <c r="C951" s="23" t="n"/>
      <c r="D951" s="28" t="n"/>
      <c r="E951" s="28" t="n"/>
      <c r="F951" s="28" t="n"/>
      <c r="G951" s="28" t="n"/>
      <c r="H951" s="28" t="n"/>
      <c r="I951" s="28" t="n"/>
      <c r="J951" s="22" t="n"/>
      <c r="K951" s="23" t="n"/>
    </row>
    <row r="952">
      <c r="A952" s="27" t="n"/>
      <c r="B952" s="23" t="n"/>
      <c r="C952" s="23" t="n"/>
      <c r="D952" s="28" t="n"/>
      <c r="E952" s="28" t="n"/>
      <c r="F952" s="28" t="n"/>
      <c r="G952" s="28" t="n"/>
      <c r="H952" s="28" t="n"/>
      <c r="I952" s="28" t="n"/>
      <c r="J952" s="22" t="n"/>
      <c r="K952" s="23" t="n"/>
    </row>
    <row r="953">
      <c r="A953" s="27" t="n"/>
      <c r="B953" s="23" t="n"/>
      <c r="C953" s="23" t="n"/>
      <c r="D953" s="28" t="n"/>
      <c r="E953" s="28" t="n"/>
      <c r="F953" s="28" t="n"/>
      <c r="G953" s="28" t="n"/>
      <c r="H953" s="28" t="n"/>
      <c r="I953" s="28" t="n"/>
      <c r="J953" s="22" t="n"/>
      <c r="K953" s="23" t="n"/>
    </row>
    <row r="954">
      <c r="A954" s="27" t="n"/>
      <c r="B954" s="23" t="n"/>
      <c r="C954" s="23" t="n"/>
      <c r="D954" s="28" t="n"/>
      <c r="E954" s="28" t="n"/>
      <c r="F954" s="28" t="n"/>
      <c r="G954" s="28" t="n"/>
      <c r="H954" s="28" t="n"/>
      <c r="I954" s="28" t="n"/>
      <c r="J954" s="22" t="n"/>
      <c r="K954" s="23" t="n"/>
    </row>
    <row r="955">
      <c r="A955" s="27" t="n"/>
      <c r="B955" s="23" t="n"/>
      <c r="C955" s="23" t="n"/>
      <c r="D955" s="28" t="n"/>
      <c r="E955" s="28" t="n"/>
      <c r="F955" s="28" t="n"/>
      <c r="G955" s="28" t="n"/>
      <c r="H955" s="28" t="n"/>
      <c r="I955" s="28" t="n"/>
      <c r="J955" s="22" t="n"/>
      <c r="K955" s="23" t="n"/>
    </row>
    <row r="956">
      <c r="A956" s="27" t="n"/>
      <c r="B956" s="23" t="n"/>
      <c r="C956" s="23" t="n"/>
      <c r="D956" s="28" t="n"/>
      <c r="E956" s="28" t="n"/>
      <c r="F956" s="28" t="n"/>
      <c r="G956" s="28" t="n"/>
      <c r="H956" s="28" t="n"/>
      <c r="I956" s="28" t="n"/>
      <c r="J956" s="22" t="n"/>
      <c r="K956" s="23" t="n"/>
    </row>
    <row r="957">
      <c r="A957" s="27" t="n"/>
      <c r="B957" s="23" t="n"/>
      <c r="C957" s="23" t="n"/>
      <c r="D957" s="28" t="n"/>
      <c r="E957" s="28" t="n"/>
      <c r="F957" s="28" t="n"/>
      <c r="G957" s="28" t="n"/>
      <c r="H957" s="28" t="n"/>
      <c r="I957" s="28" t="n"/>
      <c r="J957" s="22" t="n"/>
      <c r="K957" s="23" t="n"/>
    </row>
    <row r="958">
      <c r="A958" s="27" t="n"/>
      <c r="B958" s="23" t="n"/>
      <c r="C958" s="23" t="n"/>
      <c r="D958" s="28" t="n"/>
      <c r="E958" s="28" t="n"/>
      <c r="F958" s="28" t="n"/>
      <c r="G958" s="28" t="n"/>
      <c r="H958" s="28" t="n"/>
      <c r="I958" s="28" t="n"/>
      <c r="J958" s="22" t="n"/>
      <c r="K958" s="23" t="n"/>
    </row>
    <row r="959">
      <c r="A959" s="27" t="n"/>
      <c r="B959" s="23" t="n"/>
      <c r="C959" s="23" t="n"/>
      <c r="D959" s="28" t="n"/>
      <c r="E959" s="28" t="n"/>
      <c r="F959" s="28" t="n"/>
      <c r="G959" s="28" t="n"/>
      <c r="H959" s="28" t="n"/>
      <c r="I959" s="28" t="n"/>
      <c r="J959" s="22" t="n"/>
      <c r="K959" s="23" t="n"/>
    </row>
    <row r="960">
      <c r="A960" s="27" t="n"/>
      <c r="B960" s="23" t="n"/>
      <c r="C960" s="23" t="n"/>
      <c r="D960" s="28" t="n"/>
      <c r="E960" s="28" t="n"/>
      <c r="F960" s="28" t="n"/>
      <c r="G960" s="28" t="n"/>
      <c r="H960" s="28" t="n"/>
      <c r="I960" s="28" t="n"/>
      <c r="J960" s="22" t="n"/>
      <c r="K960" s="23" t="n"/>
    </row>
    <row r="961">
      <c r="A961" s="27" t="n"/>
      <c r="B961" s="23" t="n"/>
      <c r="C961" s="23" t="n"/>
      <c r="D961" s="28" t="n"/>
      <c r="E961" s="28" t="n"/>
      <c r="F961" s="28" t="n"/>
      <c r="G961" s="28" t="n"/>
      <c r="H961" s="28" t="n"/>
      <c r="I961" s="28" t="n"/>
      <c r="J961" s="22" t="n"/>
      <c r="K961" s="23" t="n"/>
    </row>
    <row r="962">
      <c r="A962" s="27" t="n"/>
      <c r="B962" s="23" t="n"/>
      <c r="C962" s="23" t="n"/>
      <c r="D962" s="28" t="n"/>
      <c r="E962" s="28" t="n"/>
      <c r="F962" s="28" t="n"/>
      <c r="G962" s="28" t="n"/>
      <c r="H962" s="28" t="n"/>
      <c r="I962" s="28" t="n"/>
      <c r="J962" s="22" t="n"/>
      <c r="K962" s="23" t="n"/>
    </row>
    <row r="963">
      <c r="A963" s="27" t="n"/>
      <c r="B963" s="23" t="n"/>
      <c r="C963" s="23" t="n"/>
      <c r="D963" s="28" t="n"/>
      <c r="E963" s="28" t="n"/>
      <c r="F963" s="28" t="n"/>
      <c r="G963" s="28" t="n"/>
      <c r="H963" s="28" t="n"/>
      <c r="I963" s="28" t="n"/>
      <c r="J963" s="22" t="n"/>
      <c r="K963" s="23" t="n"/>
    </row>
    <row r="964">
      <c r="A964" s="27" t="n"/>
      <c r="B964" s="23" t="n"/>
      <c r="C964" s="23" t="n"/>
      <c r="D964" s="28" t="n"/>
      <c r="E964" s="28" t="n"/>
      <c r="F964" s="28" t="n"/>
      <c r="G964" s="28" t="n"/>
      <c r="H964" s="28" t="n"/>
      <c r="I964" s="28" t="n"/>
      <c r="J964" s="22" t="n"/>
      <c r="K964" s="23" t="n"/>
    </row>
    <row r="965">
      <c r="A965" s="27" t="n"/>
      <c r="B965" s="23" t="n"/>
      <c r="C965" s="23" t="n"/>
      <c r="D965" s="28" t="n"/>
      <c r="E965" s="28" t="n"/>
      <c r="F965" s="28" t="n"/>
      <c r="G965" s="28" t="n"/>
      <c r="H965" s="28" t="n"/>
      <c r="I965" s="28" t="n"/>
      <c r="J965" s="22" t="n"/>
      <c r="K965" s="23" t="n"/>
    </row>
    <row r="966">
      <c r="A966" s="27" t="n"/>
      <c r="B966" s="23" t="n"/>
      <c r="C966" s="23" t="n"/>
      <c r="D966" s="28" t="n"/>
      <c r="E966" s="28" t="n"/>
      <c r="F966" s="28" t="n"/>
      <c r="G966" s="28" t="n"/>
      <c r="H966" s="28" t="n"/>
      <c r="I966" s="28" t="n"/>
      <c r="J966" s="22" t="n"/>
      <c r="K966" s="23" t="n"/>
    </row>
    <row r="967">
      <c r="A967" s="27" t="n"/>
      <c r="B967" s="23" t="n"/>
      <c r="C967" s="23" t="n"/>
      <c r="D967" s="28" t="n"/>
      <c r="E967" s="28" t="n"/>
      <c r="F967" s="28" t="n"/>
      <c r="G967" s="28" t="n"/>
      <c r="H967" s="28" t="n"/>
      <c r="I967" s="28" t="n"/>
      <c r="J967" s="22" t="n"/>
      <c r="K967" s="23" t="n"/>
    </row>
    <row r="968">
      <c r="A968" s="27" t="n"/>
      <c r="B968" s="23" t="n"/>
      <c r="C968" s="23" t="n"/>
      <c r="D968" s="28" t="n"/>
      <c r="E968" s="28" t="n"/>
      <c r="F968" s="28" t="n"/>
      <c r="G968" s="28" t="n"/>
      <c r="H968" s="28" t="n"/>
      <c r="I968" s="28" t="n"/>
      <c r="J968" s="22" t="n"/>
      <c r="K968" s="23" t="n"/>
    </row>
    <row r="969">
      <c r="A969" s="27" t="n"/>
      <c r="B969" s="23" t="n"/>
      <c r="C969" s="23" t="n"/>
      <c r="D969" s="28" t="n"/>
      <c r="E969" s="28" t="n"/>
      <c r="F969" s="28" t="n"/>
      <c r="G969" s="28" t="n"/>
      <c r="H969" s="28" t="n"/>
      <c r="I969" s="28" t="n"/>
      <c r="J969" s="22" t="n"/>
      <c r="K969" s="23" t="n"/>
    </row>
    <row r="970">
      <c r="A970" s="27" t="n"/>
      <c r="B970" s="23" t="n"/>
      <c r="C970" s="23" t="n"/>
      <c r="D970" s="28" t="n"/>
      <c r="E970" s="28" t="n"/>
      <c r="F970" s="28" t="n"/>
      <c r="G970" s="28" t="n"/>
      <c r="H970" s="28" t="n"/>
      <c r="I970" s="28" t="n"/>
      <c r="J970" s="22" t="n"/>
      <c r="K970" s="23" t="n"/>
    </row>
    <row r="971">
      <c r="A971" s="27" t="n"/>
      <c r="B971" s="23" t="n"/>
      <c r="C971" s="23" t="n"/>
      <c r="D971" s="28" t="n"/>
      <c r="E971" s="28" t="n"/>
      <c r="F971" s="28" t="n"/>
      <c r="G971" s="28" t="n"/>
      <c r="H971" s="28" t="n"/>
      <c r="I971" s="28" t="n"/>
      <c r="J971" s="22" t="n"/>
      <c r="K971" s="23" t="n"/>
    </row>
    <row r="972">
      <c r="A972" s="27" t="n"/>
      <c r="B972" s="23" t="n"/>
      <c r="C972" s="23" t="n"/>
      <c r="D972" s="28" t="n"/>
      <c r="E972" s="28" t="n"/>
      <c r="F972" s="28" t="n"/>
      <c r="G972" s="28" t="n"/>
      <c r="H972" s="28" t="n"/>
      <c r="I972" s="28" t="n"/>
      <c r="J972" s="22" t="n"/>
      <c r="K972" s="23" t="n"/>
    </row>
    <row r="973">
      <c r="A973" s="27" t="n"/>
      <c r="B973" s="23" t="n"/>
      <c r="C973" s="23" t="n"/>
      <c r="D973" s="28" t="n"/>
      <c r="E973" s="28" t="n"/>
      <c r="F973" s="28" t="n"/>
      <c r="G973" s="28" t="n"/>
      <c r="H973" s="28" t="n"/>
      <c r="I973" s="28" t="n"/>
      <c r="J973" s="22" t="n"/>
      <c r="K973" s="23" t="n"/>
    </row>
    <row r="974">
      <c r="A974" s="27" t="n"/>
      <c r="B974" s="23" t="n"/>
      <c r="C974" s="23" t="n"/>
      <c r="D974" s="28" t="n"/>
      <c r="E974" s="28" t="n"/>
      <c r="F974" s="28" t="n"/>
      <c r="G974" s="28" t="n"/>
      <c r="H974" s="28" t="n"/>
      <c r="I974" s="28" t="n"/>
      <c r="J974" s="22" t="n"/>
      <c r="K974" s="23" t="n"/>
    </row>
    <row r="975">
      <c r="A975" s="27" t="n"/>
      <c r="B975" s="23" t="n"/>
      <c r="C975" s="23" t="n"/>
      <c r="D975" s="28" t="n"/>
      <c r="E975" s="28" t="n"/>
      <c r="F975" s="28" t="n"/>
      <c r="G975" s="28" t="n"/>
      <c r="H975" s="28" t="n"/>
      <c r="I975" s="28" t="n"/>
      <c r="J975" s="22" t="n"/>
      <c r="K975" s="23" t="n"/>
    </row>
    <row r="976">
      <c r="A976" s="27" t="n"/>
      <c r="B976" s="23" t="n"/>
      <c r="C976" s="23" t="n"/>
      <c r="D976" s="28" t="n"/>
      <c r="E976" s="28" t="n"/>
      <c r="F976" s="28" t="n"/>
      <c r="G976" s="28" t="n"/>
      <c r="H976" s="28" t="n"/>
      <c r="I976" s="28" t="n"/>
      <c r="J976" s="22" t="n"/>
      <c r="K976" s="23" t="n"/>
    </row>
    <row r="977">
      <c r="A977" s="27" t="n"/>
      <c r="B977" s="23" t="n"/>
      <c r="C977" s="23" t="n"/>
      <c r="D977" s="28" t="n"/>
      <c r="E977" s="28" t="n"/>
      <c r="F977" s="28" t="n"/>
      <c r="G977" s="28" t="n"/>
      <c r="H977" s="28" t="n"/>
      <c r="I977" s="28" t="n"/>
      <c r="J977" s="22" t="n"/>
      <c r="K977" s="23" t="n"/>
    </row>
    <row r="978">
      <c r="A978" s="27" t="n"/>
      <c r="B978" s="23" t="n"/>
      <c r="C978" s="23" t="n"/>
      <c r="D978" s="28" t="n"/>
      <c r="E978" s="28" t="n"/>
      <c r="F978" s="28" t="n"/>
      <c r="G978" s="28" t="n"/>
      <c r="H978" s="28" t="n"/>
      <c r="I978" s="28" t="n"/>
      <c r="J978" s="22" t="n"/>
      <c r="K978" s="23" t="n"/>
    </row>
    <row r="979">
      <c r="A979" s="27" t="n"/>
      <c r="B979" s="23" t="n"/>
      <c r="C979" s="23" t="n"/>
      <c r="D979" s="28" t="n"/>
      <c r="E979" s="28" t="n"/>
      <c r="F979" s="28" t="n"/>
      <c r="G979" s="28" t="n"/>
      <c r="H979" s="28" t="n"/>
      <c r="I979" s="28" t="n"/>
      <c r="J979" s="22" t="n"/>
      <c r="K979" s="23" t="n"/>
    </row>
    <row r="980">
      <c r="A980" s="27" t="n"/>
      <c r="B980" s="23" t="n"/>
      <c r="C980" s="23" t="n"/>
      <c r="D980" s="28" t="n"/>
      <c r="E980" s="28" t="n"/>
      <c r="F980" s="28" t="n"/>
      <c r="G980" s="28" t="n"/>
      <c r="H980" s="28" t="n"/>
      <c r="I980" s="28" t="n"/>
      <c r="J980" s="22" t="n"/>
      <c r="K980" s="23" t="n"/>
    </row>
    <row r="981">
      <c r="A981" s="27" t="n"/>
      <c r="B981" s="23" t="n"/>
      <c r="C981" s="23" t="n"/>
      <c r="D981" s="28" t="n"/>
      <c r="E981" s="28" t="n"/>
      <c r="F981" s="28" t="n"/>
      <c r="G981" s="28" t="n"/>
      <c r="H981" s="28" t="n"/>
      <c r="I981" s="28" t="n"/>
      <c r="J981" s="22" t="n"/>
      <c r="K981" s="23" t="n"/>
    </row>
    <row r="982">
      <c r="A982" s="27" t="n"/>
      <c r="B982" s="23" t="n"/>
      <c r="C982" s="23" t="n"/>
      <c r="D982" s="28" t="n"/>
      <c r="E982" s="28" t="n"/>
      <c r="F982" s="28" t="n"/>
      <c r="G982" s="28" t="n"/>
      <c r="H982" s="28" t="n"/>
      <c r="I982" s="28" t="n"/>
      <c r="J982" s="22" t="n"/>
      <c r="K982" s="23" t="n"/>
    </row>
    <row r="983">
      <c r="A983" s="27" t="n"/>
      <c r="B983" s="23" t="n"/>
      <c r="C983" s="23" t="n"/>
      <c r="D983" s="28" t="n"/>
      <c r="E983" s="28" t="n"/>
      <c r="F983" s="28" t="n"/>
      <c r="G983" s="28" t="n"/>
      <c r="H983" s="28" t="n"/>
      <c r="I983" s="28" t="n"/>
      <c r="J983" s="22" t="n"/>
      <c r="K983" s="23" t="n"/>
    </row>
    <row r="984">
      <c r="A984" s="27" t="n"/>
      <c r="B984" s="23" t="n"/>
      <c r="C984" s="23" t="n"/>
      <c r="D984" s="28" t="n"/>
      <c r="E984" s="28" t="n"/>
      <c r="F984" s="28" t="n"/>
      <c r="G984" s="28" t="n"/>
      <c r="H984" s="28" t="n"/>
      <c r="I984" s="28" t="n"/>
      <c r="J984" s="22" t="n"/>
      <c r="K984" s="23" t="n"/>
    </row>
    <row r="985">
      <c r="A985" s="27" t="n"/>
      <c r="B985" s="23" t="n"/>
      <c r="C985" s="23" t="n"/>
      <c r="D985" s="28" t="n"/>
      <c r="E985" s="28" t="n"/>
      <c r="F985" s="28" t="n"/>
      <c r="G985" s="28" t="n"/>
      <c r="H985" s="28" t="n"/>
      <c r="I985" s="28" t="n"/>
      <c r="J985" s="22" t="n"/>
      <c r="K985" s="23" t="n"/>
    </row>
    <row r="986">
      <c r="A986" s="27" t="n"/>
      <c r="B986" s="23" t="n"/>
      <c r="C986" s="23" t="n"/>
      <c r="D986" s="28" t="n"/>
      <c r="E986" s="28" t="n"/>
      <c r="F986" s="28" t="n"/>
      <c r="G986" s="28" t="n"/>
      <c r="H986" s="28" t="n"/>
      <c r="I986" s="28" t="n"/>
      <c r="J986" s="22" t="n"/>
      <c r="K986" s="23" t="n"/>
    </row>
    <row r="987">
      <c r="A987" s="27" t="n"/>
      <c r="B987" s="23" t="n"/>
      <c r="C987" s="23" t="n"/>
      <c r="D987" s="28" t="n"/>
      <c r="E987" s="28" t="n"/>
      <c r="F987" s="28" t="n"/>
      <c r="G987" s="28" t="n"/>
      <c r="H987" s="28" t="n"/>
      <c r="I987" s="28" t="n"/>
      <c r="J987" s="22" t="n"/>
      <c r="K987" s="23" t="n"/>
    </row>
    <row r="988">
      <c r="A988" s="27" t="n"/>
      <c r="B988" s="23" t="n"/>
      <c r="C988" s="23" t="n"/>
      <c r="D988" s="28" t="n"/>
      <c r="E988" s="28" t="n"/>
      <c r="F988" s="28" t="n"/>
      <c r="G988" s="28" t="n"/>
      <c r="H988" s="28" t="n"/>
      <c r="I988" s="28" t="n"/>
      <c r="J988" s="22" t="n"/>
      <c r="K988" s="23" t="n"/>
    </row>
    <row r="989">
      <c r="A989" s="27" t="n"/>
      <c r="B989" s="23" t="n"/>
      <c r="C989" s="23" t="n"/>
      <c r="D989" s="28" t="n"/>
      <c r="E989" s="28" t="n"/>
      <c r="F989" s="28" t="n"/>
      <c r="G989" s="28" t="n"/>
      <c r="H989" s="28" t="n"/>
      <c r="I989" s="28" t="n"/>
      <c r="J989" s="22" t="n"/>
      <c r="K989" s="23" t="n"/>
    </row>
    <row r="990">
      <c r="A990" s="27" t="n"/>
      <c r="B990" s="23" t="n"/>
      <c r="C990" s="23" t="n"/>
      <c r="D990" s="28" t="n"/>
      <c r="E990" s="28" t="n"/>
      <c r="F990" s="28" t="n"/>
      <c r="G990" s="28" t="n"/>
      <c r="H990" s="28" t="n"/>
      <c r="I990" s="28" t="n"/>
      <c r="J990" s="22" t="n"/>
      <c r="K990" s="23" t="n"/>
    </row>
    <row r="991">
      <c r="A991" s="27" t="n"/>
      <c r="B991" s="23" t="n"/>
      <c r="C991" s="23" t="n"/>
      <c r="D991" s="28" t="n"/>
      <c r="E991" s="28" t="n"/>
      <c r="F991" s="28" t="n"/>
      <c r="G991" s="28" t="n"/>
      <c r="H991" s="28" t="n"/>
      <c r="I991" s="28" t="n"/>
      <c r="J991" s="22" t="n"/>
      <c r="K991" s="23" t="n"/>
    </row>
    <row r="992">
      <c r="A992" s="27" t="n"/>
      <c r="B992" s="23" t="n"/>
      <c r="C992" s="23" t="n"/>
      <c r="D992" s="28" t="n"/>
      <c r="E992" s="28" t="n"/>
      <c r="F992" s="28" t="n"/>
      <c r="G992" s="28" t="n"/>
      <c r="H992" s="28" t="n"/>
      <c r="I992" s="28" t="n"/>
      <c r="J992" s="22" t="n"/>
      <c r="K992" s="23" t="n"/>
    </row>
    <row r="993">
      <c r="A993" s="27" t="n"/>
      <c r="B993" s="23" t="n"/>
      <c r="C993" s="23" t="n"/>
      <c r="D993" s="28" t="n"/>
      <c r="E993" s="28" t="n"/>
      <c r="F993" s="28" t="n"/>
      <c r="G993" s="28" t="n"/>
      <c r="H993" s="28" t="n"/>
      <c r="I993" s="28" t="n"/>
      <c r="J993" s="22" t="n"/>
      <c r="K993" s="23" t="n"/>
    </row>
    <row r="994">
      <c r="A994" s="27" t="n"/>
      <c r="B994" s="23" t="n"/>
      <c r="C994" s="23" t="n"/>
      <c r="D994" s="28" t="n"/>
      <c r="E994" s="28" t="n"/>
      <c r="F994" s="28" t="n"/>
      <c r="G994" s="28" t="n"/>
      <c r="H994" s="28" t="n"/>
      <c r="I994" s="28" t="n"/>
      <c r="J994" s="22" t="n"/>
      <c r="K994" s="23" t="n"/>
    </row>
    <row r="995">
      <c r="A995" s="27" t="n"/>
      <c r="B995" s="23" t="n"/>
      <c r="C995" s="23" t="n"/>
      <c r="D995" s="28" t="n"/>
      <c r="E995" s="28" t="n"/>
      <c r="F995" s="28" t="n"/>
      <c r="G995" s="28" t="n"/>
      <c r="H995" s="28" t="n"/>
      <c r="I995" s="28" t="n"/>
      <c r="J995" s="22" t="n"/>
      <c r="K995" s="23" t="n"/>
    </row>
    <row r="996">
      <c r="A996" s="27" t="n"/>
      <c r="B996" s="23" t="n"/>
      <c r="C996" s="23" t="n"/>
      <c r="D996" s="28" t="n"/>
      <c r="E996" s="28" t="n"/>
      <c r="F996" s="28" t="n"/>
      <c r="G996" s="28" t="n"/>
      <c r="H996" s="28" t="n"/>
      <c r="I996" s="28" t="n"/>
      <c r="J996" s="22" t="n"/>
      <c r="K996" s="23" t="n"/>
    </row>
    <row r="997">
      <c r="A997" s="27" t="n"/>
      <c r="B997" s="23" t="n"/>
      <c r="C997" s="23" t="n"/>
      <c r="D997" s="28" t="n"/>
      <c r="E997" s="28" t="n"/>
      <c r="F997" s="28" t="n"/>
      <c r="G997" s="28" t="n"/>
      <c r="H997" s="28" t="n"/>
      <c r="I997" s="28" t="n"/>
      <c r="J997" s="22" t="n"/>
      <c r="K997" s="23" t="n"/>
    </row>
    <row r="998">
      <c r="A998" s="27" t="n"/>
      <c r="B998" s="23" t="n"/>
      <c r="C998" s="23" t="n"/>
      <c r="D998" s="28" t="n"/>
      <c r="E998" s="28" t="n"/>
      <c r="F998" s="28" t="n"/>
      <c r="G998" s="28" t="n"/>
      <c r="H998" s="28" t="n"/>
      <c r="I998" s="28" t="n"/>
      <c r="J998" s="22" t="n"/>
      <c r="K998" s="23" t="n"/>
    </row>
    <row r="999">
      <c r="A999" s="27" t="n"/>
      <c r="B999" s="23" t="n"/>
      <c r="C999" s="23" t="n"/>
      <c r="D999" s="28" t="n"/>
      <c r="E999" s="28" t="n"/>
      <c r="F999" s="28" t="n"/>
      <c r="G999" s="28" t="n"/>
      <c r="H999" s="28" t="n"/>
      <c r="I999" s="28" t="n"/>
      <c r="J999" s="22" t="n"/>
      <c r="K999" s="23" t="n"/>
    </row>
    <row r="1000">
      <c r="A1000" s="27" t="n"/>
      <c r="B1000" s="23" t="n"/>
      <c r="C1000" s="23" t="n"/>
      <c r="D1000" s="28" t="n"/>
      <c r="E1000" s="28" t="n"/>
      <c r="F1000" s="28" t="n"/>
      <c r="G1000" s="28" t="n"/>
      <c r="H1000" s="28" t="n"/>
      <c r="I1000" s="28" t="n"/>
      <c r="J1000" s="22" t="n"/>
      <c r="K1000" s="23" t="n"/>
    </row>
    <row r="1001">
      <c r="A1001" s="27" t="n"/>
      <c r="B1001" s="23" t="n"/>
      <c r="C1001" s="23" t="n"/>
      <c r="D1001" s="28" t="n"/>
      <c r="E1001" s="28" t="n"/>
      <c r="F1001" s="28" t="n"/>
      <c r="G1001" s="28" t="n"/>
      <c r="H1001" s="28" t="n"/>
      <c r="I1001" s="28" t="n"/>
      <c r="J1001" s="22" t="n"/>
      <c r="K1001" s="23" t="n"/>
    </row>
    <row r="1002">
      <c r="A1002" s="27" t="n"/>
      <c r="B1002" s="23" t="n"/>
      <c r="C1002" s="23" t="n"/>
      <c r="D1002" s="28" t="n"/>
      <c r="E1002" s="28" t="n"/>
      <c r="F1002" s="28" t="n"/>
      <c r="G1002" s="28" t="n"/>
      <c r="H1002" s="28" t="n"/>
      <c r="I1002" s="28" t="n"/>
      <c r="J1002" s="22" t="n"/>
      <c r="K1002" s="23" t="n"/>
    </row>
    <row r="1003">
      <c r="A1003" s="27" t="n"/>
      <c r="B1003" s="23" t="n"/>
      <c r="C1003" s="23" t="n"/>
      <c r="D1003" s="28" t="n"/>
      <c r="E1003" s="28" t="n"/>
      <c r="F1003" s="28" t="n"/>
      <c r="G1003" s="28" t="n"/>
      <c r="H1003" s="28" t="n"/>
      <c r="I1003" s="28" t="n"/>
      <c r="J1003" s="22" t="n"/>
      <c r="K1003" s="23" t="n"/>
    </row>
    <row r="1004">
      <c r="A1004" s="27" t="n"/>
      <c r="B1004" s="23" t="n"/>
      <c r="C1004" s="23" t="n"/>
      <c r="D1004" s="28" t="n"/>
      <c r="E1004" s="28" t="n"/>
      <c r="F1004" s="28" t="n"/>
      <c r="G1004" s="28" t="n"/>
      <c r="H1004" s="28" t="n"/>
      <c r="I1004" s="28" t="n"/>
      <c r="J1004" s="22" t="n"/>
      <c r="K1004" s="23" t="n"/>
    </row>
    <row r="1005">
      <c r="A1005" s="27" t="n"/>
      <c r="B1005" s="23" t="n"/>
      <c r="C1005" s="23" t="n"/>
      <c r="D1005" s="28" t="n"/>
      <c r="E1005" s="28" t="n"/>
      <c r="F1005" s="28" t="n"/>
      <c r="G1005" s="28" t="n"/>
      <c r="H1005" s="28" t="n"/>
      <c r="I1005" s="28" t="n"/>
      <c r="J1005" s="22" t="n"/>
      <c r="K1005" s="23" t="n"/>
    </row>
    <row r="1006">
      <c r="A1006" s="27" t="n"/>
      <c r="B1006" s="23" t="n"/>
      <c r="C1006" s="23" t="n"/>
      <c r="D1006" s="28" t="n"/>
      <c r="E1006" s="28" t="n"/>
      <c r="F1006" s="28" t="n"/>
      <c r="G1006" s="28" t="n"/>
      <c r="H1006" s="28" t="n"/>
      <c r="I1006" s="28" t="n"/>
      <c r="J1006" s="22" t="n"/>
      <c r="K1006" s="23" t="n"/>
    </row>
    <row r="1007">
      <c r="A1007" s="27" t="n"/>
      <c r="B1007" s="23" t="n"/>
      <c r="C1007" s="23" t="n"/>
      <c r="D1007" s="28" t="n"/>
      <c r="E1007" s="28" t="n"/>
      <c r="F1007" s="28" t="n"/>
      <c r="G1007" s="28" t="n"/>
      <c r="H1007" s="28" t="n"/>
      <c r="I1007" s="28" t="n"/>
      <c r="J1007" s="22" t="n"/>
      <c r="K1007" s="23" t="n"/>
    </row>
    <row r="1008">
      <c r="A1008" s="27" t="n"/>
      <c r="B1008" s="23" t="n"/>
      <c r="C1008" s="23" t="n"/>
      <c r="D1008" s="28" t="n"/>
      <c r="E1008" s="28" t="n"/>
      <c r="F1008" s="28" t="n"/>
      <c r="G1008" s="28" t="n"/>
      <c r="H1008" s="28" t="n"/>
      <c r="I1008" s="28" t="n"/>
      <c r="J1008" s="22" t="n"/>
      <c r="K1008" s="23" t="n"/>
    </row>
    <row r="1009">
      <c r="A1009" s="27" t="n"/>
      <c r="B1009" s="23" t="n"/>
      <c r="C1009" s="23" t="n"/>
      <c r="D1009" s="28" t="n"/>
      <c r="E1009" s="28" t="n"/>
      <c r="F1009" s="28" t="n"/>
      <c r="G1009" s="28" t="n"/>
      <c r="H1009" s="28" t="n"/>
      <c r="I1009" s="28" t="n"/>
      <c r="J1009" s="22" t="n"/>
      <c r="K1009" s="23" t="n"/>
    </row>
    <row r="1010">
      <c r="A1010" s="27" t="n"/>
      <c r="B1010" s="23" t="n"/>
      <c r="C1010" s="23" t="n"/>
      <c r="D1010" s="28" t="n"/>
      <c r="E1010" s="28" t="n"/>
      <c r="F1010" s="28" t="n"/>
      <c r="G1010" s="28" t="n"/>
      <c r="H1010" s="28" t="n"/>
      <c r="I1010" s="28" t="n"/>
      <c r="J1010" s="22" t="n"/>
      <c r="K1010" s="23" t="n"/>
    </row>
    <row r="1011">
      <c r="A1011" s="27" t="n"/>
      <c r="B1011" s="23" t="n"/>
      <c r="C1011" s="23" t="n"/>
      <c r="D1011" s="28" t="n"/>
      <c r="E1011" s="28" t="n"/>
      <c r="F1011" s="28" t="n"/>
      <c r="G1011" s="28" t="n"/>
      <c r="H1011" s="28" t="n"/>
      <c r="I1011" s="28" t="n"/>
      <c r="J1011" s="22" t="n"/>
      <c r="K1011" s="23" t="n"/>
    </row>
    <row r="1012">
      <c r="A1012" s="27" t="n"/>
      <c r="B1012" s="23" t="n"/>
      <c r="C1012" s="23" t="n"/>
      <c r="D1012" s="28" t="n"/>
      <c r="E1012" s="28" t="n"/>
      <c r="F1012" s="28" t="n"/>
      <c r="G1012" s="28" t="n"/>
      <c r="H1012" s="28" t="n"/>
      <c r="I1012" s="28" t="n"/>
      <c r="J1012" s="22" t="n"/>
      <c r="K1012" s="23" t="n"/>
    </row>
    <row r="1013">
      <c r="A1013" s="27" t="n"/>
      <c r="B1013" s="23" t="n"/>
      <c r="C1013" s="23" t="n"/>
      <c r="D1013" s="28" t="n"/>
      <c r="E1013" s="28" t="n"/>
      <c r="F1013" s="28" t="n"/>
      <c r="G1013" s="28" t="n"/>
      <c r="H1013" s="28" t="n"/>
      <c r="I1013" s="28" t="n"/>
      <c r="J1013" s="22" t="n"/>
      <c r="K1013" s="23" t="n"/>
    </row>
    <row r="1014">
      <c r="A1014" s="27" t="n"/>
      <c r="B1014" s="23" t="n"/>
      <c r="C1014" s="23" t="n"/>
      <c r="D1014" s="28" t="n"/>
      <c r="E1014" s="28" t="n"/>
      <c r="F1014" s="28" t="n"/>
      <c r="G1014" s="28" t="n"/>
      <c r="H1014" s="28" t="n"/>
      <c r="I1014" s="28" t="n"/>
      <c r="J1014" s="22" t="n"/>
      <c r="K1014" s="23" t="n"/>
    </row>
    <row r="1015">
      <c r="A1015" s="27" t="n"/>
      <c r="B1015" s="23" t="n"/>
      <c r="C1015" s="23" t="n"/>
      <c r="D1015" s="28" t="n"/>
      <c r="E1015" s="28" t="n"/>
      <c r="F1015" s="28" t="n"/>
      <c r="G1015" s="28" t="n"/>
      <c r="H1015" s="28" t="n"/>
      <c r="I1015" s="28" t="n"/>
      <c r="J1015" s="22" t="n"/>
      <c r="K1015" s="23" t="n"/>
    </row>
    <row r="1016">
      <c r="A1016" s="27" t="n"/>
      <c r="B1016" s="23" t="n"/>
      <c r="C1016" s="23" t="n"/>
      <c r="D1016" s="28" t="n"/>
      <c r="E1016" s="28" t="n"/>
      <c r="F1016" s="28" t="n"/>
      <c r="G1016" s="28" t="n"/>
      <c r="H1016" s="28" t="n"/>
      <c r="I1016" s="28" t="n"/>
      <c r="J1016" s="22" t="n"/>
      <c r="K1016" s="23" t="n"/>
    </row>
    <row r="1017">
      <c r="A1017" s="27" t="n"/>
      <c r="B1017" s="23" t="n"/>
      <c r="C1017" s="23" t="n"/>
      <c r="D1017" s="28" t="n"/>
      <c r="E1017" s="28" t="n"/>
      <c r="F1017" s="28" t="n"/>
      <c r="G1017" s="28" t="n"/>
      <c r="H1017" s="28" t="n"/>
      <c r="I1017" s="28" t="n"/>
      <c r="J1017" s="22" t="n"/>
      <c r="K1017" s="23" t="n"/>
    </row>
    <row r="1018">
      <c r="A1018" s="27" t="n"/>
      <c r="B1018" s="23" t="n"/>
      <c r="C1018" s="23" t="n"/>
      <c r="D1018" s="28" t="n"/>
      <c r="E1018" s="28" t="n"/>
      <c r="F1018" s="28" t="n"/>
      <c r="G1018" s="28" t="n"/>
      <c r="H1018" s="28" t="n"/>
      <c r="I1018" s="28" t="n"/>
      <c r="J1018" s="22" t="n"/>
      <c r="K1018" s="23" t="n"/>
    </row>
    <row r="1019">
      <c r="A1019" s="27" t="n"/>
      <c r="B1019" s="23" t="n"/>
      <c r="C1019" s="23" t="n"/>
      <c r="D1019" s="28" t="n"/>
      <c r="E1019" s="28" t="n"/>
      <c r="F1019" s="28" t="n"/>
      <c r="G1019" s="28" t="n"/>
      <c r="H1019" s="28" t="n"/>
      <c r="I1019" s="28" t="n"/>
      <c r="J1019" s="22" t="n"/>
      <c r="K1019" s="23" t="n"/>
    </row>
    <row r="1020">
      <c r="A1020" s="27" t="n"/>
      <c r="B1020" s="23" t="n"/>
      <c r="C1020" s="23" t="n"/>
      <c r="D1020" s="28" t="n"/>
      <c r="E1020" s="28" t="n"/>
      <c r="F1020" s="28" t="n"/>
      <c r="G1020" s="28" t="n"/>
      <c r="H1020" s="28" t="n"/>
      <c r="I1020" s="28" t="n"/>
      <c r="J1020" s="22" t="n"/>
      <c r="K1020" s="23" t="n"/>
    </row>
    <row r="1021">
      <c r="A1021" s="27" t="n"/>
      <c r="B1021" s="23" t="n"/>
      <c r="C1021" s="23" t="n"/>
      <c r="D1021" s="28" t="n"/>
      <c r="E1021" s="28" t="n"/>
      <c r="F1021" s="28" t="n"/>
      <c r="G1021" s="28" t="n"/>
      <c r="H1021" s="28" t="n"/>
      <c r="I1021" s="28" t="n"/>
      <c r="J1021" s="22" t="n"/>
      <c r="K1021" s="23" t="n"/>
    </row>
    <row r="1022">
      <c r="A1022" s="27" t="n"/>
      <c r="B1022" s="23" t="n"/>
      <c r="C1022" s="23" t="n"/>
      <c r="D1022" s="28" t="n"/>
      <c r="E1022" s="28" t="n"/>
      <c r="F1022" s="28" t="n"/>
      <c r="G1022" s="28" t="n"/>
      <c r="H1022" s="28" t="n"/>
      <c r="I1022" s="28" t="n"/>
      <c r="J1022" s="22" t="n"/>
      <c r="K1022" s="23" t="n"/>
    </row>
    <row r="1023">
      <c r="A1023" s="27" t="n"/>
      <c r="B1023" s="23" t="n"/>
      <c r="C1023" s="23" t="n"/>
      <c r="D1023" s="28" t="n"/>
      <c r="E1023" s="28" t="n"/>
      <c r="F1023" s="28" t="n"/>
      <c r="G1023" s="28" t="n"/>
      <c r="H1023" s="28" t="n"/>
      <c r="I1023" s="28" t="n"/>
      <c r="J1023" s="22" t="n"/>
      <c r="K1023" s="23" t="n"/>
    </row>
    <row r="1024">
      <c r="A1024" s="27" t="n"/>
      <c r="B1024" s="23" t="n"/>
      <c r="C1024" s="23" t="n"/>
      <c r="D1024" s="28" t="n"/>
      <c r="E1024" s="28" t="n"/>
      <c r="F1024" s="28" t="n"/>
      <c r="G1024" s="28" t="n"/>
      <c r="H1024" s="28" t="n"/>
      <c r="I1024" s="28" t="n"/>
      <c r="J1024" s="22" t="n"/>
      <c r="K1024" s="23" t="n"/>
    </row>
    <row r="1025">
      <c r="A1025" s="27" t="n"/>
      <c r="B1025" s="23" t="n"/>
      <c r="C1025" s="23" t="n"/>
      <c r="D1025" s="28" t="n"/>
      <c r="E1025" s="28" t="n"/>
      <c r="F1025" s="28" t="n"/>
      <c r="G1025" s="28" t="n"/>
      <c r="H1025" s="28" t="n"/>
      <c r="I1025" s="28" t="n"/>
      <c r="J1025" s="22" t="n"/>
      <c r="K1025" s="23" t="n"/>
    </row>
    <row r="1026">
      <c r="A1026" s="27" t="n"/>
      <c r="B1026" s="23" t="n"/>
      <c r="C1026" s="23" t="n"/>
      <c r="D1026" s="28" t="n"/>
      <c r="E1026" s="28" t="n"/>
      <c r="F1026" s="28" t="n"/>
      <c r="G1026" s="28" t="n"/>
      <c r="H1026" s="28" t="n"/>
      <c r="I1026" s="28" t="n"/>
      <c r="J1026" s="22" t="n"/>
      <c r="K1026" s="23" t="n"/>
    </row>
    <row r="1027">
      <c r="A1027" s="27" t="n"/>
      <c r="B1027" s="23" t="n"/>
      <c r="C1027" s="23" t="n"/>
      <c r="D1027" s="28" t="n"/>
      <c r="E1027" s="28" t="n"/>
      <c r="F1027" s="28" t="n"/>
      <c r="G1027" s="28" t="n"/>
      <c r="H1027" s="28" t="n"/>
      <c r="I1027" s="28" t="n"/>
      <c r="J1027" s="22" t="n"/>
      <c r="K1027" s="23" t="n"/>
    </row>
    <row r="1028">
      <c r="A1028" s="27" t="n"/>
      <c r="B1028" s="23" t="n"/>
      <c r="C1028" s="23" t="n"/>
      <c r="D1028" s="28" t="n"/>
      <c r="E1028" s="28" t="n"/>
      <c r="F1028" s="28" t="n"/>
      <c r="G1028" s="28" t="n"/>
      <c r="H1028" s="28" t="n"/>
      <c r="I1028" s="28" t="n"/>
      <c r="J1028" s="22" t="n"/>
      <c r="K1028" s="23" t="n"/>
    </row>
    <row r="1029">
      <c r="A1029" s="27" t="n"/>
      <c r="B1029" s="23" t="n"/>
      <c r="C1029" s="23" t="n"/>
      <c r="D1029" s="28" t="n"/>
      <c r="E1029" s="28" t="n"/>
      <c r="F1029" s="28" t="n"/>
      <c r="G1029" s="28" t="n"/>
      <c r="H1029" s="28" t="n"/>
      <c r="I1029" s="28" t="n"/>
      <c r="J1029" s="22" t="n"/>
      <c r="K1029" s="23" t="n"/>
    </row>
    <row r="1030">
      <c r="A1030" s="27" t="n"/>
      <c r="B1030" s="23" t="n"/>
      <c r="C1030" s="23" t="n"/>
      <c r="D1030" s="28" t="n"/>
      <c r="E1030" s="28" t="n"/>
      <c r="F1030" s="28" t="n"/>
      <c r="G1030" s="28" t="n"/>
      <c r="H1030" s="28" t="n"/>
      <c r="I1030" s="28" t="n"/>
      <c r="J1030" s="22" t="n"/>
      <c r="K1030" s="23" t="n"/>
    </row>
    <row r="1031">
      <c r="A1031" s="27" t="n"/>
      <c r="B1031" s="23" t="n"/>
      <c r="C1031" s="23" t="n"/>
      <c r="D1031" s="28" t="n"/>
      <c r="E1031" s="28" t="n"/>
      <c r="F1031" s="28" t="n"/>
      <c r="G1031" s="28" t="n"/>
      <c r="H1031" s="28" t="n"/>
      <c r="I1031" s="28" t="n"/>
      <c r="J1031" s="22" t="n"/>
      <c r="K1031" s="23" t="n"/>
    </row>
    <row r="1032">
      <c r="A1032" s="27" t="n"/>
      <c r="B1032" s="23" t="n"/>
      <c r="C1032" s="23" t="n"/>
      <c r="D1032" s="28" t="n"/>
      <c r="E1032" s="28" t="n"/>
      <c r="F1032" s="28" t="n"/>
      <c r="G1032" s="28" t="n"/>
      <c r="H1032" s="28" t="n"/>
      <c r="I1032" s="28" t="n"/>
      <c r="J1032" s="22" t="n"/>
      <c r="K1032" s="23" t="n"/>
    </row>
    <row r="1033">
      <c r="A1033" s="27" t="n"/>
      <c r="B1033" s="23" t="n"/>
      <c r="C1033" s="23" t="n"/>
      <c r="D1033" s="28" t="n"/>
      <c r="E1033" s="28" t="n"/>
      <c r="F1033" s="28" t="n"/>
      <c r="G1033" s="28" t="n"/>
      <c r="H1033" s="28" t="n"/>
      <c r="I1033" s="28" t="n"/>
      <c r="J1033" s="22" t="n"/>
      <c r="K1033" s="23" t="n"/>
    </row>
    <row r="1034">
      <c r="A1034" s="27" t="n"/>
      <c r="B1034" s="23" t="n"/>
      <c r="C1034" s="23" t="n"/>
      <c r="D1034" s="28" t="n"/>
      <c r="E1034" s="28" t="n"/>
      <c r="F1034" s="28" t="n"/>
      <c r="G1034" s="28" t="n"/>
      <c r="H1034" s="28" t="n"/>
      <c r="I1034" s="28" t="n"/>
      <c r="J1034" s="22" t="n"/>
      <c r="K1034" s="23" t="n"/>
    </row>
    <row r="1035">
      <c r="A1035" s="27" t="n"/>
      <c r="B1035" s="23" t="n"/>
      <c r="C1035" s="23" t="n"/>
      <c r="D1035" s="28" t="n"/>
      <c r="E1035" s="28" t="n"/>
      <c r="F1035" s="28" t="n"/>
      <c r="G1035" s="28" t="n"/>
      <c r="H1035" s="28" t="n"/>
      <c r="I1035" s="28" t="n"/>
      <c r="J1035" s="22" t="n"/>
      <c r="K1035" s="23" t="n"/>
    </row>
    <row r="1036">
      <c r="A1036" s="27" t="n"/>
      <c r="B1036" s="23" t="n"/>
      <c r="C1036" s="23" t="n"/>
      <c r="D1036" s="28" t="n"/>
      <c r="E1036" s="28" t="n"/>
      <c r="F1036" s="28" t="n"/>
      <c r="G1036" s="28" t="n"/>
      <c r="H1036" s="28" t="n"/>
      <c r="I1036" s="28" t="n"/>
      <c r="J1036" s="22" t="n"/>
      <c r="K1036" s="23" t="n"/>
    </row>
    <row r="1037">
      <c r="A1037" s="27" t="n"/>
      <c r="B1037" s="23" t="n"/>
      <c r="C1037" s="23" t="n"/>
      <c r="D1037" s="28" t="n"/>
      <c r="E1037" s="28" t="n"/>
      <c r="F1037" s="28" t="n"/>
      <c r="G1037" s="28" t="n"/>
      <c r="H1037" s="28" t="n"/>
      <c r="I1037" s="28" t="n"/>
      <c r="J1037" s="22" t="n"/>
      <c r="K1037" s="23" t="n"/>
    </row>
    <row r="1038">
      <c r="A1038" s="27" t="n"/>
      <c r="B1038" s="23" t="n"/>
      <c r="C1038" s="23" t="n"/>
      <c r="D1038" s="28" t="n"/>
      <c r="E1038" s="28" t="n"/>
      <c r="F1038" s="28" t="n"/>
      <c r="G1038" s="28" t="n"/>
      <c r="H1038" s="28" t="n"/>
      <c r="I1038" s="28" t="n"/>
      <c r="J1038" s="22" t="n"/>
      <c r="K1038" s="23" t="n"/>
    </row>
    <row r="1039">
      <c r="A1039" s="27" t="n"/>
      <c r="B1039" s="23" t="n"/>
      <c r="C1039" s="23" t="n"/>
      <c r="D1039" s="28" t="n"/>
      <c r="E1039" s="28" t="n"/>
      <c r="F1039" s="28" t="n"/>
      <c r="G1039" s="28" t="n"/>
      <c r="H1039" s="28" t="n"/>
      <c r="I1039" s="28" t="n"/>
      <c r="J1039" s="22" t="n"/>
      <c r="K1039" s="23" t="n"/>
    </row>
    <row r="1040">
      <c r="A1040" s="27" t="n"/>
      <c r="B1040" s="23" t="n"/>
      <c r="C1040" s="23" t="n"/>
      <c r="D1040" s="28" t="n"/>
      <c r="E1040" s="28" t="n"/>
      <c r="F1040" s="28" t="n"/>
      <c r="G1040" s="28" t="n"/>
      <c r="H1040" s="28" t="n"/>
      <c r="I1040" s="28" t="n"/>
      <c r="J1040" s="22" t="n"/>
      <c r="K1040" s="23" t="n"/>
    </row>
    <row r="1041">
      <c r="A1041" s="27" t="n"/>
      <c r="B1041" s="23" t="n"/>
      <c r="C1041" s="23" t="n"/>
      <c r="D1041" s="28" t="n"/>
      <c r="E1041" s="28" t="n"/>
      <c r="F1041" s="28" t="n"/>
      <c r="G1041" s="28" t="n"/>
      <c r="H1041" s="28" t="n"/>
      <c r="I1041" s="28" t="n"/>
      <c r="J1041" s="22" t="n"/>
      <c r="K1041" s="23" t="n"/>
    </row>
    <row r="1042">
      <c r="A1042" s="27" t="n"/>
      <c r="B1042" s="23" t="n"/>
      <c r="C1042" s="23" t="n"/>
      <c r="D1042" s="28" t="n"/>
      <c r="E1042" s="28" t="n"/>
      <c r="F1042" s="28" t="n"/>
      <c r="G1042" s="28" t="n"/>
      <c r="H1042" s="28" t="n"/>
      <c r="I1042" s="28" t="n"/>
      <c r="J1042" s="22" t="n"/>
      <c r="K1042" s="23" t="n"/>
    </row>
    <row r="1043">
      <c r="A1043" s="27" t="n"/>
      <c r="B1043" s="23" t="n"/>
      <c r="C1043" s="23" t="n"/>
      <c r="D1043" s="28" t="n"/>
      <c r="E1043" s="28" t="n"/>
      <c r="F1043" s="28" t="n"/>
      <c r="G1043" s="28" t="n"/>
      <c r="H1043" s="28" t="n"/>
      <c r="I1043" s="28" t="n"/>
      <c r="J1043" s="22" t="n"/>
      <c r="K1043" s="23" t="n"/>
    </row>
    <row r="1044">
      <c r="A1044" s="27" t="n"/>
      <c r="B1044" s="23" t="n"/>
      <c r="C1044" s="23" t="n"/>
      <c r="D1044" s="28" t="n"/>
      <c r="E1044" s="28" t="n"/>
      <c r="F1044" s="28" t="n"/>
      <c r="G1044" s="28" t="n"/>
      <c r="H1044" s="28" t="n"/>
      <c r="I1044" s="28" t="n"/>
      <c r="J1044" s="22" t="n"/>
      <c r="K1044" s="23" t="n"/>
    </row>
    <row r="1045">
      <c r="A1045" s="27" t="n"/>
      <c r="B1045" s="23" t="n"/>
      <c r="C1045" s="23" t="n"/>
      <c r="D1045" s="28" t="n"/>
      <c r="E1045" s="28" t="n"/>
      <c r="F1045" s="28" t="n"/>
      <c r="G1045" s="28" t="n"/>
      <c r="H1045" s="28" t="n"/>
      <c r="I1045" s="28" t="n"/>
      <c r="J1045" s="22" t="n"/>
      <c r="K1045" s="23" t="n"/>
    </row>
    <row r="1046">
      <c r="A1046" s="27" t="n"/>
      <c r="B1046" s="23" t="n"/>
      <c r="C1046" s="23" t="n"/>
      <c r="D1046" s="28" t="n"/>
      <c r="E1046" s="28" t="n"/>
      <c r="F1046" s="28" t="n"/>
      <c r="G1046" s="28" t="n"/>
      <c r="H1046" s="28" t="n"/>
      <c r="I1046" s="28" t="n"/>
      <c r="J1046" s="22" t="n"/>
      <c r="K1046" s="23" t="n"/>
    </row>
    <row r="1047">
      <c r="A1047" s="27" t="n"/>
      <c r="B1047" s="23" t="n"/>
      <c r="C1047" s="23" t="n"/>
      <c r="D1047" s="28" t="n"/>
      <c r="E1047" s="28" t="n"/>
      <c r="F1047" s="28" t="n"/>
      <c r="G1047" s="28" t="n"/>
      <c r="H1047" s="28" t="n"/>
      <c r="I1047" s="28" t="n"/>
      <c r="J1047" s="22" t="n"/>
      <c r="K1047" s="23" t="n"/>
    </row>
    <row r="1048">
      <c r="A1048" s="27" t="n"/>
      <c r="B1048" s="23" t="n"/>
      <c r="C1048" s="23" t="n"/>
      <c r="D1048" s="28" t="n"/>
      <c r="E1048" s="28" t="n"/>
      <c r="F1048" s="28" t="n"/>
      <c r="G1048" s="28" t="n"/>
      <c r="H1048" s="28" t="n"/>
      <c r="I1048" s="28" t="n"/>
      <c r="J1048" s="22" t="n"/>
      <c r="K1048" s="23" t="n"/>
    </row>
    <row r="1049">
      <c r="A1049" s="27" t="n"/>
      <c r="B1049" s="23" t="n"/>
      <c r="C1049" s="23" t="n"/>
      <c r="D1049" s="28" t="n"/>
      <c r="E1049" s="28" t="n"/>
      <c r="F1049" s="28" t="n"/>
      <c r="G1049" s="28" t="n"/>
      <c r="H1049" s="28" t="n"/>
      <c r="I1049" s="28" t="n"/>
      <c r="J1049" s="22" t="n"/>
      <c r="K1049" s="23" t="n"/>
    </row>
    <row r="1050">
      <c r="A1050" s="27" t="n"/>
      <c r="B1050" s="23" t="n"/>
      <c r="C1050" s="23" t="n"/>
      <c r="D1050" s="28" t="n"/>
      <c r="E1050" s="28" t="n"/>
      <c r="F1050" s="28" t="n"/>
      <c r="G1050" s="28" t="n"/>
      <c r="H1050" s="28" t="n"/>
      <c r="I1050" s="28" t="n"/>
      <c r="J1050" s="22" t="n"/>
      <c r="K1050" s="23" t="n"/>
    </row>
    <row r="1051">
      <c r="A1051" s="27" t="n"/>
      <c r="B1051" s="23" t="n"/>
      <c r="C1051" s="23" t="n"/>
      <c r="D1051" s="28" t="n"/>
      <c r="E1051" s="28" t="n"/>
      <c r="F1051" s="28" t="n"/>
      <c r="G1051" s="28" t="n"/>
      <c r="H1051" s="28" t="n"/>
      <c r="I1051" s="28" t="n"/>
      <c r="J1051" s="22" t="n"/>
      <c r="K1051" s="23" t="n"/>
    </row>
    <row r="1052">
      <c r="A1052" s="27" t="n"/>
      <c r="B1052" s="23" t="n"/>
      <c r="C1052" s="23" t="n"/>
      <c r="D1052" s="28" t="n"/>
      <c r="E1052" s="28" t="n"/>
      <c r="F1052" s="28" t="n"/>
      <c r="G1052" s="28" t="n"/>
      <c r="H1052" s="28" t="n"/>
      <c r="I1052" s="28" t="n"/>
      <c r="J1052" s="22" t="n"/>
      <c r="K1052" s="23" t="n"/>
    </row>
    <row r="1053">
      <c r="A1053" s="27" t="n"/>
      <c r="B1053" s="23" t="n"/>
      <c r="C1053" s="23" t="n"/>
      <c r="D1053" s="28" t="n"/>
      <c r="E1053" s="28" t="n"/>
      <c r="F1053" s="28" t="n"/>
      <c r="G1053" s="28" t="n"/>
      <c r="H1053" s="28" t="n"/>
      <c r="I1053" s="28" t="n"/>
      <c r="J1053" s="22" t="n"/>
      <c r="K1053" s="23" t="n"/>
    </row>
    <row r="1054">
      <c r="A1054" s="27" t="n"/>
      <c r="B1054" s="23" t="n"/>
      <c r="C1054" s="23" t="n"/>
      <c r="D1054" s="28" t="n"/>
      <c r="E1054" s="28" t="n"/>
      <c r="F1054" s="28" t="n"/>
      <c r="G1054" s="28" t="n"/>
      <c r="H1054" s="28" t="n"/>
      <c r="I1054" s="28" t="n"/>
      <c r="J1054" s="22" t="n"/>
      <c r="K1054" s="23" t="n"/>
    </row>
    <row r="1055">
      <c r="A1055" s="27" t="n"/>
      <c r="B1055" s="23" t="n"/>
      <c r="C1055" s="23" t="n"/>
      <c r="D1055" s="28" t="n"/>
      <c r="E1055" s="28" t="n"/>
      <c r="F1055" s="28" t="n"/>
      <c r="G1055" s="28" t="n"/>
      <c r="H1055" s="28" t="n"/>
      <c r="I1055" s="28" t="n"/>
      <c r="J1055" s="22" t="n"/>
      <c r="K1055" s="23" t="n"/>
    </row>
    <row r="1056">
      <c r="A1056" s="27" t="n"/>
      <c r="B1056" s="23" t="n"/>
      <c r="C1056" s="23" t="n"/>
      <c r="D1056" s="28" t="n"/>
      <c r="E1056" s="28" t="n"/>
      <c r="F1056" s="28" t="n"/>
      <c r="G1056" s="28" t="n"/>
      <c r="H1056" s="28" t="n"/>
      <c r="I1056" s="28" t="n"/>
      <c r="J1056" s="22" t="n"/>
      <c r="K1056" s="23" t="n"/>
    </row>
    <row r="1057">
      <c r="A1057" s="27" t="n"/>
      <c r="B1057" s="23" t="n"/>
      <c r="C1057" s="23" t="n"/>
      <c r="D1057" s="28" t="n"/>
      <c r="E1057" s="28" t="n"/>
      <c r="F1057" s="28" t="n"/>
      <c r="G1057" s="28" t="n"/>
      <c r="H1057" s="28" t="n"/>
      <c r="I1057" s="28" t="n"/>
      <c r="J1057" s="22" t="n"/>
      <c r="K1057" s="23" t="n"/>
    </row>
    <row r="1058">
      <c r="A1058" s="27" t="n"/>
      <c r="B1058" s="23" t="n"/>
      <c r="C1058" s="23" t="n"/>
      <c r="D1058" s="28" t="n"/>
      <c r="E1058" s="28" t="n"/>
      <c r="F1058" s="28" t="n"/>
      <c r="G1058" s="28" t="n"/>
      <c r="H1058" s="28" t="n"/>
      <c r="I1058" s="28" t="n"/>
      <c r="J1058" s="22" t="n"/>
      <c r="K1058" s="23" t="n"/>
    </row>
    <row r="1059">
      <c r="A1059" s="27" t="n"/>
      <c r="B1059" s="23" t="n"/>
      <c r="C1059" s="23" t="n"/>
      <c r="D1059" s="28" t="n"/>
      <c r="E1059" s="28" t="n"/>
      <c r="F1059" s="28" t="n"/>
      <c r="G1059" s="28" t="n"/>
      <c r="H1059" s="28" t="n"/>
      <c r="I1059" s="28" t="n"/>
      <c r="J1059" s="22" t="n"/>
      <c r="K1059" s="23" t="n"/>
    </row>
    <row r="1060">
      <c r="A1060" s="27" t="n"/>
      <c r="B1060" s="23" t="n"/>
      <c r="C1060" s="23" t="n"/>
      <c r="D1060" s="28" t="n"/>
      <c r="E1060" s="28" t="n"/>
      <c r="F1060" s="28" t="n"/>
      <c r="G1060" s="28" t="n"/>
      <c r="H1060" s="28" t="n"/>
      <c r="I1060" s="28" t="n"/>
      <c r="J1060" s="22" t="n"/>
      <c r="K1060" s="23" t="n"/>
    </row>
    <row r="1061">
      <c r="A1061" s="27" t="n"/>
      <c r="B1061" s="23" t="n"/>
      <c r="C1061" s="23" t="n"/>
      <c r="D1061" s="28" t="n"/>
      <c r="E1061" s="28" t="n"/>
      <c r="F1061" s="28" t="n"/>
      <c r="G1061" s="28" t="n"/>
      <c r="H1061" s="28" t="n"/>
      <c r="I1061" s="28" t="n"/>
      <c r="J1061" s="22" t="n"/>
      <c r="K1061" s="23" t="n"/>
    </row>
    <row r="1062">
      <c r="A1062" s="27" t="n"/>
      <c r="B1062" s="23" t="n"/>
      <c r="C1062" s="23" t="n"/>
      <c r="D1062" s="28" t="n"/>
      <c r="E1062" s="28" t="n"/>
      <c r="F1062" s="28" t="n"/>
      <c r="G1062" s="28" t="n"/>
      <c r="H1062" s="28" t="n"/>
      <c r="I1062" s="28" t="n"/>
      <c r="J1062" s="22" t="n"/>
      <c r="K1062" s="23" t="n"/>
    </row>
    <row r="1063">
      <c r="A1063" s="27" t="n"/>
      <c r="B1063" s="23" t="n"/>
      <c r="C1063" s="23" t="n"/>
      <c r="D1063" s="28" t="n"/>
      <c r="E1063" s="28" t="n"/>
      <c r="F1063" s="28" t="n"/>
      <c r="G1063" s="28" t="n"/>
      <c r="H1063" s="28" t="n"/>
      <c r="I1063" s="28" t="n"/>
      <c r="J1063" s="22" t="n"/>
      <c r="K1063" s="23" t="n"/>
    </row>
    <row r="1064">
      <c r="A1064" s="27" t="n"/>
      <c r="B1064" s="23" t="n"/>
      <c r="C1064" s="23" t="n"/>
      <c r="D1064" s="28" t="n"/>
      <c r="E1064" s="28" t="n"/>
      <c r="F1064" s="28" t="n"/>
      <c r="G1064" s="28" t="n"/>
      <c r="H1064" s="28" t="n"/>
      <c r="I1064" s="28" t="n"/>
      <c r="J1064" s="22" t="n"/>
      <c r="K1064" s="23" t="n"/>
    </row>
    <row r="1065">
      <c r="A1065" s="27" t="n"/>
      <c r="B1065" s="23" t="n"/>
      <c r="C1065" s="23" t="n"/>
      <c r="D1065" s="28" t="n"/>
      <c r="E1065" s="28" t="n"/>
      <c r="F1065" s="28" t="n"/>
      <c r="G1065" s="28" t="n"/>
      <c r="H1065" s="28" t="n"/>
      <c r="I1065" s="28" t="n"/>
      <c r="J1065" s="22" t="n"/>
      <c r="K1065" s="23" t="n"/>
    </row>
    <row r="1066">
      <c r="A1066" s="27" t="n"/>
      <c r="B1066" s="23" t="n"/>
      <c r="C1066" s="23" t="n"/>
      <c r="D1066" s="28" t="n"/>
      <c r="E1066" s="28" t="n"/>
      <c r="F1066" s="28" t="n"/>
      <c r="G1066" s="28" t="n"/>
      <c r="H1066" s="28" t="n"/>
      <c r="I1066" s="28" t="n"/>
      <c r="J1066" s="22" t="n"/>
      <c r="K1066" s="23" t="n"/>
    </row>
    <row r="1067">
      <c r="A1067" s="27" t="n"/>
      <c r="B1067" s="23" t="n"/>
      <c r="C1067" s="23" t="n"/>
      <c r="D1067" s="28" t="n"/>
      <c r="E1067" s="28" t="n"/>
      <c r="F1067" s="28" t="n"/>
      <c r="G1067" s="28" t="n"/>
      <c r="H1067" s="28" t="n"/>
      <c r="I1067" s="28" t="n"/>
      <c r="J1067" s="22" t="n"/>
      <c r="K1067" s="23" t="n"/>
    </row>
    <row r="1068">
      <c r="A1068" s="27" t="n"/>
      <c r="B1068" s="23" t="n"/>
      <c r="C1068" s="23" t="n"/>
      <c r="D1068" s="28" t="n"/>
      <c r="E1068" s="28" t="n"/>
      <c r="F1068" s="28" t="n"/>
      <c r="G1068" s="28" t="n"/>
      <c r="H1068" s="28" t="n"/>
      <c r="I1068" s="28" t="n"/>
      <c r="J1068" s="22" t="n"/>
      <c r="K1068" s="23" t="n"/>
    </row>
    <row r="1069">
      <c r="A1069" s="27" t="n"/>
      <c r="B1069" s="23" t="n"/>
      <c r="C1069" s="23" t="n"/>
      <c r="D1069" s="28" t="n"/>
      <c r="E1069" s="28" t="n"/>
      <c r="F1069" s="28" t="n"/>
      <c r="G1069" s="28" t="n"/>
      <c r="H1069" s="28" t="n"/>
      <c r="I1069" s="28" t="n"/>
      <c r="J1069" s="22" t="n"/>
      <c r="K1069" s="23" t="n"/>
    </row>
    <row r="1070">
      <c r="A1070" s="27" t="n"/>
      <c r="B1070" s="23" t="n"/>
      <c r="C1070" s="23" t="n"/>
      <c r="D1070" s="28" t="n"/>
      <c r="E1070" s="28" t="n"/>
      <c r="F1070" s="28" t="n"/>
      <c r="G1070" s="28" t="n"/>
      <c r="H1070" s="28" t="n"/>
      <c r="I1070" s="28" t="n"/>
      <c r="J1070" s="22" t="n"/>
      <c r="K1070" s="23" t="n"/>
    </row>
    <row r="1071">
      <c r="A1071" s="27" t="n"/>
      <c r="B1071" s="23" t="n"/>
      <c r="C1071" s="23" t="n"/>
      <c r="D1071" s="28" t="n"/>
      <c r="E1071" s="28" t="n"/>
      <c r="F1071" s="28" t="n"/>
      <c r="G1071" s="28" t="n"/>
      <c r="H1071" s="28" t="n"/>
      <c r="I1071" s="28" t="n"/>
      <c r="J1071" s="22" t="n"/>
      <c r="K1071" s="23" t="n"/>
    </row>
    <row r="1072">
      <c r="A1072" s="27" t="n"/>
      <c r="B1072" s="23" t="n"/>
      <c r="C1072" s="23" t="n"/>
      <c r="D1072" s="28" t="n"/>
      <c r="E1072" s="28" t="n"/>
      <c r="F1072" s="28" t="n"/>
      <c r="G1072" s="28" t="n"/>
      <c r="H1072" s="28" t="n"/>
      <c r="I1072" s="28" t="n"/>
      <c r="J1072" s="22" t="n"/>
      <c r="K1072" s="23" t="n"/>
    </row>
    <row r="1073">
      <c r="A1073" s="27" t="n"/>
      <c r="B1073" s="23" t="n"/>
      <c r="C1073" s="23" t="n"/>
      <c r="D1073" s="28" t="n"/>
      <c r="E1073" s="28" t="n"/>
      <c r="F1073" s="28" t="n"/>
      <c r="G1073" s="28" t="n"/>
      <c r="H1073" s="28" t="n"/>
      <c r="I1073" s="28" t="n"/>
      <c r="J1073" s="22" t="n"/>
      <c r="K1073" s="23" t="n"/>
    </row>
    <row r="1074">
      <c r="A1074" s="27" t="n"/>
      <c r="B1074" s="23" t="n"/>
      <c r="C1074" s="23" t="n"/>
      <c r="D1074" s="28" t="n"/>
      <c r="E1074" s="28" t="n"/>
      <c r="F1074" s="28" t="n"/>
      <c r="G1074" s="28" t="n"/>
      <c r="H1074" s="28" t="n"/>
      <c r="I1074" s="28" t="n"/>
      <c r="J1074" s="22" t="n"/>
      <c r="K1074" s="23" t="n"/>
    </row>
    <row r="1075">
      <c r="A1075" s="27" t="n"/>
      <c r="B1075" s="23" t="n"/>
      <c r="C1075" s="23" t="n"/>
      <c r="D1075" s="28" t="n"/>
      <c r="E1075" s="28" t="n"/>
      <c r="F1075" s="28" t="n"/>
      <c r="G1075" s="28" t="n"/>
      <c r="H1075" s="28" t="n"/>
      <c r="I1075" s="28" t="n"/>
      <c r="J1075" s="22" t="n"/>
      <c r="K1075" s="23" t="n"/>
    </row>
    <row r="1076">
      <c r="A1076" s="27" t="n"/>
      <c r="B1076" s="23" t="n"/>
      <c r="C1076" s="23" t="n"/>
      <c r="D1076" s="28" t="n"/>
      <c r="E1076" s="28" t="n"/>
      <c r="F1076" s="28" t="n"/>
      <c r="G1076" s="28" t="n"/>
      <c r="H1076" s="28" t="n"/>
      <c r="I1076" s="28" t="n"/>
      <c r="J1076" s="22" t="n"/>
      <c r="K1076" s="23" t="n"/>
    </row>
    <row r="1077">
      <c r="A1077" s="27" t="n"/>
      <c r="B1077" s="23" t="n"/>
      <c r="C1077" s="23" t="n"/>
      <c r="D1077" s="28" t="n"/>
      <c r="E1077" s="28" t="n"/>
      <c r="F1077" s="28" t="n"/>
      <c r="G1077" s="28" t="n"/>
      <c r="H1077" s="28" t="n"/>
      <c r="I1077" s="28" t="n"/>
      <c r="J1077" s="22" t="n"/>
      <c r="K1077" s="23" t="n"/>
    </row>
    <row r="1078">
      <c r="A1078" s="27" t="n"/>
      <c r="B1078" s="23" t="n"/>
      <c r="C1078" s="23" t="n"/>
      <c r="D1078" s="28" t="n"/>
      <c r="E1078" s="28" t="n"/>
      <c r="F1078" s="28" t="n"/>
      <c r="G1078" s="28" t="n"/>
      <c r="H1078" s="28" t="n"/>
      <c r="I1078" s="28" t="n"/>
      <c r="J1078" s="22" t="n"/>
      <c r="K1078" s="23" t="n"/>
    </row>
    <row r="1079">
      <c r="A1079" s="27" t="n"/>
      <c r="B1079" s="23" t="n"/>
      <c r="C1079" s="23" t="n"/>
      <c r="D1079" s="28" t="n"/>
      <c r="E1079" s="28" t="n"/>
      <c r="F1079" s="28" t="n"/>
      <c r="G1079" s="28" t="n"/>
      <c r="H1079" s="28" t="n"/>
      <c r="I1079" s="28" t="n"/>
      <c r="J1079" s="22" t="n"/>
      <c r="K1079" s="23" t="n"/>
    </row>
    <row r="1080">
      <c r="A1080" s="27" t="n"/>
      <c r="B1080" s="23" t="n"/>
      <c r="C1080" s="23" t="n"/>
      <c r="D1080" s="28" t="n"/>
      <c r="E1080" s="28" t="n"/>
      <c r="F1080" s="28" t="n"/>
      <c r="G1080" s="28" t="n"/>
      <c r="H1080" s="28" t="n"/>
      <c r="I1080" s="28" t="n"/>
      <c r="J1080" s="22" t="n"/>
      <c r="K1080" s="23" t="n"/>
    </row>
    <row r="1081">
      <c r="A1081" s="27" t="n"/>
      <c r="B1081" s="23" t="n"/>
      <c r="C1081" s="23" t="n"/>
      <c r="D1081" s="28" t="n"/>
      <c r="E1081" s="28" t="n"/>
      <c r="F1081" s="28" t="n"/>
      <c r="G1081" s="28" t="n"/>
      <c r="H1081" s="28" t="n"/>
      <c r="I1081" s="28" t="n"/>
      <c r="J1081" s="22" t="n"/>
      <c r="K1081" s="23" t="n"/>
    </row>
    <row r="1082">
      <c r="A1082" s="27" t="n"/>
      <c r="B1082" s="23" t="n"/>
      <c r="C1082" s="23" t="n"/>
      <c r="D1082" s="28" t="n"/>
      <c r="E1082" s="28" t="n"/>
      <c r="F1082" s="28" t="n"/>
      <c r="G1082" s="28" t="n"/>
      <c r="H1082" s="28" t="n"/>
      <c r="I1082" s="28" t="n"/>
      <c r="J1082" s="22" t="n"/>
      <c r="K1082" s="23" t="n"/>
    </row>
    <row r="1083">
      <c r="A1083" s="27" t="n"/>
      <c r="B1083" s="23" t="n"/>
      <c r="C1083" s="23" t="n"/>
      <c r="D1083" s="28" t="n"/>
      <c r="E1083" s="28" t="n"/>
      <c r="F1083" s="28" t="n"/>
      <c r="G1083" s="28" t="n"/>
      <c r="H1083" s="28" t="n"/>
      <c r="I1083" s="28" t="n"/>
      <c r="J1083" s="22" t="n"/>
      <c r="K1083" s="23" t="n"/>
    </row>
    <row r="1084">
      <c r="A1084" s="27" t="n"/>
      <c r="B1084" s="23" t="n"/>
      <c r="C1084" s="23" t="n"/>
      <c r="D1084" s="28" t="n"/>
      <c r="E1084" s="28" t="n"/>
      <c r="F1084" s="28" t="n"/>
      <c r="G1084" s="28" t="n"/>
      <c r="H1084" s="28" t="n"/>
      <c r="I1084" s="28" t="n"/>
      <c r="J1084" s="22" t="n"/>
      <c r="K1084" s="23" t="n"/>
    </row>
    <row r="1085">
      <c r="A1085" s="27" t="n"/>
      <c r="B1085" s="23" t="n"/>
      <c r="C1085" s="23" t="n"/>
      <c r="D1085" s="28" t="n"/>
      <c r="E1085" s="28" t="n"/>
      <c r="F1085" s="28" t="n"/>
      <c r="G1085" s="28" t="n"/>
      <c r="H1085" s="28" t="n"/>
      <c r="I1085" s="28" t="n"/>
      <c r="J1085" s="22" t="n"/>
      <c r="K1085" s="23" t="n"/>
    </row>
    <row r="1086">
      <c r="A1086" s="27" t="n"/>
      <c r="B1086" s="23" t="n"/>
      <c r="C1086" s="23" t="n"/>
      <c r="D1086" s="28" t="n"/>
      <c r="E1086" s="28" t="n"/>
      <c r="F1086" s="28" t="n"/>
      <c r="G1086" s="28" t="n"/>
      <c r="H1086" s="28" t="n"/>
      <c r="I1086" s="28" t="n"/>
      <c r="J1086" s="22" t="n"/>
      <c r="K1086" s="23" t="n"/>
    </row>
    <row r="1087">
      <c r="A1087" s="27" t="n"/>
      <c r="B1087" s="23" t="n"/>
      <c r="C1087" s="23" t="n"/>
      <c r="D1087" s="28" t="n"/>
      <c r="E1087" s="28" t="n"/>
      <c r="F1087" s="28" t="n"/>
      <c r="G1087" s="28" t="n"/>
      <c r="H1087" s="28" t="n"/>
      <c r="I1087" s="28" t="n"/>
      <c r="J1087" s="22" t="n"/>
      <c r="K1087" s="23" t="n"/>
    </row>
    <row r="1088">
      <c r="A1088" s="27" t="n"/>
      <c r="B1088" s="23" t="n"/>
      <c r="C1088" s="23" t="n"/>
      <c r="D1088" s="28" t="n"/>
      <c r="E1088" s="28" t="n"/>
      <c r="F1088" s="28" t="n"/>
      <c r="G1088" s="28" t="n"/>
      <c r="H1088" s="28" t="n"/>
      <c r="I1088" s="28" t="n"/>
      <c r="J1088" s="22" t="n"/>
      <c r="K1088" s="23" t="n"/>
    </row>
    <row r="1089">
      <c r="A1089" s="27" t="n"/>
      <c r="B1089" s="23" t="n"/>
      <c r="C1089" s="23" t="n"/>
      <c r="D1089" s="28" t="n"/>
      <c r="E1089" s="28" t="n"/>
      <c r="F1089" s="28" t="n"/>
      <c r="G1089" s="28" t="n"/>
      <c r="H1089" s="28" t="n"/>
      <c r="I1089" s="28" t="n"/>
      <c r="J1089" s="22" t="n"/>
      <c r="K1089" s="23" t="n"/>
    </row>
    <row r="1090">
      <c r="A1090" s="27" t="n"/>
      <c r="B1090" s="23" t="n"/>
      <c r="C1090" s="23" t="n"/>
      <c r="D1090" s="28" t="n"/>
      <c r="E1090" s="28" t="n"/>
      <c r="F1090" s="28" t="n"/>
      <c r="G1090" s="28" t="n"/>
      <c r="H1090" s="28" t="n"/>
      <c r="I1090" s="28" t="n"/>
      <c r="J1090" s="22" t="n"/>
      <c r="K1090" s="23" t="n"/>
    </row>
    <row r="1091">
      <c r="A1091" s="27" t="n"/>
      <c r="B1091" s="23" t="n"/>
      <c r="C1091" s="23" t="n"/>
      <c r="D1091" s="28" t="n"/>
      <c r="E1091" s="28" t="n"/>
      <c r="F1091" s="28" t="n"/>
      <c r="G1091" s="28" t="n"/>
      <c r="H1091" s="28" t="n"/>
      <c r="I1091" s="28" t="n"/>
      <c r="J1091" s="22" t="n"/>
      <c r="K1091" s="23" t="n"/>
    </row>
    <row r="1092">
      <c r="A1092" s="27" t="n"/>
      <c r="B1092" s="23" t="n"/>
      <c r="C1092" s="23" t="n"/>
      <c r="D1092" s="28" t="n"/>
      <c r="E1092" s="28" t="n"/>
      <c r="F1092" s="28" t="n"/>
      <c r="G1092" s="28" t="n"/>
      <c r="H1092" s="28" t="n"/>
      <c r="I1092" s="28" t="n"/>
      <c r="J1092" s="22" t="n"/>
      <c r="K1092" s="23" t="n"/>
    </row>
    <row r="1093">
      <c r="A1093" s="27" t="n"/>
      <c r="B1093" s="23" t="n"/>
      <c r="C1093" s="23" t="n"/>
      <c r="D1093" s="28" t="n"/>
      <c r="E1093" s="28" t="n"/>
      <c r="F1093" s="28" t="n"/>
      <c r="G1093" s="28" t="n"/>
      <c r="H1093" s="28" t="n"/>
      <c r="I1093" s="28" t="n"/>
      <c r="J1093" s="22" t="n"/>
      <c r="K1093" s="23" t="n"/>
    </row>
    <row r="1094">
      <c r="A1094" s="27" t="n"/>
      <c r="B1094" s="23" t="n"/>
      <c r="C1094" s="23" t="n"/>
      <c r="D1094" s="28" t="n"/>
      <c r="E1094" s="28" t="n"/>
      <c r="F1094" s="28" t="n"/>
      <c r="G1094" s="28" t="n"/>
      <c r="H1094" s="28" t="n"/>
      <c r="I1094" s="28" t="n"/>
      <c r="J1094" s="22" t="n"/>
      <c r="K1094" s="23" t="n"/>
    </row>
    <row r="1095">
      <c r="A1095" s="27" t="n"/>
      <c r="B1095" s="23" t="n"/>
      <c r="C1095" s="23" t="n"/>
      <c r="D1095" s="28" t="n"/>
      <c r="E1095" s="28" t="n"/>
      <c r="F1095" s="28" t="n"/>
      <c r="G1095" s="28" t="n"/>
      <c r="H1095" s="28" t="n"/>
      <c r="I1095" s="28" t="n"/>
      <c r="J1095" s="22" t="n"/>
      <c r="K1095" s="23" t="n"/>
    </row>
    <row r="1096">
      <c r="A1096" s="27" t="n"/>
      <c r="B1096" s="23" t="n"/>
      <c r="C1096" s="23" t="n"/>
      <c r="D1096" s="28" t="n"/>
      <c r="E1096" s="28" t="n"/>
      <c r="F1096" s="28" t="n"/>
      <c r="G1096" s="28" t="n"/>
      <c r="H1096" s="28" t="n"/>
      <c r="I1096" s="28" t="n"/>
      <c r="J1096" s="22" t="n"/>
      <c r="K1096" s="23" t="n"/>
    </row>
    <row r="1097">
      <c r="A1097" s="27" t="n"/>
      <c r="B1097" s="23" t="n"/>
      <c r="C1097" s="23" t="n"/>
      <c r="D1097" s="28" t="n"/>
      <c r="E1097" s="28" t="n"/>
      <c r="F1097" s="28" t="n"/>
      <c r="G1097" s="28" t="n"/>
      <c r="H1097" s="28" t="n"/>
      <c r="I1097" s="28" t="n"/>
      <c r="J1097" s="22" t="n"/>
      <c r="K1097" s="23" t="n"/>
    </row>
    <row r="1098">
      <c r="A1098" s="27" t="n"/>
      <c r="B1098" s="23" t="n"/>
      <c r="C1098" s="23" t="n"/>
      <c r="D1098" s="28" t="n"/>
      <c r="E1098" s="28" t="n"/>
      <c r="F1098" s="28" t="n"/>
      <c r="G1098" s="28" t="n"/>
      <c r="H1098" s="28" t="n"/>
      <c r="I1098" s="28" t="n"/>
      <c r="J1098" s="22" t="n"/>
      <c r="K1098" s="23" t="n"/>
    </row>
    <row r="1099">
      <c r="A1099" s="27" t="n"/>
      <c r="B1099" s="23" t="n"/>
      <c r="C1099" s="23" t="n"/>
      <c r="D1099" s="28" t="n"/>
      <c r="E1099" s="28" t="n"/>
      <c r="F1099" s="28" t="n"/>
      <c r="G1099" s="28" t="n"/>
      <c r="H1099" s="28" t="n"/>
      <c r="I1099" s="28" t="n"/>
      <c r="J1099" s="22" t="n"/>
      <c r="K1099" s="23" t="n"/>
    </row>
    <row r="1100">
      <c r="A1100" s="27" t="n"/>
      <c r="B1100" s="23" t="n"/>
      <c r="C1100" s="23" t="n"/>
      <c r="D1100" s="28" t="n"/>
      <c r="E1100" s="28" t="n"/>
      <c r="F1100" s="28" t="n"/>
      <c r="G1100" s="28" t="n"/>
      <c r="H1100" s="28" t="n"/>
      <c r="I1100" s="28" t="n"/>
      <c r="J1100" s="22" t="n"/>
      <c r="K1100" s="23" t="n"/>
    </row>
    <row r="1101">
      <c r="A1101" s="27" t="n"/>
      <c r="B1101" s="23" t="n"/>
      <c r="C1101" s="23" t="n"/>
      <c r="D1101" s="28" t="n"/>
      <c r="E1101" s="28" t="n"/>
      <c r="F1101" s="28" t="n"/>
      <c r="G1101" s="28" t="n"/>
      <c r="H1101" s="28" t="n"/>
      <c r="I1101" s="28" t="n"/>
      <c r="J1101" s="22" t="n"/>
      <c r="K1101" s="23" t="n"/>
    </row>
    <row r="1102">
      <c r="A1102" s="27" t="n"/>
      <c r="B1102" s="23" t="n"/>
      <c r="C1102" s="23" t="n"/>
      <c r="D1102" s="28" t="n"/>
      <c r="E1102" s="28" t="n"/>
      <c r="F1102" s="28" t="n"/>
      <c r="G1102" s="28" t="n"/>
      <c r="H1102" s="28" t="n"/>
      <c r="I1102" s="28" t="n"/>
      <c r="J1102" s="22" t="n"/>
      <c r="K1102" s="23" t="n"/>
    </row>
    <row r="1103">
      <c r="A1103" s="27" t="n"/>
      <c r="B1103" s="23" t="n"/>
      <c r="C1103" s="23" t="n"/>
      <c r="D1103" s="28" t="n"/>
      <c r="E1103" s="28" t="n"/>
      <c r="F1103" s="28" t="n"/>
      <c r="G1103" s="28" t="n"/>
      <c r="H1103" s="28" t="n"/>
      <c r="I1103" s="28" t="n"/>
      <c r="J1103" s="22" t="n"/>
      <c r="K1103" s="23" t="n"/>
    </row>
    <row r="1104">
      <c r="A1104" s="27" t="n"/>
      <c r="B1104" s="23" t="n"/>
      <c r="C1104" s="23" t="n"/>
      <c r="D1104" s="28" t="n"/>
      <c r="E1104" s="28" t="n"/>
      <c r="F1104" s="28" t="n"/>
      <c r="G1104" s="28" t="n"/>
      <c r="H1104" s="28" t="n"/>
      <c r="I1104" s="28" t="n"/>
      <c r="J1104" s="22" t="n"/>
      <c r="K1104" s="23" t="n"/>
    </row>
    <row r="1105">
      <c r="A1105" s="27" t="n"/>
      <c r="B1105" s="23" t="n"/>
      <c r="C1105" s="23" t="n"/>
      <c r="D1105" s="28" t="n"/>
      <c r="E1105" s="28" t="n"/>
      <c r="F1105" s="28" t="n"/>
      <c r="G1105" s="28" t="n"/>
      <c r="H1105" s="28" t="n"/>
      <c r="I1105" s="28" t="n"/>
      <c r="J1105" s="22" t="n"/>
      <c r="K1105" s="23" t="n"/>
    </row>
    <row r="1106">
      <c r="A1106" s="27" t="n"/>
      <c r="B1106" s="23" t="n"/>
      <c r="C1106" s="23" t="n"/>
      <c r="D1106" s="28" t="n"/>
      <c r="E1106" s="28" t="n"/>
      <c r="F1106" s="28" t="n"/>
      <c r="G1106" s="28" t="n"/>
      <c r="H1106" s="28" t="n"/>
      <c r="I1106" s="28" t="n"/>
      <c r="J1106" s="22" t="n"/>
      <c r="K1106" s="23" t="n"/>
    </row>
    <row r="1107">
      <c r="A1107" s="27" t="n"/>
      <c r="B1107" s="23" t="n"/>
      <c r="C1107" s="23" t="n"/>
      <c r="D1107" s="28" t="n"/>
      <c r="E1107" s="28" t="n"/>
      <c r="F1107" s="28" t="n"/>
      <c r="G1107" s="28" t="n"/>
      <c r="H1107" s="28" t="n"/>
      <c r="I1107" s="28" t="n"/>
      <c r="J1107" s="22" t="n"/>
      <c r="K1107" s="23" t="n"/>
    </row>
    <row r="1108">
      <c r="A1108" s="27" t="n"/>
      <c r="B1108" s="23" t="n"/>
      <c r="C1108" s="23" t="n"/>
      <c r="D1108" s="28" t="n"/>
      <c r="E1108" s="28" t="n"/>
      <c r="F1108" s="28" t="n"/>
      <c r="G1108" s="28" t="n"/>
      <c r="H1108" s="28" t="n"/>
      <c r="I1108" s="28" t="n"/>
      <c r="J1108" s="22" t="n"/>
      <c r="K1108" s="23" t="n"/>
    </row>
    <row r="1109">
      <c r="A1109" s="27" t="n"/>
      <c r="B1109" s="23" t="n"/>
      <c r="C1109" s="23" t="n"/>
      <c r="D1109" s="28" t="n"/>
      <c r="E1109" s="28" t="n"/>
      <c r="F1109" s="28" t="n"/>
      <c r="G1109" s="28" t="n"/>
      <c r="H1109" s="28" t="n"/>
      <c r="I1109" s="28" t="n"/>
      <c r="J1109" s="22" t="n"/>
      <c r="K1109" s="23" t="n"/>
    </row>
    <row r="1110">
      <c r="A1110" s="27" t="n"/>
      <c r="B1110" s="23" t="n"/>
      <c r="C1110" s="23" t="n"/>
      <c r="D1110" s="28" t="n"/>
      <c r="E1110" s="28" t="n"/>
      <c r="F1110" s="28" t="n"/>
      <c r="G1110" s="28" t="n"/>
      <c r="H1110" s="28" t="n"/>
      <c r="I1110" s="28" t="n"/>
      <c r="J1110" s="22" t="n"/>
      <c r="K1110" s="23" t="n"/>
    </row>
    <row r="1111">
      <c r="A1111" s="27" t="n"/>
      <c r="B1111" s="23" t="n"/>
      <c r="C1111" s="23" t="n"/>
      <c r="D1111" s="28" t="n"/>
      <c r="E1111" s="28" t="n"/>
      <c r="F1111" s="28" t="n"/>
      <c r="G1111" s="28" t="n"/>
      <c r="H1111" s="28" t="n"/>
      <c r="I1111" s="28" t="n"/>
      <c r="J1111" s="22" t="n"/>
      <c r="K1111" s="23" t="n"/>
    </row>
    <row r="1112">
      <c r="A1112" s="27" t="n"/>
      <c r="B1112" s="23" t="n"/>
      <c r="C1112" s="23" t="n"/>
      <c r="D1112" s="28" t="n"/>
      <c r="E1112" s="28" t="n"/>
      <c r="F1112" s="28" t="n"/>
      <c r="G1112" s="28" t="n"/>
      <c r="H1112" s="28" t="n"/>
      <c r="I1112" s="28" t="n"/>
      <c r="J1112" s="22" t="n"/>
      <c r="K1112" s="23" t="n"/>
    </row>
    <row r="1113">
      <c r="A1113" s="27" t="n"/>
      <c r="B1113" s="23" t="n"/>
      <c r="C1113" s="23" t="n"/>
      <c r="D1113" s="28" t="n"/>
      <c r="E1113" s="28" t="n"/>
      <c r="F1113" s="28" t="n"/>
      <c r="G1113" s="28" t="n"/>
      <c r="H1113" s="28" t="n"/>
      <c r="I1113" s="28" t="n"/>
      <c r="J1113" s="22" t="n"/>
      <c r="K1113" s="23" t="n"/>
    </row>
    <row r="1114">
      <c r="A1114" s="27" t="n"/>
      <c r="B1114" s="23" t="n"/>
      <c r="C1114" s="23" t="n"/>
      <c r="D1114" s="28" t="n"/>
      <c r="E1114" s="28" t="n"/>
      <c r="F1114" s="28" t="n"/>
      <c r="G1114" s="28" t="n"/>
      <c r="H1114" s="28" t="n"/>
      <c r="I1114" s="28" t="n"/>
      <c r="J1114" s="22" t="n"/>
      <c r="K1114" s="23" t="n"/>
    </row>
    <row r="1115">
      <c r="A1115" s="27" t="n"/>
      <c r="B1115" s="23" t="n"/>
      <c r="C1115" s="23" t="n"/>
      <c r="D1115" s="28" t="n"/>
      <c r="E1115" s="28" t="n"/>
      <c r="F1115" s="28" t="n"/>
      <c r="G1115" s="28" t="n"/>
      <c r="H1115" s="28" t="n"/>
      <c r="I1115" s="28" t="n"/>
      <c r="J1115" s="22" t="n"/>
      <c r="K1115" s="23" t="n"/>
    </row>
    <row r="1116">
      <c r="A1116" s="27" t="n"/>
      <c r="B1116" s="23" t="n"/>
      <c r="C1116" s="23" t="n"/>
      <c r="D1116" s="28" t="n"/>
      <c r="E1116" s="28" t="n"/>
      <c r="F1116" s="28" t="n"/>
      <c r="G1116" s="28" t="n"/>
      <c r="H1116" s="28" t="n"/>
      <c r="I1116" s="28" t="n"/>
      <c r="J1116" s="22" t="n"/>
      <c r="K1116" s="23" t="n"/>
    </row>
    <row r="1117">
      <c r="A1117" s="27" t="n"/>
      <c r="B1117" s="23" t="n"/>
      <c r="C1117" s="23" t="n"/>
      <c r="D1117" s="28" t="n"/>
      <c r="E1117" s="28" t="n"/>
      <c r="F1117" s="28" t="n"/>
      <c r="G1117" s="28" t="n"/>
      <c r="H1117" s="28" t="n"/>
      <c r="I1117" s="28" t="n"/>
      <c r="J1117" s="22" t="n"/>
      <c r="K1117" s="23" t="n"/>
    </row>
    <row r="1118">
      <c r="A1118" s="27" t="n"/>
      <c r="B1118" s="23" t="n"/>
      <c r="C1118" s="23" t="n"/>
      <c r="D1118" s="28" t="n"/>
      <c r="E1118" s="28" t="n"/>
      <c r="F1118" s="28" t="n"/>
      <c r="G1118" s="28" t="n"/>
      <c r="H1118" s="28" t="n"/>
      <c r="I1118" s="28" t="n"/>
      <c r="J1118" s="22" t="n"/>
      <c r="K1118" s="23" t="n"/>
    </row>
    <row r="1119">
      <c r="A1119" s="27" t="n"/>
      <c r="B1119" s="23" t="n"/>
      <c r="C1119" s="23" t="n"/>
      <c r="D1119" s="28" t="n"/>
      <c r="E1119" s="28" t="n"/>
      <c r="F1119" s="28" t="n"/>
      <c r="G1119" s="28" t="n"/>
      <c r="H1119" s="28" t="n"/>
      <c r="I1119" s="28" t="n"/>
      <c r="J1119" s="22" t="n"/>
      <c r="K1119" s="23" t="n"/>
    </row>
    <row r="1120">
      <c r="A1120" s="27" t="n"/>
      <c r="B1120" s="23" t="n"/>
      <c r="C1120" s="23" t="n"/>
      <c r="D1120" s="28" t="n"/>
      <c r="E1120" s="28" t="n"/>
      <c r="F1120" s="28" t="n"/>
      <c r="G1120" s="28" t="n"/>
      <c r="H1120" s="28" t="n"/>
      <c r="I1120" s="28" t="n"/>
      <c r="J1120" s="22" t="n"/>
      <c r="K1120" s="23" t="n"/>
    </row>
    <row r="1121">
      <c r="A1121" s="27" t="n"/>
      <c r="B1121" s="23" t="n"/>
      <c r="C1121" s="23" t="n"/>
      <c r="D1121" s="28" t="n"/>
      <c r="E1121" s="28" t="n"/>
      <c r="F1121" s="28" t="n"/>
      <c r="G1121" s="28" t="n"/>
      <c r="H1121" s="28" t="n"/>
      <c r="I1121" s="28" t="n"/>
      <c r="J1121" s="22" t="n"/>
      <c r="K1121" s="23" t="n"/>
    </row>
    <row r="1122">
      <c r="A1122" s="27" t="n"/>
      <c r="B1122" s="23" t="n"/>
      <c r="C1122" s="23" t="n"/>
      <c r="D1122" s="28" t="n"/>
      <c r="E1122" s="28" t="n"/>
      <c r="F1122" s="28" t="n"/>
      <c r="G1122" s="28" t="n"/>
      <c r="H1122" s="28" t="n"/>
      <c r="I1122" s="28" t="n"/>
      <c r="J1122" s="22" t="n"/>
      <c r="K1122" s="23" t="n"/>
    </row>
    <row r="1123">
      <c r="A1123" s="27" t="n"/>
      <c r="B1123" s="23" t="n"/>
      <c r="C1123" s="23" t="n"/>
      <c r="D1123" s="28" t="n"/>
      <c r="E1123" s="28" t="n"/>
      <c r="F1123" s="28" t="n"/>
      <c r="G1123" s="28" t="n"/>
      <c r="H1123" s="28" t="n"/>
      <c r="I1123" s="28" t="n"/>
      <c r="J1123" s="22" t="n"/>
      <c r="K1123" s="23" t="n"/>
    </row>
    <row r="1124">
      <c r="A1124" s="27" t="n"/>
      <c r="B1124" s="23" t="n"/>
      <c r="C1124" s="23" t="n"/>
      <c r="D1124" s="28" t="n"/>
      <c r="E1124" s="28" t="n"/>
      <c r="F1124" s="28" t="n"/>
      <c r="G1124" s="28" t="n"/>
      <c r="H1124" s="28" t="n"/>
      <c r="I1124" s="28" t="n"/>
      <c r="J1124" s="22" t="n"/>
      <c r="K1124" s="23" t="n"/>
    </row>
    <row r="1125">
      <c r="A1125" s="27" t="n"/>
      <c r="B1125" s="23" t="n"/>
      <c r="C1125" s="23" t="n"/>
      <c r="D1125" s="28" t="n"/>
      <c r="E1125" s="28" t="n"/>
      <c r="F1125" s="28" t="n"/>
      <c r="G1125" s="28" t="n"/>
      <c r="H1125" s="28" t="n"/>
      <c r="I1125" s="28" t="n"/>
      <c r="J1125" s="22" t="n"/>
      <c r="K1125" s="23" t="n"/>
    </row>
    <row r="1126">
      <c r="A1126" s="27" t="n"/>
      <c r="B1126" s="23" t="n"/>
      <c r="C1126" s="23" t="n"/>
      <c r="D1126" s="28" t="n"/>
      <c r="E1126" s="28" t="n"/>
      <c r="F1126" s="28" t="n"/>
      <c r="G1126" s="28" t="n"/>
      <c r="H1126" s="28" t="n"/>
      <c r="I1126" s="28" t="n"/>
      <c r="J1126" s="22" t="n"/>
      <c r="K1126" s="23" t="n"/>
    </row>
    <row r="1127">
      <c r="A1127" s="27" t="n"/>
      <c r="B1127" s="23" t="n"/>
      <c r="C1127" s="23" t="n"/>
      <c r="D1127" s="28" t="n"/>
      <c r="E1127" s="28" t="n"/>
      <c r="F1127" s="28" t="n"/>
      <c r="G1127" s="28" t="n"/>
      <c r="H1127" s="28" t="n"/>
      <c r="I1127" s="28" t="n"/>
      <c r="J1127" s="22" t="n"/>
      <c r="K1127" s="23" t="n"/>
    </row>
    <row r="1128">
      <c r="A1128" s="27" t="n"/>
      <c r="B1128" s="23" t="n"/>
      <c r="C1128" s="23" t="n"/>
      <c r="D1128" s="28" t="n"/>
      <c r="E1128" s="28" t="n"/>
      <c r="F1128" s="28" t="n"/>
      <c r="G1128" s="28" t="n"/>
      <c r="H1128" s="28" t="n"/>
      <c r="I1128" s="28" t="n"/>
      <c r="J1128" s="22" t="n"/>
      <c r="K1128" s="23" t="n"/>
    </row>
    <row r="1129">
      <c r="A1129" s="27" t="n"/>
      <c r="B1129" s="23" t="n"/>
      <c r="C1129" s="23" t="n"/>
      <c r="D1129" s="28" t="n"/>
      <c r="E1129" s="28" t="n"/>
      <c r="F1129" s="28" t="n"/>
      <c r="G1129" s="28" t="n"/>
      <c r="H1129" s="28" t="n"/>
      <c r="I1129" s="28" t="n"/>
      <c r="J1129" s="22" t="n"/>
      <c r="K1129" s="23" t="n"/>
    </row>
    <row r="1130">
      <c r="A1130" s="27" t="n"/>
      <c r="B1130" s="23" t="n"/>
      <c r="C1130" s="23" t="n"/>
      <c r="D1130" s="28" t="n"/>
      <c r="E1130" s="28" t="n"/>
      <c r="F1130" s="28" t="n"/>
      <c r="G1130" s="28" t="n"/>
      <c r="H1130" s="28" t="n"/>
      <c r="I1130" s="28" t="n"/>
      <c r="J1130" s="22" t="n"/>
      <c r="K1130" s="23" t="n"/>
    </row>
    <row r="1131">
      <c r="A1131" s="27" t="n"/>
      <c r="B1131" s="23" t="n"/>
      <c r="C1131" s="23" t="n"/>
      <c r="D1131" s="28" t="n"/>
      <c r="E1131" s="28" t="n"/>
      <c r="F1131" s="28" t="n"/>
      <c r="G1131" s="28" t="n"/>
      <c r="H1131" s="28" t="n"/>
      <c r="I1131" s="28" t="n"/>
      <c r="J1131" s="22" t="n"/>
      <c r="K1131" s="23" t="n"/>
    </row>
    <row r="1132">
      <c r="A1132" s="27" t="n"/>
      <c r="B1132" s="23" t="n"/>
      <c r="C1132" s="23" t="n"/>
      <c r="D1132" s="28" t="n"/>
      <c r="E1132" s="28" t="n"/>
      <c r="F1132" s="28" t="n"/>
      <c r="G1132" s="28" t="n"/>
      <c r="H1132" s="28" t="n"/>
      <c r="I1132" s="28" t="n"/>
      <c r="J1132" s="22" t="n"/>
      <c r="K1132" s="23" t="n"/>
    </row>
    <row r="1133">
      <c r="A1133" s="27" t="n"/>
      <c r="B1133" s="23" t="n"/>
      <c r="C1133" s="23" t="n"/>
      <c r="D1133" s="28" t="n"/>
      <c r="E1133" s="28" t="n"/>
      <c r="F1133" s="28" t="n"/>
      <c r="G1133" s="28" t="n"/>
      <c r="H1133" s="28" t="n"/>
      <c r="I1133" s="28" t="n"/>
      <c r="J1133" s="22" t="n"/>
      <c r="K1133" s="23" t="n"/>
    </row>
    <row r="1134">
      <c r="A1134" s="27" t="n"/>
      <c r="B1134" s="23" t="n"/>
      <c r="C1134" s="23" t="n"/>
      <c r="D1134" s="28" t="n"/>
      <c r="E1134" s="28" t="n"/>
      <c r="F1134" s="28" t="n"/>
      <c r="G1134" s="28" t="n"/>
      <c r="H1134" s="28" t="n"/>
      <c r="I1134" s="28" t="n"/>
      <c r="J1134" s="22" t="n"/>
      <c r="K1134" s="23" t="n"/>
    </row>
    <row r="1135">
      <c r="A1135" s="27" t="n"/>
      <c r="B1135" s="23" t="n"/>
      <c r="C1135" s="23" t="n"/>
      <c r="D1135" s="28" t="n"/>
      <c r="E1135" s="28" t="n"/>
      <c r="F1135" s="28" t="n"/>
      <c r="G1135" s="28" t="n"/>
      <c r="H1135" s="28" t="n"/>
      <c r="I1135" s="28" t="n"/>
      <c r="J1135" s="22" t="n"/>
      <c r="K1135" s="23" t="n"/>
    </row>
    <row r="1136">
      <c r="A1136" s="27" t="n"/>
      <c r="B1136" s="23" t="n"/>
      <c r="C1136" s="23" t="n"/>
      <c r="D1136" s="28" t="n"/>
      <c r="E1136" s="28" t="n"/>
      <c r="F1136" s="28" t="n"/>
      <c r="G1136" s="28" t="n"/>
      <c r="H1136" s="28" t="n"/>
      <c r="I1136" s="28" t="n"/>
      <c r="J1136" s="22" t="n"/>
      <c r="K1136" s="23" t="n"/>
    </row>
    <row r="1137">
      <c r="A1137" s="27" t="n"/>
      <c r="B1137" s="23" t="n"/>
      <c r="C1137" s="23" t="n"/>
      <c r="D1137" s="28" t="n"/>
      <c r="E1137" s="28" t="n"/>
      <c r="F1137" s="28" t="n"/>
      <c r="G1137" s="28" t="n"/>
      <c r="H1137" s="28" t="n"/>
      <c r="I1137" s="28" t="n"/>
      <c r="J1137" s="22" t="n"/>
      <c r="K1137" s="23" t="n"/>
    </row>
    <row r="1138">
      <c r="A1138" s="27" t="n"/>
      <c r="B1138" s="23" t="n"/>
      <c r="C1138" s="23" t="n"/>
      <c r="D1138" s="28" t="n"/>
      <c r="E1138" s="28" t="n"/>
      <c r="F1138" s="28" t="n"/>
      <c r="G1138" s="28" t="n"/>
      <c r="H1138" s="28" t="n"/>
      <c r="I1138" s="28" t="n"/>
      <c r="J1138" s="22" t="n"/>
      <c r="K1138" s="23" t="n"/>
    </row>
    <row r="1139">
      <c r="A1139" s="27" t="n"/>
      <c r="B1139" s="23" t="n"/>
      <c r="C1139" s="23" t="n"/>
      <c r="D1139" s="28" t="n"/>
      <c r="E1139" s="28" t="n"/>
      <c r="F1139" s="28" t="n"/>
      <c r="G1139" s="28" t="n"/>
      <c r="H1139" s="28" t="n"/>
      <c r="I1139" s="28" t="n"/>
      <c r="J1139" s="22" t="n"/>
      <c r="K1139" s="23" t="n"/>
    </row>
    <row r="1140">
      <c r="A1140" s="27" t="n"/>
      <c r="B1140" s="23" t="n"/>
      <c r="C1140" s="23" t="n"/>
      <c r="D1140" s="28" t="n"/>
      <c r="E1140" s="28" t="n"/>
      <c r="F1140" s="28" t="n"/>
      <c r="G1140" s="28" t="n"/>
      <c r="H1140" s="28" t="n"/>
      <c r="I1140" s="28" t="n"/>
      <c r="J1140" s="22" t="n"/>
      <c r="K1140" s="23" t="n"/>
    </row>
    <row r="1141">
      <c r="A1141" s="27" t="n"/>
      <c r="B1141" s="23" t="n"/>
      <c r="C1141" s="23" t="n"/>
      <c r="D1141" s="28" t="n"/>
      <c r="E1141" s="28" t="n"/>
      <c r="F1141" s="28" t="n"/>
      <c r="G1141" s="28" t="n"/>
      <c r="H1141" s="28" t="n"/>
      <c r="I1141" s="28" t="n"/>
      <c r="J1141" s="22" t="n"/>
      <c r="K1141" s="23" t="n"/>
    </row>
    <row r="1142">
      <c r="A1142" s="27" t="n"/>
      <c r="B1142" s="23" t="n"/>
      <c r="C1142" s="23" t="n"/>
      <c r="D1142" s="28" t="n"/>
      <c r="E1142" s="28" t="n"/>
      <c r="F1142" s="28" t="n"/>
      <c r="G1142" s="28" t="n"/>
      <c r="H1142" s="28" t="n"/>
      <c r="I1142" s="28" t="n"/>
      <c r="J1142" s="22" t="n"/>
      <c r="K1142" s="23" t="n"/>
    </row>
    <row r="1143">
      <c r="A1143" s="27" t="n"/>
      <c r="B1143" s="23" t="n"/>
      <c r="C1143" s="23" t="n"/>
      <c r="D1143" s="28" t="n"/>
      <c r="E1143" s="28" t="n"/>
      <c r="F1143" s="28" t="n"/>
      <c r="G1143" s="28" t="n"/>
      <c r="H1143" s="28" t="n"/>
      <c r="I1143" s="28" t="n"/>
      <c r="J1143" s="22" t="n"/>
      <c r="K1143" s="23" t="n"/>
    </row>
    <row r="1144">
      <c r="A1144" s="27" t="n"/>
      <c r="B1144" s="23" t="n"/>
      <c r="C1144" s="23" t="n"/>
      <c r="D1144" s="28" t="n"/>
      <c r="E1144" s="28" t="n"/>
      <c r="F1144" s="28" t="n"/>
      <c r="G1144" s="28" t="n"/>
      <c r="H1144" s="28" t="n"/>
      <c r="I1144" s="28" t="n"/>
      <c r="J1144" s="22" t="n"/>
      <c r="K1144" s="23" t="n"/>
    </row>
    <row r="1145">
      <c r="A1145" s="27" t="n"/>
      <c r="B1145" s="23" t="n"/>
      <c r="C1145" s="23" t="n"/>
      <c r="D1145" s="28" t="n"/>
      <c r="E1145" s="28" t="n"/>
      <c r="F1145" s="28" t="n"/>
      <c r="G1145" s="28" t="n"/>
      <c r="H1145" s="28" t="n"/>
      <c r="I1145" s="28" t="n"/>
      <c r="J1145" s="22" t="n"/>
      <c r="K1145" s="23" t="n"/>
    </row>
    <row r="1146">
      <c r="A1146" s="27" t="n"/>
      <c r="B1146" s="23" t="n"/>
      <c r="C1146" s="23" t="n"/>
      <c r="D1146" s="28" t="n"/>
      <c r="E1146" s="28" t="n"/>
      <c r="F1146" s="28" t="n"/>
      <c r="G1146" s="28" t="n"/>
      <c r="H1146" s="28" t="n"/>
      <c r="I1146" s="28" t="n"/>
      <c r="J1146" s="22" t="n"/>
      <c r="K1146" s="23" t="n"/>
    </row>
    <row r="1147">
      <c r="A1147" s="27" t="n"/>
      <c r="B1147" s="23" t="n"/>
      <c r="C1147" s="23" t="n"/>
      <c r="D1147" s="28" t="n"/>
      <c r="E1147" s="28" t="n"/>
      <c r="F1147" s="28" t="n"/>
      <c r="G1147" s="28" t="n"/>
      <c r="H1147" s="28" t="n"/>
      <c r="I1147" s="28" t="n"/>
      <c r="J1147" s="22" t="n"/>
      <c r="K1147" s="23" t="n"/>
    </row>
    <row r="1148">
      <c r="A1148" s="27" t="n"/>
      <c r="B1148" s="23" t="n"/>
      <c r="C1148" s="23" t="n"/>
      <c r="D1148" s="28" t="n"/>
      <c r="E1148" s="28" t="n"/>
      <c r="F1148" s="28" t="n"/>
      <c r="G1148" s="28" t="n"/>
      <c r="H1148" s="28" t="n"/>
      <c r="I1148" s="28" t="n"/>
      <c r="J1148" s="22" t="n"/>
      <c r="K1148" s="23" t="n"/>
    </row>
    <row r="1149">
      <c r="A1149" s="27" t="n"/>
      <c r="B1149" s="23" t="n"/>
      <c r="C1149" s="23" t="n"/>
      <c r="D1149" s="28" t="n"/>
      <c r="E1149" s="28" t="n"/>
      <c r="F1149" s="28" t="n"/>
      <c r="G1149" s="28" t="n"/>
      <c r="H1149" s="28" t="n"/>
      <c r="I1149" s="28" t="n"/>
      <c r="J1149" s="22" t="n"/>
      <c r="K1149" s="23" t="n"/>
    </row>
    <row r="1150">
      <c r="A1150" s="27" t="n"/>
      <c r="B1150" s="23" t="n"/>
      <c r="C1150" s="23" t="n"/>
      <c r="D1150" s="28" t="n"/>
      <c r="E1150" s="28" t="n"/>
      <c r="F1150" s="28" t="n"/>
      <c r="G1150" s="28" t="n"/>
      <c r="H1150" s="28" t="n"/>
      <c r="I1150" s="28" t="n"/>
      <c r="J1150" s="22" t="n"/>
      <c r="K1150" s="23" t="n"/>
    </row>
    <row r="1151">
      <c r="A1151" s="27" t="n"/>
      <c r="B1151" s="23" t="n"/>
      <c r="C1151" s="23" t="n"/>
      <c r="D1151" s="28" t="n"/>
      <c r="E1151" s="28" t="n"/>
      <c r="F1151" s="28" t="n"/>
      <c r="G1151" s="28" t="n"/>
      <c r="H1151" s="28" t="n"/>
      <c r="I1151" s="28" t="n"/>
      <c r="J1151" s="22" t="n"/>
      <c r="K1151" s="23" t="n"/>
    </row>
    <row r="1152">
      <c r="A1152" s="27" t="n"/>
      <c r="B1152" s="23" t="n"/>
      <c r="C1152" s="23" t="n"/>
      <c r="D1152" s="28" t="n"/>
      <c r="E1152" s="28" t="n"/>
      <c r="F1152" s="28" t="n"/>
      <c r="G1152" s="28" t="n"/>
      <c r="H1152" s="28" t="n"/>
      <c r="I1152" s="28" t="n"/>
      <c r="J1152" s="22" t="n"/>
      <c r="K1152" s="23" t="n"/>
    </row>
    <row r="1153">
      <c r="A1153" s="27" t="n"/>
      <c r="B1153" s="23" t="n"/>
      <c r="C1153" s="23" t="n"/>
      <c r="D1153" s="28" t="n"/>
      <c r="E1153" s="28" t="n"/>
      <c r="F1153" s="28" t="n"/>
      <c r="G1153" s="28" t="n"/>
      <c r="H1153" s="28" t="n"/>
      <c r="I1153" s="28" t="n"/>
      <c r="J1153" s="22" t="n"/>
      <c r="K1153" s="23" t="n"/>
    </row>
    <row r="1154">
      <c r="A1154" s="27" t="n"/>
      <c r="B1154" s="23" t="n"/>
      <c r="C1154" s="23" t="n"/>
      <c r="D1154" s="28" t="n"/>
      <c r="E1154" s="28" t="n"/>
      <c r="F1154" s="28" t="n"/>
      <c r="G1154" s="28" t="n"/>
      <c r="H1154" s="28" t="n"/>
      <c r="I1154" s="28" t="n"/>
      <c r="J1154" s="22" t="n"/>
      <c r="K1154" s="23" t="n"/>
    </row>
    <row r="1155">
      <c r="A1155" s="27" t="n"/>
      <c r="B1155" s="23" t="n"/>
      <c r="C1155" s="23" t="n"/>
      <c r="D1155" s="28" t="n"/>
      <c r="E1155" s="28" t="n"/>
      <c r="F1155" s="28" t="n"/>
      <c r="G1155" s="28" t="n"/>
      <c r="H1155" s="28" t="n"/>
      <c r="I1155" s="28" t="n"/>
      <c r="J1155" s="22" t="n"/>
      <c r="K1155" s="23" t="n"/>
    </row>
    <row r="1156">
      <c r="A1156" s="27" t="n"/>
      <c r="B1156" s="23" t="n"/>
      <c r="C1156" s="23" t="n"/>
      <c r="D1156" s="28" t="n"/>
      <c r="E1156" s="28" t="n"/>
      <c r="F1156" s="28" t="n"/>
      <c r="G1156" s="28" t="n"/>
      <c r="H1156" s="28" t="n"/>
      <c r="I1156" s="28" t="n"/>
      <c r="J1156" s="22" t="n"/>
      <c r="K1156" s="23" t="n"/>
    </row>
    <row r="1157">
      <c r="A1157" s="27" t="n"/>
      <c r="B1157" s="23" t="n"/>
      <c r="C1157" s="23" t="n"/>
      <c r="D1157" s="28" t="n"/>
      <c r="E1157" s="28" t="n"/>
      <c r="F1157" s="28" t="n"/>
      <c r="G1157" s="28" t="n"/>
      <c r="H1157" s="28" t="n"/>
      <c r="I1157" s="28" t="n"/>
      <c r="J1157" s="22" t="n"/>
      <c r="K1157" s="23" t="n"/>
    </row>
    <row r="1158">
      <c r="A1158" s="27" t="n"/>
      <c r="B1158" s="23" t="n"/>
      <c r="C1158" s="23" t="n"/>
      <c r="D1158" s="28" t="n"/>
      <c r="E1158" s="28" t="n"/>
      <c r="F1158" s="28" t="n"/>
      <c r="G1158" s="28" t="n"/>
      <c r="H1158" s="28" t="n"/>
      <c r="I1158" s="28" t="n"/>
      <c r="J1158" s="22" t="n"/>
      <c r="K1158" s="23" t="n"/>
    </row>
    <row r="1159">
      <c r="A1159" s="27" t="n"/>
      <c r="B1159" s="23" t="n"/>
      <c r="C1159" s="23" t="n"/>
      <c r="D1159" s="28" t="n"/>
      <c r="E1159" s="28" t="n"/>
      <c r="F1159" s="28" t="n"/>
      <c r="G1159" s="28" t="n"/>
      <c r="H1159" s="28" t="n"/>
      <c r="I1159" s="28" t="n"/>
      <c r="J1159" s="22" t="n"/>
      <c r="K1159" s="23" t="n"/>
    </row>
    <row r="1160">
      <c r="A1160" s="27" t="n"/>
      <c r="B1160" s="23" t="n"/>
      <c r="C1160" s="23" t="n"/>
      <c r="D1160" s="28" t="n"/>
      <c r="E1160" s="28" t="n"/>
      <c r="F1160" s="28" t="n"/>
      <c r="G1160" s="28" t="n"/>
      <c r="H1160" s="28" t="n"/>
      <c r="I1160" s="28" t="n"/>
      <c r="J1160" s="22" t="n"/>
      <c r="K1160" s="23" t="n"/>
    </row>
    <row r="1161">
      <c r="A1161" s="27" t="n"/>
      <c r="B1161" s="23" t="n"/>
      <c r="C1161" s="23" t="n"/>
      <c r="D1161" s="28" t="n"/>
      <c r="E1161" s="28" t="n"/>
      <c r="F1161" s="28" t="n"/>
      <c r="G1161" s="28" t="n"/>
      <c r="H1161" s="28" t="n"/>
      <c r="I1161" s="28" t="n"/>
      <c r="J1161" s="22" t="n"/>
      <c r="K1161" s="23" t="n"/>
    </row>
    <row r="1162">
      <c r="A1162" s="27" t="n"/>
      <c r="B1162" s="23" t="n"/>
      <c r="C1162" s="23" t="n"/>
      <c r="D1162" s="28" t="n"/>
      <c r="E1162" s="28" t="n"/>
      <c r="F1162" s="28" t="n"/>
      <c r="G1162" s="28" t="n"/>
      <c r="H1162" s="28" t="n"/>
      <c r="I1162" s="28" t="n"/>
      <c r="J1162" s="22" t="n"/>
      <c r="K1162" s="23" t="n"/>
    </row>
    <row r="1163">
      <c r="A1163" s="27" t="n"/>
      <c r="B1163" s="23" t="n"/>
      <c r="C1163" s="23" t="n"/>
      <c r="D1163" s="28" t="n"/>
      <c r="E1163" s="28" t="n"/>
      <c r="F1163" s="28" t="n"/>
      <c r="G1163" s="28" t="n"/>
      <c r="H1163" s="28" t="n"/>
      <c r="I1163" s="28" t="n"/>
      <c r="J1163" s="22" t="n"/>
      <c r="K1163" s="23" t="n"/>
    </row>
    <row r="1164">
      <c r="A1164" s="27" t="n"/>
      <c r="B1164" s="23" t="n"/>
      <c r="C1164" s="23" t="n"/>
      <c r="D1164" s="28" t="n"/>
      <c r="E1164" s="28" t="n"/>
      <c r="F1164" s="28" t="n"/>
      <c r="G1164" s="28" t="n"/>
      <c r="H1164" s="28" t="n"/>
      <c r="I1164" s="28" t="n"/>
      <c r="J1164" s="22" t="n"/>
      <c r="K1164" s="23" t="n"/>
    </row>
    <row r="1165">
      <c r="A1165" s="27" t="n"/>
      <c r="B1165" s="23" t="n"/>
      <c r="C1165" s="23" t="n"/>
      <c r="D1165" s="28" t="n"/>
      <c r="E1165" s="28" t="n"/>
      <c r="F1165" s="28" t="n"/>
      <c r="G1165" s="28" t="n"/>
      <c r="H1165" s="28" t="n"/>
      <c r="I1165" s="28" t="n"/>
      <c r="J1165" s="22" t="n"/>
      <c r="K1165" s="23" t="n"/>
    </row>
    <row r="1166">
      <c r="A1166" s="27" t="n"/>
      <c r="B1166" s="23" t="n"/>
      <c r="C1166" s="23" t="n"/>
      <c r="D1166" s="28" t="n"/>
      <c r="E1166" s="28" t="n"/>
      <c r="F1166" s="28" t="n"/>
      <c r="G1166" s="28" t="n"/>
      <c r="H1166" s="28" t="n"/>
      <c r="I1166" s="28" t="n"/>
      <c r="J1166" s="22" t="n"/>
      <c r="K1166" s="23" t="n"/>
    </row>
    <row r="1167">
      <c r="A1167" s="27" t="n"/>
      <c r="B1167" s="23" t="n"/>
      <c r="C1167" s="23" t="n"/>
      <c r="D1167" s="28" t="n"/>
      <c r="E1167" s="28" t="n"/>
      <c r="F1167" s="28" t="n"/>
      <c r="G1167" s="28" t="n"/>
      <c r="H1167" s="28" t="n"/>
      <c r="I1167" s="28" t="n"/>
      <c r="J1167" s="22" t="n"/>
      <c r="K1167" s="23" t="n"/>
    </row>
    <row r="1168">
      <c r="A1168" s="27" t="n"/>
      <c r="B1168" s="23" t="n"/>
      <c r="C1168" s="23" t="n"/>
      <c r="D1168" s="28" t="n"/>
      <c r="E1168" s="28" t="n"/>
      <c r="F1168" s="28" t="n"/>
      <c r="G1168" s="28" t="n"/>
      <c r="H1168" s="28" t="n"/>
      <c r="I1168" s="28" t="n"/>
      <c r="J1168" s="22" t="n"/>
      <c r="K1168" s="23" t="n"/>
    </row>
    <row r="1169">
      <c r="A1169" s="27" t="n"/>
      <c r="B1169" s="23" t="n"/>
      <c r="C1169" s="23" t="n"/>
      <c r="D1169" s="28" t="n"/>
      <c r="E1169" s="28" t="n"/>
      <c r="F1169" s="28" t="n"/>
      <c r="G1169" s="28" t="n"/>
      <c r="H1169" s="28" t="n"/>
      <c r="I1169" s="28" t="n"/>
      <c r="J1169" s="22" t="n"/>
      <c r="K1169" s="23" t="n"/>
    </row>
    <row r="1170">
      <c r="A1170" s="27" t="n"/>
      <c r="B1170" s="23" t="n"/>
      <c r="C1170" s="23" t="n"/>
      <c r="D1170" s="28" t="n"/>
      <c r="E1170" s="28" t="n"/>
      <c r="F1170" s="28" t="n"/>
      <c r="G1170" s="28" t="n"/>
      <c r="H1170" s="28" t="n"/>
      <c r="I1170" s="28" t="n"/>
      <c r="J1170" s="22" t="n"/>
      <c r="K1170" s="23" t="n"/>
    </row>
    <row r="1171">
      <c r="A1171" s="27" t="n"/>
      <c r="B1171" s="23" t="n"/>
      <c r="C1171" s="23" t="n"/>
      <c r="D1171" s="28" t="n"/>
      <c r="E1171" s="28" t="n"/>
      <c r="F1171" s="28" t="n"/>
      <c r="G1171" s="28" t="n"/>
      <c r="H1171" s="28" t="n"/>
      <c r="I1171" s="28" t="n"/>
      <c r="J1171" s="22" t="n"/>
      <c r="K1171" s="23" t="n"/>
    </row>
    <row r="1172">
      <c r="A1172" s="27" t="n"/>
      <c r="B1172" s="23" t="n"/>
      <c r="C1172" s="23" t="n"/>
      <c r="D1172" s="28" t="n"/>
      <c r="E1172" s="28" t="n"/>
      <c r="F1172" s="28" t="n"/>
      <c r="G1172" s="28" t="n"/>
      <c r="H1172" s="28" t="n"/>
      <c r="I1172" s="28" t="n"/>
      <c r="J1172" s="22" t="n"/>
      <c r="K1172" s="23" t="n"/>
    </row>
    <row r="1173">
      <c r="A1173" s="27" t="n"/>
      <c r="B1173" s="23" t="n"/>
      <c r="C1173" s="23" t="n"/>
      <c r="D1173" s="28" t="n"/>
      <c r="E1173" s="28" t="n"/>
      <c r="F1173" s="28" t="n"/>
      <c r="G1173" s="28" t="n"/>
      <c r="H1173" s="28" t="n"/>
      <c r="I1173" s="28" t="n"/>
      <c r="J1173" s="22" t="n"/>
      <c r="K1173" s="23" t="n"/>
    </row>
    <row r="1174">
      <c r="A1174" s="27" t="n"/>
      <c r="B1174" s="23" t="n"/>
      <c r="C1174" s="23" t="n"/>
      <c r="D1174" s="28" t="n"/>
      <c r="E1174" s="28" t="n"/>
      <c r="F1174" s="28" t="n"/>
      <c r="G1174" s="28" t="n"/>
      <c r="H1174" s="28" t="n"/>
      <c r="I1174" s="28" t="n"/>
      <c r="J1174" s="22" t="n"/>
      <c r="K1174" s="23" t="n"/>
    </row>
    <row r="1175">
      <c r="A1175" s="27" t="n"/>
      <c r="B1175" s="23" t="n"/>
      <c r="C1175" s="23" t="n"/>
      <c r="D1175" s="28" t="n"/>
      <c r="E1175" s="28" t="n"/>
      <c r="F1175" s="28" t="n"/>
      <c r="G1175" s="28" t="n"/>
      <c r="H1175" s="28" t="n"/>
      <c r="I1175" s="28" t="n"/>
      <c r="J1175" s="22" t="n"/>
      <c r="K1175" s="23" t="n"/>
    </row>
    <row r="1176">
      <c r="A1176" s="27" t="n"/>
      <c r="B1176" s="23" t="n"/>
      <c r="C1176" s="23" t="n"/>
      <c r="D1176" s="28" t="n"/>
      <c r="E1176" s="28" t="n"/>
      <c r="F1176" s="28" t="n"/>
      <c r="G1176" s="28" t="n"/>
      <c r="H1176" s="28" t="n"/>
      <c r="I1176" s="28" t="n"/>
      <c r="J1176" s="22" t="n"/>
      <c r="K1176" s="23" t="n"/>
    </row>
    <row r="1177">
      <c r="A1177" s="27" t="n"/>
      <c r="B1177" s="23" t="n"/>
      <c r="C1177" s="23" t="n"/>
      <c r="D1177" s="28" t="n"/>
      <c r="E1177" s="28" t="n"/>
      <c r="F1177" s="28" t="n"/>
      <c r="G1177" s="28" t="n"/>
      <c r="H1177" s="28" t="n"/>
      <c r="I1177" s="28" t="n"/>
      <c r="J1177" s="22" t="n"/>
      <c r="K1177" s="23" t="n"/>
    </row>
    <row r="1178">
      <c r="A1178" s="27" t="n"/>
      <c r="B1178" s="23" t="n"/>
      <c r="C1178" s="23" t="n"/>
      <c r="D1178" s="28" t="n"/>
      <c r="E1178" s="28" t="n"/>
      <c r="F1178" s="28" t="n"/>
      <c r="G1178" s="28" t="n"/>
      <c r="H1178" s="28" t="n"/>
      <c r="I1178" s="28" t="n"/>
      <c r="J1178" s="22" t="n"/>
      <c r="K1178" s="23" t="n"/>
    </row>
    <row r="1179">
      <c r="A1179" s="27" t="n"/>
      <c r="B1179" s="23" t="n"/>
      <c r="C1179" s="23" t="n"/>
      <c r="D1179" s="28" t="n"/>
      <c r="E1179" s="28" t="n"/>
      <c r="F1179" s="28" t="n"/>
      <c r="G1179" s="28" t="n"/>
      <c r="H1179" s="28" t="n"/>
      <c r="I1179" s="28" t="n"/>
      <c r="J1179" s="22" t="n"/>
      <c r="K1179" s="23" t="n"/>
    </row>
    <row r="1180">
      <c r="A1180" s="27" t="n"/>
      <c r="B1180" s="23" t="n"/>
      <c r="C1180" s="23" t="n"/>
      <c r="D1180" s="28" t="n"/>
      <c r="E1180" s="28" t="n"/>
      <c r="F1180" s="28" t="n"/>
      <c r="G1180" s="28" t="n"/>
      <c r="H1180" s="28" t="n"/>
      <c r="I1180" s="28" t="n"/>
      <c r="J1180" s="22" t="n"/>
      <c r="K1180" s="23" t="n"/>
    </row>
    <row r="1181">
      <c r="A1181" s="27" t="n"/>
      <c r="B1181" s="23" t="n"/>
      <c r="C1181" s="23" t="n"/>
      <c r="D1181" s="28" t="n"/>
      <c r="E1181" s="28" t="n"/>
      <c r="F1181" s="28" t="n"/>
      <c r="G1181" s="28" t="n"/>
      <c r="H1181" s="28" t="n"/>
      <c r="I1181" s="28" t="n"/>
      <c r="J1181" s="22" t="n"/>
      <c r="K1181" s="23" t="n"/>
    </row>
    <row r="1182">
      <c r="A1182" s="27" t="n"/>
      <c r="B1182" s="23" t="n"/>
      <c r="C1182" s="23" t="n"/>
      <c r="D1182" s="28" t="n"/>
      <c r="E1182" s="28" t="n"/>
      <c r="F1182" s="28" t="n"/>
      <c r="G1182" s="28" t="n"/>
      <c r="H1182" s="28" t="n"/>
      <c r="I1182" s="28" t="n"/>
      <c r="J1182" s="22" t="n"/>
      <c r="K1182" s="23" t="n"/>
    </row>
    <row r="1183">
      <c r="A1183" s="27" t="n"/>
      <c r="B1183" s="23" t="n"/>
      <c r="C1183" s="23" t="n"/>
      <c r="D1183" s="28" t="n"/>
      <c r="E1183" s="28" t="n"/>
      <c r="F1183" s="28" t="n"/>
      <c r="G1183" s="28" t="n"/>
      <c r="H1183" s="28" t="n"/>
      <c r="I1183" s="28" t="n"/>
      <c r="J1183" s="22" t="n"/>
      <c r="K1183" s="23" t="n"/>
    </row>
    <row r="1184">
      <c r="A1184" s="27" t="n"/>
      <c r="B1184" s="23" t="n"/>
      <c r="C1184" s="23" t="n"/>
      <c r="D1184" s="28" t="n"/>
      <c r="E1184" s="28" t="n"/>
      <c r="F1184" s="28" t="n"/>
      <c r="G1184" s="28" t="n"/>
      <c r="H1184" s="28" t="n"/>
      <c r="I1184" s="28" t="n"/>
      <c r="J1184" s="22" t="n"/>
      <c r="K1184" s="23" t="n"/>
    </row>
    <row r="1185">
      <c r="A1185" s="27" t="n"/>
      <c r="B1185" s="23" t="n"/>
      <c r="C1185" s="23" t="n"/>
      <c r="D1185" s="28" t="n"/>
      <c r="E1185" s="28" t="n"/>
      <c r="F1185" s="28" t="n"/>
      <c r="G1185" s="28" t="n"/>
      <c r="H1185" s="28" t="n"/>
      <c r="I1185" s="28" t="n"/>
      <c r="J1185" s="22" t="n"/>
      <c r="K1185" s="23" t="n"/>
    </row>
    <row r="1186">
      <c r="A1186" s="27" t="n"/>
      <c r="B1186" s="23" t="n"/>
      <c r="C1186" s="23" t="n"/>
      <c r="D1186" s="28" t="n"/>
      <c r="E1186" s="28" t="n"/>
      <c r="F1186" s="28" t="n"/>
      <c r="G1186" s="28" t="n"/>
      <c r="H1186" s="28" t="n"/>
      <c r="I1186" s="28" t="n"/>
      <c r="J1186" s="22" t="n"/>
      <c r="K1186" s="23" t="n"/>
    </row>
    <row r="1187">
      <c r="A1187" s="27" t="n"/>
      <c r="B1187" s="23" t="n"/>
      <c r="C1187" s="23" t="n"/>
      <c r="D1187" s="28" t="n"/>
      <c r="E1187" s="28" t="n"/>
      <c r="F1187" s="28" t="n"/>
      <c r="G1187" s="28" t="n"/>
      <c r="H1187" s="28" t="n"/>
      <c r="I1187" s="28" t="n"/>
      <c r="J1187" s="22" t="n"/>
      <c r="K1187" s="23" t="n"/>
    </row>
    <row r="1188">
      <c r="A1188" s="27" t="n"/>
      <c r="B1188" s="23" t="n"/>
      <c r="C1188" s="23" t="n"/>
      <c r="D1188" s="28" t="n"/>
      <c r="E1188" s="28" t="n"/>
      <c r="F1188" s="28" t="n"/>
      <c r="G1188" s="28" t="n"/>
      <c r="H1188" s="28" t="n"/>
      <c r="I1188" s="28" t="n"/>
      <c r="J1188" s="22" t="n"/>
      <c r="K1188" s="23" t="n"/>
    </row>
    <row r="1189">
      <c r="A1189" s="27" t="n"/>
      <c r="B1189" s="23" t="n"/>
      <c r="C1189" s="23" t="n"/>
      <c r="D1189" s="28" t="n"/>
      <c r="E1189" s="28" t="n"/>
      <c r="F1189" s="28" t="n"/>
      <c r="G1189" s="28" t="n"/>
      <c r="H1189" s="28" t="n"/>
      <c r="I1189" s="28" t="n"/>
      <c r="J1189" s="22" t="n"/>
      <c r="K1189" s="23" t="n"/>
    </row>
    <row r="1190">
      <c r="A1190" s="27" t="n"/>
      <c r="B1190" s="23" t="n"/>
      <c r="C1190" s="23" t="n"/>
      <c r="D1190" s="28" t="n"/>
      <c r="E1190" s="28" t="n"/>
      <c r="F1190" s="28" t="n"/>
      <c r="G1190" s="28" t="n"/>
      <c r="H1190" s="28" t="n"/>
      <c r="I1190" s="28" t="n"/>
      <c r="J1190" s="22" t="n"/>
      <c r="K1190" s="23" t="n"/>
    </row>
    <row r="1191">
      <c r="A1191" s="27" t="n"/>
      <c r="B1191" s="23" t="n"/>
      <c r="C1191" s="23" t="n"/>
      <c r="D1191" s="28" t="n"/>
      <c r="E1191" s="28" t="n"/>
      <c r="F1191" s="28" t="n"/>
      <c r="G1191" s="28" t="n"/>
      <c r="H1191" s="28" t="n"/>
      <c r="I1191" s="28" t="n"/>
      <c r="J1191" s="22" t="n"/>
      <c r="K1191" s="23" t="n"/>
    </row>
    <row r="1192">
      <c r="A1192" s="27" t="n"/>
      <c r="B1192" s="23" t="n"/>
      <c r="C1192" s="23" t="n"/>
      <c r="D1192" s="28" t="n"/>
      <c r="E1192" s="28" t="n"/>
      <c r="F1192" s="28" t="n"/>
      <c r="G1192" s="28" t="n"/>
      <c r="H1192" s="28" t="n"/>
      <c r="I1192" s="28" t="n"/>
      <c r="J1192" s="22" t="n"/>
      <c r="K1192" s="23" t="n"/>
    </row>
    <row r="1193">
      <c r="A1193" s="27" t="n"/>
      <c r="B1193" s="23" t="n"/>
      <c r="C1193" s="23" t="n"/>
      <c r="D1193" s="28" t="n"/>
      <c r="E1193" s="28" t="n"/>
      <c r="F1193" s="28" t="n"/>
      <c r="G1193" s="28" t="n"/>
      <c r="H1193" s="28" t="n"/>
      <c r="I1193" s="28" t="n"/>
      <c r="J1193" s="22" t="n"/>
      <c r="K1193" s="23" t="n"/>
    </row>
    <row r="1194">
      <c r="A1194" s="27" t="n"/>
      <c r="B1194" s="23" t="n"/>
      <c r="C1194" s="23" t="n"/>
      <c r="D1194" s="28" t="n"/>
      <c r="E1194" s="28" t="n"/>
      <c r="F1194" s="28" t="n"/>
      <c r="G1194" s="28" t="n"/>
      <c r="H1194" s="28" t="n"/>
      <c r="I1194" s="28" t="n"/>
      <c r="J1194" s="22" t="n"/>
      <c r="K1194" s="23" t="n"/>
    </row>
    <row r="1195">
      <c r="A1195" s="27" t="n"/>
      <c r="B1195" s="23" t="n"/>
      <c r="C1195" s="23" t="n"/>
      <c r="D1195" s="28" t="n"/>
      <c r="E1195" s="28" t="n"/>
      <c r="F1195" s="28" t="n"/>
      <c r="G1195" s="28" t="n"/>
      <c r="H1195" s="28" t="n"/>
      <c r="I1195" s="28" t="n"/>
      <c r="J1195" s="22" t="n"/>
      <c r="K1195" s="23" t="n"/>
    </row>
    <row r="1196">
      <c r="A1196" s="27" t="n"/>
      <c r="B1196" s="23" t="n"/>
      <c r="C1196" s="23" t="n"/>
      <c r="D1196" s="28" t="n"/>
      <c r="E1196" s="28" t="n"/>
      <c r="F1196" s="28" t="n"/>
      <c r="G1196" s="28" t="n"/>
      <c r="H1196" s="28" t="n"/>
      <c r="I1196" s="28" t="n"/>
      <c r="J1196" s="22" t="n"/>
      <c r="K1196" s="23" t="n"/>
    </row>
    <row r="1197">
      <c r="A1197" s="27" t="n"/>
      <c r="B1197" s="23" t="n"/>
      <c r="C1197" s="23" t="n"/>
      <c r="D1197" s="28" t="n"/>
      <c r="E1197" s="28" t="n"/>
      <c r="F1197" s="28" t="n"/>
      <c r="G1197" s="28" t="n"/>
      <c r="H1197" s="28" t="n"/>
      <c r="I1197" s="28" t="n"/>
      <c r="J1197" s="22" t="n"/>
      <c r="K1197" s="23" t="n"/>
    </row>
    <row r="1198">
      <c r="A1198" s="27" t="n"/>
      <c r="B1198" s="23" t="n"/>
      <c r="C1198" s="23" t="n"/>
      <c r="D1198" s="28" t="n"/>
      <c r="E1198" s="28" t="n"/>
      <c r="F1198" s="28" t="n"/>
      <c r="G1198" s="28" t="n"/>
      <c r="H1198" s="28" t="n"/>
      <c r="I1198" s="28" t="n"/>
      <c r="J1198" s="22" t="n"/>
      <c r="K1198" s="23" t="n"/>
    </row>
    <row r="1199">
      <c r="A1199" s="27" t="n"/>
      <c r="B1199" s="23" t="n"/>
      <c r="C1199" s="23" t="n"/>
      <c r="D1199" s="28" t="n"/>
      <c r="E1199" s="28" t="n"/>
      <c r="F1199" s="28" t="n"/>
      <c r="G1199" s="28" t="n"/>
      <c r="H1199" s="28" t="n"/>
      <c r="I1199" s="28" t="n"/>
      <c r="J1199" s="22" t="n"/>
      <c r="K1199" s="23" t="n"/>
    </row>
    <row r="1200">
      <c r="A1200" s="27" t="n"/>
      <c r="B1200" s="23" t="n"/>
      <c r="C1200" s="23" t="n"/>
      <c r="D1200" s="28" t="n"/>
      <c r="E1200" s="28" t="n"/>
      <c r="F1200" s="28" t="n"/>
      <c r="G1200" s="28" t="n"/>
      <c r="H1200" s="28" t="n"/>
      <c r="I1200" s="28" t="n"/>
      <c r="J1200" s="22" t="n"/>
      <c r="K1200" s="23" t="n"/>
    </row>
    <row r="1201">
      <c r="A1201" s="27" t="n"/>
      <c r="B1201" s="23" t="n"/>
      <c r="C1201" s="23" t="n"/>
      <c r="D1201" s="28" t="n"/>
      <c r="E1201" s="28" t="n"/>
      <c r="F1201" s="28" t="n"/>
      <c r="G1201" s="28" t="n"/>
      <c r="H1201" s="28" t="n"/>
      <c r="I1201" s="28" t="n"/>
      <c r="J1201" s="22" t="n"/>
      <c r="K1201" s="23" t="n"/>
    </row>
    <row r="1202">
      <c r="A1202" s="27" t="n"/>
      <c r="B1202" s="23" t="n"/>
      <c r="C1202" s="23" t="n"/>
      <c r="D1202" s="28" t="n"/>
      <c r="E1202" s="28" t="n"/>
      <c r="F1202" s="28" t="n"/>
      <c r="G1202" s="28" t="n"/>
      <c r="H1202" s="28" t="n"/>
      <c r="I1202" s="28" t="n"/>
      <c r="J1202" s="22" t="n"/>
      <c r="K1202" s="23" t="n"/>
    </row>
    <row r="1203">
      <c r="A1203" s="27" t="n"/>
      <c r="B1203" s="23" t="n"/>
      <c r="C1203" s="23" t="n"/>
      <c r="D1203" s="28" t="n"/>
      <c r="E1203" s="28" t="n"/>
      <c r="F1203" s="28" t="n"/>
      <c r="G1203" s="28" t="n"/>
      <c r="H1203" s="28" t="n"/>
      <c r="I1203" s="28" t="n"/>
      <c r="J1203" s="22" t="n"/>
      <c r="K1203" s="23" t="n"/>
    </row>
    <row r="1204">
      <c r="A1204" s="27" t="n"/>
      <c r="B1204" s="23" t="n"/>
      <c r="C1204" s="23" t="n"/>
      <c r="D1204" s="28" t="n"/>
      <c r="E1204" s="28" t="n"/>
      <c r="F1204" s="28" t="n"/>
      <c r="G1204" s="28" t="n"/>
      <c r="H1204" s="28" t="n"/>
      <c r="I1204" s="28" t="n"/>
      <c r="J1204" s="22" t="n"/>
      <c r="K1204" s="23" t="n"/>
    </row>
    <row r="1205">
      <c r="A1205" s="27" t="n"/>
      <c r="B1205" s="23" t="n"/>
      <c r="C1205" s="23" t="n"/>
      <c r="D1205" s="28" t="n"/>
      <c r="E1205" s="28" t="n"/>
      <c r="F1205" s="28" t="n"/>
      <c r="G1205" s="28" t="n"/>
      <c r="H1205" s="28" t="n"/>
      <c r="I1205" s="28" t="n"/>
      <c r="J1205" s="22" t="n"/>
      <c r="K1205" s="23" t="n"/>
    </row>
    <row r="1206">
      <c r="A1206" s="27" t="n"/>
      <c r="B1206" s="23" t="n"/>
      <c r="C1206" s="23" t="n"/>
      <c r="D1206" s="28" t="n"/>
      <c r="E1206" s="28" t="n"/>
      <c r="F1206" s="28" t="n"/>
      <c r="G1206" s="28" t="n"/>
      <c r="H1206" s="28" t="n"/>
      <c r="I1206" s="28" t="n"/>
      <c r="J1206" s="22" t="n"/>
      <c r="K1206" s="23" t="n"/>
    </row>
    <row r="1207">
      <c r="A1207" s="27" t="n"/>
      <c r="B1207" s="23" t="n"/>
      <c r="C1207" s="23" t="n"/>
      <c r="D1207" s="28" t="n"/>
      <c r="E1207" s="28" t="n"/>
      <c r="F1207" s="28" t="n"/>
      <c r="G1207" s="28" t="n"/>
      <c r="H1207" s="28" t="n"/>
      <c r="I1207" s="28" t="n"/>
      <c r="J1207" s="22" t="n"/>
      <c r="K1207" s="23" t="n"/>
    </row>
    <row r="1208">
      <c r="A1208" s="27" t="n"/>
      <c r="B1208" s="23" t="n"/>
      <c r="C1208" s="23" t="n"/>
      <c r="D1208" s="28" t="n"/>
      <c r="E1208" s="28" t="n"/>
      <c r="F1208" s="28" t="n"/>
      <c r="G1208" s="28" t="n"/>
      <c r="H1208" s="28" t="n"/>
      <c r="I1208" s="28" t="n"/>
      <c r="J1208" s="22" t="n"/>
      <c r="K1208" s="23" t="n"/>
    </row>
    <row r="1209">
      <c r="A1209" s="27" t="n"/>
      <c r="B1209" s="23" t="n"/>
      <c r="C1209" s="23" t="n"/>
      <c r="D1209" s="28" t="n"/>
      <c r="E1209" s="28" t="n"/>
      <c r="F1209" s="28" t="n"/>
      <c r="G1209" s="28" t="n"/>
      <c r="H1209" s="28" t="n"/>
      <c r="I1209" s="28" t="n"/>
      <c r="J1209" s="22" t="n"/>
      <c r="K1209" s="23" t="n"/>
    </row>
    <row r="1210">
      <c r="A1210" s="27" t="n"/>
      <c r="B1210" s="23" t="n"/>
      <c r="C1210" s="23" t="n"/>
      <c r="D1210" s="28" t="n"/>
      <c r="E1210" s="28" t="n"/>
      <c r="F1210" s="28" t="n"/>
      <c r="G1210" s="28" t="n"/>
      <c r="H1210" s="28" t="n"/>
      <c r="I1210" s="28" t="n"/>
      <c r="J1210" s="22" t="n"/>
      <c r="K1210" s="23" t="n"/>
    </row>
    <row r="1211">
      <c r="A1211" s="27" t="n"/>
      <c r="B1211" s="23" t="n"/>
      <c r="C1211" s="23" t="n"/>
      <c r="D1211" s="28" t="n"/>
      <c r="E1211" s="28" t="n"/>
      <c r="F1211" s="28" t="n"/>
      <c r="G1211" s="28" t="n"/>
      <c r="H1211" s="28" t="n"/>
      <c r="I1211" s="28" t="n"/>
      <c r="J1211" s="22" t="n"/>
      <c r="K1211" s="23" t="n"/>
    </row>
    <row r="1212">
      <c r="A1212" s="27" t="n"/>
      <c r="B1212" s="23" t="n"/>
      <c r="C1212" s="23" t="n"/>
      <c r="D1212" s="28" t="n"/>
      <c r="E1212" s="28" t="n"/>
      <c r="F1212" s="28" t="n"/>
      <c r="G1212" s="28" t="n"/>
      <c r="H1212" s="28" t="n"/>
      <c r="I1212" s="28" t="n"/>
      <c r="J1212" s="22" t="n"/>
      <c r="K1212" s="23" t="n"/>
    </row>
    <row r="1213">
      <c r="A1213" s="27" t="n"/>
      <c r="B1213" s="23" t="n"/>
      <c r="C1213" s="23" t="n"/>
      <c r="D1213" s="28" t="n"/>
      <c r="E1213" s="28" t="n"/>
      <c r="F1213" s="28" t="n"/>
      <c r="G1213" s="28" t="n"/>
      <c r="H1213" s="28" t="n"/>
      <c r="I1213" s="28" t="n"/>
      <c r="J1213" s="22" t="n"/>
      <c r="K1213" s="23" t="n"/>
    </row>
    <row r="1214">
      <c r="A1214" s="27" t="n"/>
      <c r="B1214" s="23" t="n"/>
      <c r="C1214" s="23" t="n"/>
      <c r="D1214" s="28" t="n"/>
      <c r="E1214" s="28" t="n"/>
      <c r="F1214" s="28" t="n"/>
      <c r="G1214" s="28" t="n"/>
      <c r="H1214" s="28" t="n"/>
      <c r="I1214" s="28" t="n"/>
      <c r="J1214" s="22" t="n"/>
      <c r="K1214" s="23" t="n"/>
    </row>
    <row r="1215">
      <c r="A1215" s="27" t="n"/>
      <c r="B1215" s="23" t="n"/>
      <c r="C1215" s="23" t="n"/>
      <c r="D1215" s="28" t="n"/>
      <c r="E1215" s="28" t="n"/>
      <c r="F1215" s="28" t="n"/>
      <c r="G1215" s="28" t="n"/>
      <c r="H1215" s="28" t="n"/>
      <c r="I1215" s="28" t="n"/>
      <c r="J1215" s="22" t="n"/>
      <c r="K1215" s="23" t="n"/>
    </row>
    <row r="1216">
      <c r="A1216" s="27" t="n"/>
      <c r="B1216" s="23" t="n"/>
      <c r="C1216" s="23" t="n"/>
      <c r="D1216" s="28" t="n"/>
      <c r="E1216" s="28" t="n"/>
      <c r="F1216" s="28" t="n"/>
      <c r="G1216" s="28" t="n"/>
      <c r="H1216" s="28" t="n"/>
      <c r="I1216" s="28" t="n"/>
      <c r="J1216" s="22" t="n"/>
      <c r="K1216" s="23" t="n"/>
    </row>
    <row r="1217">
      <c r="A1217" s="27" t="n"/>
      <c r="B1217" s="23" t="n"/>
      <c r="C1217" s="23" t="n"/>
      <c r="D1217" s="28" t="n"/>
      <c r="E1217" s="28" t="n"/>
      <c r="F1217" s="28" t="n"/>
      <c r="G1217" s="28" t="n"/>
      <c r="H1217" s="28" t="n"/>
      <c r="I1217" s="28" t="n"/>
      <c r="J1217" s="22" t="n"/>
      <c r="K1217" s="23" t="n"/>
    </row>
    <row r="1218">
      <c r="A1218" s="27" t="n"/>
      <c r="B1218" s="23" t="n"/>
      <c r="C1218" s="23" t="n"/>
      <c r="D1218" s="28" t="n"/>
      <c r="E1218" s="28" t="n"/>
      <c r="F1218" s="28" t="n"/>
      <c r="G1218" s="28" t="n"/>
      <c r="H1218" s="28" t="n"/>
      <c r="I1218" s="28" t="n"/>
      <c r="J1218" s="22" t="n"/>
      <c r="K1218" s="23" t="n"/>
    </row>
    <row r="1219">
      <c r="A1219" s="27" t="n"/>
      <c r="B1219" s="23" t="n"/>
      <c r="C1219" s="23" t="n"/>
      <c r="D1219" s="28" t="n"/>
      <c r="E1219" s="28" t="n"/>
      <c r="F1219" s="28" t="n"/>
      <c r="G1219" s="28" t="n"/>
      <c r="H1219" s="28" t="n"/>
      <c r="I1219" s="28" t="n"/>
      <c r="J1219" s="22" t="n"/>
      <c r="K1219" s="23" t="n"/>
    </row>
    <row r="1220">
      <c r="A1220" s="27" t="n"/>
      <c r="B1220" s="23" t="n"/>
      <c r="C1220" s="23" t="n"/>
      <c r="D1220" s="28" t="n"/>
      <c r="E1220" s="28" t="n"/>
      <c r="F1220" s="28" t="n"/>
      <c r="G1220" s="28" t="n"/>
      <c r="H1220" s="28" t="n"/>
      <c r="I1220" s="28" t="n"/>
      <c r="J1220" s="22" t="n"/>
      <c r="K1220" s="23" t="n"/>
    </row>
    <row r="1221">
      <c r="A1221" s="27" t="n"/>
      <c r="B1221" s="23" t="n"/>
      <c r="C1221" s="23" t="n"/>
      <c r="D1221" s="28" t="n"/>
      <c r="E1221" s="28" t="n"/>
      <c r="F1221" s="28" t="n"/>
      <c r="G1221" s="28" t="n"/>
      <c r="H1221" s="28" t="n"/>
      <c r="I1221" s="28" t="n"/>
      <c r="J1221" s="22" t="n"/>
      <c r="K1221" s="23" t="n"/>
    </row>
    <row r="1222">
      <c r="A1222" s="27" t="n"/>
      <c r="B1222" s="23" t="n"/>
      <c r="C1222" s="23" t="n"/>
      <c r="D1222" s="28" t="n"/>
      <c r="E1222" s="28" t="n"/>
      <c r="F1222" s="28" t="n"/>
      <c r="G1222" s="28" t="n"/>
      <c r="H1222" s="28" t="n"/>
      <c r="I1222" s="28" t="n"/>
      <c r="J1222" s="22" t="n"/>
      <c r="K1222" s="23" t="n"/>
    </row>
    <row r="1223">
      <c r="A1223" s="27" t="n"/>
      <c r="B1223" s="23" t="n"/>
      <c r="C1223" s="23" t="n"/>
      <c r="D1223" s="28" t="n"/>
      <c r="E1223" s="28" t="n"/>
      <c r="F1223" s="28" t="n"/>
      <c r="G1223" s="28" t="n"/>
      <c r="H1223" s="28" t="n"/>
      <c r="I1223" s="28" t="n"/>
      <c r="J1223" s="22" t="n"/>
      <c r="K1223" s="23" t="n"/>
    </row>
    <row r="1224">
      <c r="A1224" s="27" t="n"/>
      <c r="B1224" s="23" t="n"/>
      <c r="C1224" s="23" t="n"/>
      <c r="D1224" s="28" t="n"/>
      <c r="E1224" s="28" t="n"/>
      <c r="F1224" s="28" t="n"/>
      <c r="G1224" s="28" t="n"/>
      <c r="H1224" s="28" t="n"/>
      <c r="I1224" s="28" t="n"/>
      <c r="J1224" s="22" t="n"/>
      <c r="K1224" s="23" t="n"/>
    </row>
    <row r="1225">
      <c r="A1225" s="27" t="n"/>
      <c r="B1225" s="23" t="n"/>
      <c r="C1225" s="23" t="n"/>
      <c r="D1225" s="28" t="n"/>
      <c r="E1225" s="28" t="n"/>
      <c r="F1225" s="28" t="n"/>
      <c r="G1225" s="28" t="n"/>
      <c r="H1225" s="28" t="n"/>
      <c r="I1225" s="28" t="n"/>
      <c r="J1225" s="22" t="n"/>
      <c r="K1225" s="23" t="n"/>
    </row>
    <row r="1226">
      <c r="A1226" s="27" t="n"/>
      <c r="B1226" s="23" t="n"/>
      <c r="C1226" s="23" t="n"/>
      <c r="D1226" s="28" t="n"/>
      <c r="E1226" s="28" t="n"/>
      <c r="F1226" s="28" t="n"/>
      <c r="G1226" s="28" t="n"/>
      <c r="H1226" s="28" t="n"/>
      <c r="I1226" s="28" t="n"/>
      <c r="J1226" s="22" t="n"/>
      <c r="K1226" s="23" t="n"/>
    </row>
    <row r="1227">
      <c r="A1227" s="27" t="n"/>
      <c r="B1227" s="23" t="n"/>
      <c r="C1227" s="23" t="n"/>
      <c r="D1227" s="28" t="n"/>
      <c r="E1227" s="28" t="n"/>
      <c r="F1227" s="28" t="n"/>
      <c r="G1227" s="28" t="n"/>
      <c r="H1227" s="28" t="n"/>
      <c r="I1227" s="28" t="n"/>
      <c r="J1227" s="22" t="n"/>
      <c r="K1227" s="23" t="n"/>
    </row>
    <row r="1228">
      <c r="A1228" s="27" t="n"/>
      <c r="B1228" s="23" t="n"/>
      <c r="C1228" s="23" t="n"/>
      <c r="D1228" s="28" t="n"/>
      <c r="E1228" s="28" t="n"/>
      <c r="F1228" s="28" t="n"/>
      <c r="G1228" s="28" t="n"/>
      <c r="H1228" s="28" t="n"/>
      <c r="I1228" s="28" t="n"/>
      <c r="J1228" s="22" t="n"/>
      <c r="K1228" s="23" t="n"/>
    </row>
    <row r="1229">
      <c r="A1229" s="27" t="n"/>
      <c r="B1229" s="23" t="n"/>
      <c r="C1229" s="23" t="n"/>
      <c r="D1229" s="28" t="n"/>
      <c r="E1229" s="28" t="n"/>
      <c r="F1229" s="28" t="n"/>
      <c r="G1229" s="28" t="n"/>
      <c r="H1229" s="28" t="n"/>
      <c r="I1229" s="28" t="n"/>
      <c r="J1229" s="22" t="n"/>
      <c r="K1229" s="23" t="n"/>
    </row>
    <row r="1230">
      <c r="A1230" s="27" t="n"/>
      <c r="B1230" s="23" t="n"/>
      <c r="C1230" s="23" t="n"/>
      <c r="D1230" s="28" t="n"/>
      <c r="E1230" s="28" t="n"/>
      <c r="F1230" s="28" t="n"/>
      <c r="G1230" s="28" t="n"/>
      <c r="H1230" s="28" t="n"/>
      <c r="I1230" s="28" t="n"/>
      <c r="J1230" s="22" t="n"/>
      <c r="K1230" s="23" t="n"/>
    </row>
    <row r="1231">
      <c r="A1231" s="27" t="n"/>
      <c r="B1231" s="23" t="n"/>
      <c r="C1231" s="23" t="n"/>
      <c r="D1231" s="28" t="n"/>
      <c r="E1231" s="28" t="n"/>
      <c r="F1231" s="28" t="n"/>
      <c r="G1231" s="28" t="n"/>
      <c r="H1231" s="28" t="n"/>
      <c r="I1231" s="28" t="n"/>
      <c r="J1231" s="22" t="n"/>
      <c r="K1231" s="23" t="n"/>
    </row>
    <row r="1232">
      <c r="A1232" s="27" t="n"/>
      <c r="B1232" s="23" t="n"/>
      <c r="C1232" s="23" t="n"/>
      <c r="D1232" s="28" t="n"/>
      <c r="E1232" s="28" t="n"/>
      <c r="F1232" s="28" t="n"/>
      <c r="G1232" s="28" t="n"/>
      <c r="H1232" s="28" t="n"/>
      <c r="I1232" s="28" t="n"/>
      <c r="J1232" s="22" t="n"/>
      <c r="K1232" s="23" t="n"/>
    </row>
    <row r="1233">
      <c r="A1233" s="27" t="n"/>
      <c r="B1233" s="23" t="n"/>
      <c r="C1233" s="23" t="n"/>
      <c r="D1233" s="28" t="n"/>
      <c r="E1233" s="28" t="n"/>
      <c r="F1233" s="28" t="n"/>
      <c r="G1233" s="28" t="n"/>
      <c r="H1233" s="28" t="n"/>
      <c r="I1233" s="28" t="n"/>
      <c r="J1233" s="22" t="n"/>
      <c r="K1233" s="23" t="n"/>
    </row>
    <row r="1234">
      <c r="A1234" s="27" t="n"/>
      <c r="B1234" s="23" t="n"/>
      <c r="C1234" s="23" t="n"/>
      <c r="D1234" s="28" t="n"/>
      <c r="E1234" s="28" t="n"/>
      <c r="F1234" s="28" t="n"/>
      <c r="G1234" s="28" t="n"/>
      <c r="H1234" s="28" t="n"/>
      <c r="I1234" s="28" t="n"/>
      <c r="J1234" s="22" t="n"/>
      <c r="K1234" s="23" t="n"/>
    </row>
    <row r="1235">
      <c r="A1235" s="27" t="n"/>
      <c r="B1235" s="23" t="n"/>
      <c r="C1235" s="23" t="n"/>
      <c r="D1235" s="28" t="n"/>
      <c r="E1235" s="28" t="n"/>
      <c r="F1235" s="28" t="n"/>
      <c r="G1235" s="28" t="n"/>
      <c r="H1235" s="28" t="n"/>
      <c r="I1235" s="28" t="n"/>
      <c r="J1235" s="22" t="n"/>
      <c r="K1235" s="23" t="n"/>
    </row>
    <row r="1236">
      <c r="A1236" s="27" t="n"/>
      <c r="B1236" s="23" t="n"/>
      <c r="C1236" s="23" t="n"/>
      <c r="D1236" s="28" t="n"/>
      <c r="E1236" s="28" t="n"/>
      <c r="F1236" s="28" t="n"/>
      <c r="G1236" s="28" t="n"/>
      <c r="H1236" s="28" t="n"/>
      <c r="I1236" s="28" t="n"/>
      <c r="J1236" s="22" t="n"/>
      <c r="K1236" s="23" t="n"/>
    </row>
    <row r="1237">
      <c r="A1237" s="27" t="n"/>
      <c r="B1237" s="23" t="n"/>
      <c r="C1237" s="23" t="n"/>
      <c r="D1237" s="28" t="n"/>
      <c r="E1237" s="28" t="n"/>
      <c r="F1237" s="28" t="n"/>
      <c r="G1237" s="28" t="n"/>
      <c r="H1237" s="28" t="n"/>
      <c r="I1237" s="28" t="n"/>
      <c r="J1237" s="22" t="n"/>
      <c r="K1237" s="23" t="n"/>
    </row>
    <row r="1238">
      <c r="A1238" s="27" t="n"/>
      <c r="B1238" s="23" t="n"/>
      <c r="C1238" s="23" t="n"/>
      <c r="D1238" s="28" t="n"/>
      <c r="E1238" s="28" t="n"/>
      <c r="F1238" s="28" t="n"/>
      <c r="G1238" s="28" t="n"/>
      <c r="H1238" s="28" t="n"/>
      <c r="I1238" s="28" t="n"/>
      <c r="J1238" s="22" t="n"/>
      <c r="K1238" s="23" t="n"/>
    </row>
    <row r="1239">
      <c r="A1239" s="27" t="n"/>
      <c r="B1239" s="23" t="n"/>
      <c r="C1239" s="23" t="n"/>
      <c r="D1239" s="28" t="n"/>
      <c r="E1239" s="28" t="n"/>
      <c r="F1239" s="28" t="n"/>
      <c r="G1239" s="28" t="n"/>
      <c r="H1239" s="28" t="n"/>
      <c r="I1239" s="28" t="n"/>
      <c r="J1239" s="22" t="n"/>
      <c r="K1239" s="23" t="n"/>
    </row>
    <row r="1240">
      <c r="A1240" s="27" t="n"/>
      <c r="B1240" s="23" t="n"/>
      <c r="C1240" s="23" t="n"/>
      <c r="D1240" s="28" t="n"/>
      <c r="E1240" s="28" t="n"/>
      <c r="F1240" s="28" t="n"/>
      <c r="G1240" s="28" t="n"/>
      <c r="H1240" s="28" t="n"/>
      <c r="I1240" s="28" t="n"/>
      <c r="J1240" s="22" t="n"/>
      <c r="K1240" s="23" t="n"/>
    </row>
    <row r="1241">
      <c r="A1241" s="27" t="n"/>
      <c r="B1241" s="23" t="n"/>
      <c r="C1241" s="23" t="n"/>
      <c r="D1241" s="28" t="n"/>
      <c r="E1241" s="28" t="n"/>
      <c r="F1241" s="28" t="n"/>
      <c r="G1241" s="28" t="n"/>
      <c r="H1241" s="28" t="n"/>
      <c r="I1241" s="28" t="n"/>
      <c r="J1241" s="22" t="n"/>
      <c r="K1241" s="23" t="n"/>
    </row>
    <row r="1242">
      <c r="A1242" s="27" t="n"/>
      <c r="B1242" s="23" t="n"/>
      <c r="C1242" s="23" t="n"/>
      <c r="D1242" s="28" t="n"/>
      <c r="E1242" s="28" t="n"/>
      <c r="F1242" s="28" t="n"/>
      <c r="G1242" s="28" t="n"/>
      <c r="H1242" s="28" t="n"/>
      <c r="I1242" s="28" t="n"/>
      <c r="J1242" s="22" t="n"/>
      <c r="K1242" s="23" t="n"/>
    </row>
    <row r="1243">
      <c r="A1243" s="27" t="n"/>
      <c r="B1243" s="23" t="n"/>
      <c r="C1243" s="23" t="n"/>
      <c r="D1243" s="28" t="n"/>
      <c r="E1243" s="28" t="n"/>
      <c r="F1243" s="28" t="n"/>
      <c r="G1243" s="28" t="n"/>
      <c r="H1243" s="28" t="n"/>
      <c r="I1243" s="28" t="n"/>
      <c r="J1243" s="22" t="n"/>
      <c r="K1243" s="23" t="n"/>
    </row>
    <row r="1244">
      <c r="A1244" s="27" t="n"/>
      <c r="B1244" s="23" t="n"/>
      <c r="C1244" s="23" t="n"/>
      <c r="D1244" s="28" t="n"/>
      <c r="E1244" s="28" t="n"/>
      <c r="F1244" s="28" t="n"/>
      <c r="G1244" s="28" t="n"/>
      <c r="H1244" s="28" t="n"/>
      <c r="I1244" s="28" t="n"/>
      <c r="J1244" s="22" t="n"/>
      <c r="K1244" s="23" t="n"/>
    </row>
    <row r="1245">
      <c r="A1245" s="27" t="n"/>
      <c r="B1245" s="23" t="n"/>
      <c r="C1245" s="23" t="n"/>
      <c r="D1245" s="28" t="n"/>
      <c r="E1245" s="28" t="n"/>
      <c r="F1245" s="28" t="n"/>
      <c r="G1245" s="28" t="n"/>
      <c r="H1245" s="28" t="n"/>
      <c r="I1245" s="28" t="n"/>
      <c r="J1245" s="22" t="n"/>
      <c r="K1245" s="23" t="n"/>
    </row>
    <row r="1246">
      <c r="A1246" s="27" t="n"/>
      <c r="B1246" s="23" t="n"/>
      <c r="C1246" s="23" t="n"/>
      <c r="D1246" s="28" t="n"/>
      <c r="E1246" s="28" t="n"/>
      <c r="F1246" s="28" t="n"/>
      <c r="G1246" s="28" t="n"/>
      <c r="H1246" s="28" t="n"/>
      <c r="I1246" s="28" t="n"/>
      <c r="J1246" s="22" t="n"/>
      <c r="K1246" s="23" t="n"/>
    </row>
    <row r="1247">
      <c r="A1247" s="27" t="n"/>
      <c r="B1247" s="23" t="n"/>
      <c r="C1247" s="23" t="n"/>
      <c r="D1247" s="28" t="n"/>
      <c r="E1247" s="28" t="n"/>
      <c r="F1247" s="28" t="n"/>
      <c r="G1247" s="28" t="n"/>
      <c r="H1247" s="28" t="n"/>
      <c r="I1247" s="28" t="n"/>
      <c r="J1247" s="22" t="n"/>
      <c r="K1247" s="23" t="n"/>
    </row>
    <row r="1248">
      <c r="A1248" s="27" t="n"/>
      <c r="B1248" s="23" t="n"/>
      <c r="C1248" s="23" t="n"/>
      <c r="D1248" s="28" t="n"/>
      <c r="E1248" s="28" t="n"/>
      <c r="F1248" s="28" t="n"/>
      <c r="G1248" s="28" t="n"/>
      <c r="H1248" s="28" t="n"/>
      <c r="I1248" s="28" t="n"/>
      <c r="J1248" s="22" t="n"/>
      <c r="K1248" s="23" t="n"/>
    </row>
    <row r="1249">
      <c r="A1249" s="27" t="n"/>
      <c r="B1249" s="23" t="n"/>
      <c r="C1249" s="23" t="n"/>
      <c r="D1249" s="28" t="n"/>
      <c r="E1249" s="28" t="n"/>
      <c r="F1249" s="28" t="n"/>
      <c r="G1249" s="28" t="n"/>
      <c r="H1249" s="28" t="n"/>
      <c r="I1249" s="28" t="n"/>
      <c r="J1249" s="22" t="n"/>
      <c r="K1249" s="23" t="n"/>
    </row>
    <row r="1250">
      <c r="A1250" s="27" t="n"/>
      <c r="B1250" s="23" t="n"/>
      <c r="C1250" s="23" t="n"/>
      <c r="D1250" s="28" t="n"/>
      <c r="E1250" s="28" t="n"/>
      <c r="F1250" s="28" t="n"/>
      <c r="G1250" s="28" t="n"/>
      <c r="H1250" s="28" t="n"/>
      <c r="I1250" s="28" t="n"/>
      <c r="J1250" s="22" t="n"/>
      <c r="K1250" s="23" t="n"/>
    </row>
    <row r="1251">
      <c r="A1251" s="27" t="n"/>
      <c r="B1251" s="23" t="n"/>
      <c r="C1251" s="23" t="n"/>
      <c r="D1251" s="28" t="n"/>
      <c r="E1251" s="28" t="n"/>
      <c r="F1251" s="28" t="n"/>
      <c r="G1251" s="28" t="n"/>
      <c r="H1251" s="28" t="n"/>
      <c r="I1251" s="28" t="n"/>
      <c r="J1251" s="22" t="n"/>
      <c r="K1251" s="23" t="n"/>
    </row>
    <row r="1252">
      <c r="A1252" s="27" t="n"/>
      <c r="B1252" s="23" t="n"/>
      <c r="C1252" s="23" t="n"/>
      <c r="D1252" s="28" t="n"/>
      <c r="E1252" s="28" t="n"/>
      <c r="F1252" s="28" t="n"/>
      <c r="G1252" s="28" t="n"/>
      <c r="H1252" s="28" t="n"/>
      <c r="I1252" s="28" t="n"/>
      <c r="J1252" s="22" t="n"/>
      <c r="K1252" s="23" t="n"/>
    </row>
    <row r="1253">
      <c r="A1253" s="27" t="n"/>
      <c r="B1253" s="23" t="n"/>
      <c r="C1253" s="23" t="n"/>
      <c r="D1253" s="28" t="n"/>
      <c r="E1253" s="28" t="n"/>
      <c r="F1253" s="28" t="n"/>
      <c r="G1253" s="28" t="n"/>
      <c r="H1253" s="28" t="n"/>
      <c r="I1253" s="28" t="n"/>
      <c r="J1253" s="22" t="n"/>
      <c r="K1253" s="23" t="n"/>
    </row>
    <row r="1254">
      <c r="A1254" s="27" t="n"/>
      <c r="B1254" s="23" t="n"/>
      <c r="C1254" s="23" t="n"/>
      <c r="D1254" s="28" t="n"/>
      <c r="E1254" s="28" t="n"/>
      <c r="F1254" s="28" t="n"/>
      <c r="G1254" s="28" t="n"/>
      <c r="H1254" s="28" t="n"/>
      <c r="I1254" s="28" t="n"/>
      <c r="J1254" s="22" t="n"/>
      <c r="K1254" s="23" t="n"/>
    </row>
    <row r="1255">
      <c r="A1255" s="27" t="n"/>
      <c r="B1255" s="23" t="n"/>
      <c r="C1255" s="23" t="n"/>
      <c r="D1255" s="28" t="n"/>
      <c r="E1255" s="28" t="n"/>
      <c r="F1255" s="28" t="n"/>
      <c r="G1255" s="28" t="n"/>
      <c r="H1255" s="28" t="n"/>
      <c r="I1255" s="28" t="n"/>
      <c r="J1255" s="22" t="n"/>
      <c r="K1255" s="23" t="n"/>
    </row>
    <row r="1256">
      <c r="A1256" s="27" t="n"/>
      <c r="B1256" s="23" t="n"/>
      <c r="C1256" s="23" t="n"/>
      <c r="D1256" s="28" t="n"/>
      <c r="E1256" s="28" t="n"/>
      <c r="F1256" s="28" t="n"/>
      <c r="G1256" s="28" t="n"/>
      <c r="H1256" s="28" t="n"/>
      <c r="I1256" s="28" t="n"/>
      <c r="J1256" s="22" t="n"/>
      <c r="K1256" s="23" t="n"/>
    </row>
    <row r="1257">
      <c r="A1257" s="27" t="n"/>
      <c r="B1257" s="23" t="n"/>
      <c r="C1257" s="23" t="n"/>
      <c r="D1257" s="28" t="n"/>
      <c r="E1257" s="28" t="n"/>
      <c r="F1257" s="28" t="n"/>
      <c r="G1257" s="28" t="n"/>
      <c r="H1257" s="28" t="n"/>
      <c r="I1257" s="28" t="n"/>
      <c r="J1257" s="22" t="n"/>
      <c r="K1257" s="23" t="n"/>
    </row>
    <row r="1258">
      <c r="A1258" s="27" t="n"/>
      <c r="B1258" s="23" t="n"/>
      <c r="C1258" s="23" t="n"/>
      <c r="D1258" s="28" t="n"/>
      <c r="E1258" s="28" t="n"/>
      <c r="F1258" s="28" t="n"/>
      <c r="G1258" s="28" t="n"/>
      <c r="H1258" s="28" t="n"/>
      <c r="I1258" s="28" t="n"/>
      <c r="J1258" s="22" t="n"/>
      <c r="K1258" s="23" t="n"/>
    </row>
    <row r="1259">
      <c r="A1259" s="27" t="n"/>
      <c r="B1259" s="23" t="n"/>
      <c r="C1259" s="23" t="n"/>
      <c r="D1259" s="28" t="n"/>
      <c r="E1259" s="28" t="n"/>
      <c r="F1259" s="28" t="n"/>
      <c r="G1259" s="28" t="n"/>
      <c r="H1259" s="28" t="n"/>
      <c r="I1259" s="28" t="n"/>
      <c r="J1259" s="22" t="n"/>
      <c r="K1259" s="23" t="n"/>
    </row>
    <row r="1260">
      <c r="A1260" s="27" t="n"/>
      <c r="B1260" s="23" t="n"/>
      <c r="C1260" s="23" t="n"/>
      <c r="D1260" s="28" t="n"/>
      <c r="E1260" s="28" t="n"/>
      <c r="F1260" s="28" t="n"/>
      <c r="G1260" s="28" t="n"/>
      <c r="H1260" s="28" t="n"/>
      <c r="I1260" s="28" t="n"/>
      <c r="J1260" s="22" t="n"/>
      <c r="K1260" s="23" t="n"/>
    </row>
    <row r="1261">
      <c r="A1261" s="27" t="n"/>
      <c r="B1261" s="23" t="n"/>
      <c r="C1261" s="23" t="n"/>
      <c r="D1261" s="28" t="n"/>
      <c r="E1261" s="28" t="n"/>
      <c r="F1261" s="28" t="n"/>
      <c r="G1261" s="28" t="n"/>
      <c r="H1261" s="28" t="n"/>
      <c r="I1261" s="28" t="n"/>
      <c r="J1261" s="22" t="n"/>
      <c r="K1261" s="23" t="n"/>
    </row>
    <row r="1262">
      <c r="A1262" s="27" t="n"/>
      <c r="B1262" s="23" t="n"/>
      <c r="C1262" s="23" t="n"/>
      <c r="D1262" s="28" t="n"/>
      <c r="E1262" s="28" t="n"/>
      <c r="F1262" s="28" t="n"/>
      <c r="G1262" s="28" t="n"/>
      <c r="H1262" s="28" t="n"/>
      <c r="I1262" s="28" t="n"/>
      <c r="J1262" s="22" t="n"/>
      <c r="K1262" s="23" t="n"/>
    </row>
    <row r="1263">
      <c r="A1263" s="27" t="n"/>
      <c r="B1263" s="23" t="n"/>
      <c r="C1263" s="23" t="n"/>
      <c r="D1263" s="28" t="n"/>
      <c r="E1263" s="28" t="n"/>
      <c r="F1263" s="28" t="n"/>
      <c r="G1263" s="28" t="n"/>
      <c r="H1263" s="28" t="n"/>
      <c r="I1263" s="28" t="n"/>
      <c r="J1263" s="22" t="n"/>
      <c r="K1263" s="23" t="n"/>
    </row>
    <row r="1264">
      <c r="A1264" s="27" t="n"/>
      <c r="B1264" s="23" t="n"/>
      <c r="C1264" s="23" t="n"/>
      <c r="D1264" s="28" t="n"/>
      <c r="E1264" s="28" t="n"/>
      <c r="F1264" s="28" t="n"/>
      <c r="G1264" s="28" t="n"/>
      <c r="H1264" s="28" t="n"/>
      <c r="I1264" s="28" t="n"/>
      <c r="J1264" s="22" t="n"/>
      <c r="K1264" s="23" t="n"/>
    </row>
    <row r="1265">
      <c r="A1265" s="27" t="n"/>
      <c r="B1265" s="23" t="n"/>
      <c r="C1265" s="23" t="n"/>
      <c r="D1265" s="28" t="n"/>
      <c r="E1265" s="28" t="n"/>
      <c r="F1265" s="28" t="n"/>
      <c r="G1265" s="28" t="n"/>
      <c r="H1265" s="28" t="n"/>
      <c r="I1265" s="28" t="n"/>
      <c r="J1265" s="22" t="n"/>
      <c r="K1265" s="23" t="n"/>
    </row>
    <row r="1266">
      <c r="A1266" s="27" t="n"/>
      <c r="B1266" s="23" t="n"/>
      <c r="C1266" s="23" t="n"/>
      <c r="D1266" s="28" t="n"/>
      <c r="E1266" s="28" t="n"/>
      <c r="F1266" s="28" t="n"/>
      <c r="G1266" s="28" t="n"/>
      <c r="H1266" s="28" t="n"/>
      <c r="I1266" s="28" t="n"/>
      <c r="J1266" s="22" t="n"/>
      <c r="K1266" s="23" t="n"/>
    </row>
    <row r="1267">
      <c r="A1267" s="27" t="n"/>
      <c r="B1267" s="23" t="n"/>
      <c r="C1267" s="23" t="n"/>
      <c r="D1267" s="28" t="n"/>
      <c r="E1267" s="28" t="n"/>
      <c r="F1267" s="28" t="n"/>
      <c r="G1267" s="28" t="n"/>
      <c r="H1267" s="28" t="n"/>
      <c r="I1267" s="28" t="n"/>
      <c r="J1267" s="22" t="n"/>
      <c r="K1267" s="23" t="n"/>
    </row>
    <row r="1268">
      <c r="A1268" s="27" t="n"/>
      <c r="B1268" s="23" t="n"/>
      <c r="C1268" s="23" t="n"/>
      <c r="D1268" s="28" t="n"/>
      <c r="E1268" s="28" t="n"/>
      <c r="F1268" s="28" t="n"/>
      <c r="G1268" s="28" t="n"/>
      <c r="H1268" s="28" t="n"/>
      <c r="I1268" s="28" t="n"/>
      <c r="J1268" s="22" t="n"/>
      <c r="K1268" s="23" t="n"/>
    </row>
    <row r="1269">
      <c r="A1269" s="27" t="n"/>
      <c r="B1269" s="23" t="n"/>
      <c r="C1269" s="23" t="n"/>
      <c r="D1269" s="28" t="n"/>
      <c r="E1269" s="28" t="n"/>
      <c r="F1269" s="28" t="n"/>
      <c r="G1269" s="28" t="n"/>
      <c r="H1269" s="28" t="n"/>
      <c r="I1269" s="28" t="n"/>
      <c r="J1269" s="22" t="n"/>
      <c r="K1269" s="23" t="n"/>
    </row>
    <row r="1270">
      <c r="A1270" s="27" t="n"/>
      <c r="B1270" s="23" t="n"/>
      <c r="C1270" s="23" t="n"/>
      <c r="D1270" s="28" t="n"/>
      <c r="E1270" s="28" t="n"/>
      <c r="F1270" s="28" t="n"/>
      <c r="G1270" s="28" t="n"/>
      <c r="H1270" s="28" t="n"/>
      <c r="I1270" s="28" t="n"/>
      <c r="J1270" s="22" t="n"/>
      <c r="K1270" s="23" t="n"/>
    </row>
    <row r="1271">
      <c r="A1271" s="27" t="n"/>
      <c r="B1271" s="23" t="n"/>
      <c r="C1271" s="23" t="n"/>
      <c r="D1271" s="28" t="n"/>
      <c r="E1271" s="28" t="n"/>
      <c r="F1271" s="28" t="n"/>
      <c r="G1271" s="28" t="n"/>
      <c r="H1271" s="28" t="n"/>
      <c r="I1271" s="28" t="n"/>
      <c r="J1271" s="22" t="n"/>
      <c r="K1271" s="23" t="n"/>
    </row>
    <row r="1272">
      <c r="A1272" s="27" t="n"/>
      <c r="B1272" s="23" t="n"/>
      <c r="C1272" s="23" t="n"/>
      <c r="D1272" s="28" t="n"/>
      <c r="E1272" s="28" t="n"/>
      <c r="F1272" s="28" t="n"/>
      <c r="G1272" s="28" t="n"/>
      <c r="H1272" s="28" t="n"/>
      <c r="I1272" s="28" t="n"/>
      <c r="J1272" s="22" t="n"/>
      <c r="K1272" s="23" t="n"/>
    </row>
    <row r="1273">
      <c r="A1273" s="27" t="n"/>
      <c r="B1273" s="23" t="n"/>
      <c r="C1273" s="23" t="n"/>
      <c r="D1273" s="28" t="n"/>
      <c r="E1273" s="28" t="n"/>
      <c r="F1273" s="28" t="n"/>
      <c r="G1273" s="28" t="n"/>
      <c r="H1273" s="28" t="n"/>
      <c r="I1273" s="28" t="n"/>
      <c r="J1273" s="22" t="n"/>
      <c r="K1273" s="23" t="n"/>
    </row>
    <row r="1274">
      <c r="A1274" s="27" t="n"/>
      <c r="B1274" s="23" t="n"/>
      <c r="C1274" s="23" t="n"/>
      <c r="D1274" s="28" t="n"/>
      <c r="E1274" s="28" t="n"/>
      <c r="F1274" s="28" t="n"/>
      <c r="G1274" s="28" t="n"/>
      <c r="H1274" s="28" t="n"/>
      <c r="I1274" s="28" t="n"/>
      <c r="J1274" s="22" t="n"/>
      <c r="K1274" s="23" t="n"/>
    </row>
    <row r="1275">
      <c r="A1275" s="27" t="n"/>
      <c r="B1275" s="23" t="n"/>
      <c r="C1275" s="23" t="n"/>
      <c r="D1275" s="28" t="n"/>
      <c r="E1275" s="28" t="n"/>
      <c r="F1275" s="28" t="n"/>
      <c r="G1275" s="28" t="n"/>
      <c r="H1275" s="28" t="n"/>
      <c r="I1275" s="28" t="n"/>
      <c r="J1275" s="22" t="n"/>
      <c r="K1275" s="23" t="n"/>
    </row>
    <row r="1276">
      <c r="A1276" s="27" t="n"/>
      <c r="B1276" s="23" t="n"/>
      <c r="C1276" s="23" t="n"/>
      <c r="D1276" s="28" t="n"/>
      <c r="E1276" s="28" t="n"/>
      <c r="F1276" s="28" t="n"/>
      <c r="G1276" s="28" t="n"/>
      <c r="H1276" s="28" t="n"/>
      <c r="I1276" s="28" t="n"/>
      <c r="J1276" s="22" t="n"/>
      <c r="K1276" s="23" t="n"/>
    </row>
    <row r="1277">
      <c r="A1277" s="27" t="n"/>
      <c r="B1277" s="23" t="n"/>
      <c r="C1277" s="23" t="n"/>
      <c r="D1277" s="28" t="n"/>
      <c r="E1277" s="28" t="n"/>
      <c r="F1277" s="28" t="n"/>
      <c r="G1277" s="28" t="n"/>
      <c r="H1277" s="28" t="n"/>
      <c r="I1277" s="28" t="n"/>
      <c r="J1277" s="22" t="n"/>
      <c r="K1277" s="23" t="n"/>
    </row>
    <row r="1278">
      <c r="A1278" s="27" t="n"/>
      <c r="B1278" s="23" t="n"/>
      <c r="C1278" s="23" t="n"/>
      <c r="D1278" s="28" t="n"/>
      <c r="E1278" s="28" t="n"/>
      <c r="F1278" s="28" t="n"/>
      <c r="G1278" s="28" t="n"/>
      <c r="H1278" s="28" t="n"/>
      <c r="I1278" s="28" t="n"/>
      <c r="J1278" s="22" t="n"/>
      <c r="K1278" s="23" t="n"/>
    </row>
    <row r="1279">
      <c r="A1279" s="27" t="n"/>
      <c r="B1279" s="23" t="n"/>
      <c r="C1279" s="23" t="n"/>
      <c r="D1279" s="28" t="n"/>
      <c r="E1279" s="28" t="n"/>
      <c r="F1279" s="28" t="n"/>
      <c r="G1279" s="28" t="n"/>
      <c r="H1279" s="28" t="n"/>
      <c r="I1279" s="28" t="n"/>
      <c r="J1279" s="22" t="n"/>
      <c r="K1279" s="23" t="n"/>
    </row>
    <row r="1280">
      <c r="A1280" s="27" t="n"/>
      <c r="B1280" s="23" t="n"/>
      <c r="C1280" s="23" t="n"/>
      <c r="D1280" s="28" t="n"/>
      <c r="E1280" s="28" t="n"/>
      <c r="F1280" s="28" t="n"/>
      <c r="G1280" s="28" t="n"/>
      <c r="H1280" s="28" t="n"/>
      <c r="I1280" s="28" t="n"/>
      <c r="J1280" s="22" t="n"/>
      <c r="K1280" s="23" t="n"/>
    </row>
    <row r="1281">
      <c r="A1281" s="27" t="n"/>
      <c r="B1281" s="23" t="n"/>
      <c r="C1281" s="23" t="n"/>
      <c r="D1281" s="28" t="n"/>
      <c r="E1281" s="28" t="n"/>
      <c r="F1281" s="28" t="n"/>
      <c r="G1281" s="28" t="n"/>
      <c r="H1281" s="28" t="n"/>
      <c r="I1281" s="28" t="n"/>
      <c r="J1281" s="22" t="n"/>
      <c r="K1281" s="23" t="n"/>
    </row>
    <row r="1282">
      <c r="A1282" s="27" t="n"/>
      <c r="B1282" s="23" t="n"/>
      <c r="C1282" s="23" t="n"/>
      <c r="D1282" s="28" t="n"/>
      <c r="E1282" s="28" t="n"/>
      <c r="F1282" s="28" t="n"/>
      <c r="G1282" s="28" t="n"/>
      <c r="H1282" s="28" t="n"/>
      <c r="I1282" s="28" t="n"/>
      <c r="J1282" s="22" t="n"/>
      <c r="K1282" s="23" t="n"/>
    </row>
    <row r="1283">
      <c r="A1283" s="27" t="n"/>
      <c r="B1283" s="23" t="n"/>
      <c r="C1283" s="23" t="n"/>
      <c r="D1283" s="28" t="n"/>
      <c r="E1283" s="28" t="n"/>
      <c r="F1283" s="28" t="n"/>
      <c r="G1283" s="28" t="n"/>
      <c r="H1283" s="28" t="n"/>
      <c r="I1283" s="28" t="n"/>
      <c r="J1283" s="22" t="n"/>
      <c r="K1283" s="23" t="n"/>
    </row>
    <row r="1284">
      <c r="A1284" s="27" t="n"/>
      <c r="B1284" s="23" t="n"/>
      <c r="C1284" s="23" t="n"/>
      <c r="D1284" s="28" t="n"/>
      <c r="E1284" s="28" t="n"/>
      <c r="F1284" s="28" t="n"/>
      <c r="G1284" s="28" t="n"/>
      <c r="H1284" s="28" t="n"/>
      <c r="I1284" s="28" t="n"/>
      <c r="J1284" s="22" t="n"/>
      <c r="K1284" s="23" t="n"/>
    </row>
    <row r="1285">
      <c r="A1285" s="27" t="n"/>
      <c r="B1285" s="23" t="n"/>
      <c r="C1285" s="23" t="n"/>
      <c r="D1285" s="28" t="n"/>
      <c r="E1285" s="28" t="n"/>
      <c r="F1285" s="28" t="n"/>
      <c r="G1285" s="28" t="n"/>
      <c r="H1285" s="28" t="n"/>
      <c r="I1285" s="28" t="n"/>
      <c r="J1285" s="22" t="n"/>
      <c r="K1285" s="23" t="n"/>
    </row>
    <row r="1286">
      <c r="A1286" s="27" t="n"/>
      <c r="B1286" s="23" t="n"/>
      <c r="C1286" s="23" t="n"/>
      <c r="D1286" s="28" t="n"/>
      <c r="E1286" s="28" t="n"/>
      <c r="F1286" s="28" t="n"/>
      <c r="G1286" s="28" t="n"/>
      <c r="H1286" s="28" t="n"/>
      <c r="I1286" s="28" t="n"/>
      <c r="J1286" s="22" t="n"/>
      <c r="K1286" s="23" t="n"/>
    </row>
    <row r="1287">
      <c r="A1287" s="27" t="n"/>
      <c r="B1287" s="23" t="n"/>
      <c r="C1287" s="23" t="n"/>
      <c r="D1287" s="28" t="n"/>
      <c r="E1287" s="28" t="n"/>
      <c r="F1287" s="28" t="n"/>
      <c r="G1287" s="28" t="n"/>
      <c r="H1287" s="28" t="n"/>
      <c r="I1287" s="28" t="n"/>
      <c r="J1287" s="22" t="n"/>
      <c r="K1287" s="23" t="n"/>
    </row>
    <row r="1288">
      <c r="A1288" s="27" t="n"/>
      <c r="B1288" s="23" t="n"/>
      <c r="C1288" s="23" t="n"/>
      <c r="D1288" s="28" t="n"/>
      <c r="E1288" s="28" t="n"/>
      <c r="F1288" s="28" t="n"/>
      <c r="G1288" s="28" t="n"/>
      <c r="H1288" s="28" t="n"/>
      <c r="I1288" s="28" t="n"/>
      <c r="J1288" s="22" t="n"/>
      <c r="K1288" s="23" t="n"/>
    </row>
    <row r="1289">
      <c r="A1289" s="27" t="n"/>
      <c r="B1289" s="23" t="n"/>
      <c r="C1289" s="23" t="n"/>
      <c r="D1289" s="28" t="n"/>
      <c r="E1289" s="28" t="n"/>
      <c r="F1289" s="28" t="n"/>
      <c r="G1289" s="28" t="n"/>
      <c r="H1289" s="28" t="n"/>
      <c r="I1289" s="28" t="n"/>
      <c r="J1289" s="22" t="n"/>
      <c r="K1289" s="23" t="n"/>
    </row>
    <row r="1290">
      <c r="A1290" s="27" t="n"/>
      <c r="B1290" s="23" t="n"/>
      <c r="C1290" s="23" t="n"/>
      <c r="D1290" s="28" t="n"/>
      <c r="E1290" s="28" t="n"/>
      <c r="F1290" s="28" t="n"/>
      <c r="G1290" s="28" t="n"/>
      <c r="H1290" s="28" t="n"/>
      <c r="I1290" s="28" t="n"/>
      <c r="J1290" s="22" t="n"/>
      <c r="K1290" s="23" t="n"/>
    </row>
    <row r="1291">
      <c r="A1291" s="27" t="n"/>
      <c r="B1291" s="23" t="n"/>
      <c r="C1291" s="23" t="n"/>
      <c r="D1291" s="28" t="n"/>
      <c r="E1291" s="28" t="n"/>
      <c r="F1291" s="28" t="n"/>
      <c r="G1291" s="28" t="n"/>
      <c r="H1291" s="28" t="n"/>
      <c r="I1291" s="28" t="n"/>
      <c r="J1291" s="22" t="n"/>
      <c r="K1291" s="23" t="n"/>
    </row>
    <row r="1292">
      <c r="A1292" s="27" t="n"/>
      <c r="B1292" s="23" t="n"/>
      <c r="C1292" s="23" t="n"/>
      <c r="D1292" s="28" t="n"/>
      <c r="E1292" s="28" t="n"/>
      <c r="F1292" s="28" t="n"/>
      <c r="G1292" s="28" t="n"/>
      <c r="H1292" s="28" t="n"/>
      <c r="I1292" s="28" t="n"/>
      <c r="J1292" s="22" t="n"/>
      <c r="K1292" s="23" t="n"/>
    </row>
    <row r="1293">
      <c r="A1293" s="27" t="n"/>
      <c r="B1293" s="23" t="n"/>
      <c r="C1293" s="23" t="n"/>
      <c r="D1293" s="28" t="n"/>
      <c r="E1293" s="28" t="n"/>
      <c r="F1293" s="28" t="n"/>
      <c r="G1293" s="28" t="n"/>
      <c r="H1293" s="28" t="n"/>
      <c r="I1293" s="28" t="n"/>
      <c r="J1293" s="22" t="n"/>
      <c r="K1293" s="23" t="n"/>
    </row>
    <row r="1294">
      <c r="A1294" s="27" t="n"/>
      <c r="B1294" s="23" t="n"/>
      <c r="C1294" s="23" t="n"/>
      <c r="D1294" s="28" t="n"/>
      <c r="E1294" s="28" t="n"/>
      <c r="F1294" s="28" t="n"/>
      <c r="G1294" s="28" t="n"/>
      <c r="H1294" s="28" t="n"/>
      <c r="I1294" s="28" t="n"/>
      <c r="J1294" s="22" t="n"/>
      <c r="K1294" s="23" t="n"/>
    </row>
    <row r="1295">
      <c r="A1295" s="27" t="n"/>
      <c r="B1295" s="23" t="n"/>
      <c r="C1295" s="23" t="n"/>
      <c r="D1295" s="28" t="n"/>
      <c r="E1295" s="28" t="n"/>
      <c r="F1295" s="28" t="n"/>
      <c r="G1295" s="28" t="n"/>
      <c r="H1295" s="28" t="n"/>
      <c r="I1295" s="28" t="n"/>
      <c r="J1295" s="22" t="n"/>
      <c r="K1295" s="23" t="n"/>
    </row>
    <row r="1296">
      <c r="A1296" s="27" t="n"/>
      <c r="B1296" s="23" t="n"/>
      <c r="C1296" s="23" t="n"/>
      <c r="D1296" s="28" t="n"/>
      <c r="E1296" s="28" t="n"/>
      <c r="F1296" s="28" t="n"/>
      <c r="G1296" s="28" t="n"/>
      <c r="H1296" s="28" t="n"/>
      <c r="I1296" s="28" t="n"/>
      <c r="J1296" s="22" t="n"/>
      <c r="K1296" s="23" t="n"/>
    </row>
    <row r="1297">
      <c r="A1297" s="27" t="n"/>
      <c r="B1297" s="23" t="n"/>
      <c r="C1297" s="23" t="n"/>
      <c r="D1297" s="28" t="n"/>
      <c r="E1297" s="28" t="n"/>
      <c r="F1297" s="28" t="n"/>
      <c r="G1297" s="28" t="n"/>
      <c r="H1297" s="28" t="n"/>
      <c r="I1297" s="28" t="n"/>
      <c r="J1297" s="22" t="n"/>
      <c r="K1297" s="23" t="n"/>
    </row>
    <row r="1298">
      <c r="A1298" s="27" t="n"/>
      <c r="B1298" s="23" t="n"/>
      <c r="C1298" s="23" t="n"/>
      <c r="D1298" s="28" t="n"/>
      <c r="E1298" s="28" t="n"/>
      <c r="F1298" s="28" t="n"/>
      <c r="G1298" s="28" t="n"/>
      <c r="H1298" s="28" t="n"/>
      <c r="I1298" s="28" t="n"/>
      <c r="J1298" s="22" t="n"/>
      <c r="K1298" s="23" t="n"/>
    </row>
    <row r="1299">
      <c r="A1299" s="27" t="n"/>
      <c r="B1299" s="23" t="n"/>
      <c r="C1299" s="23" t="n"/>
      <c r="D1299" s="28" t="n"/>
      <c r="E1299" s="28" t="n"/>
      <c r="F1299" s="28" t="n"/>
      <c r="G1299" s="28" t="n"/>
      <c r="H1299" s="28" t="n"/>
      <c r="I1299" s="28" t="n"/>
      <c r="J1299" s="22" t="n"/>
      <c r="K1299" s="23" t="n"/>
    </row>
    <row r="1300">
      <c r="A1300" s="27" t="n"/>
      <c r="B1300" s="23" t="n"/>
      <c r="C1300" s="23" t="n"/>
      <c r="D1300" s="28" t="n"/>
      <c r="E1300" s="28" t="n"/>
      <c r="F1300" s="28" t="n"/>
      <c r="G1300" s="28" t="n"/>
      <c r="H1300" s="28" t="n"/>
      <c r="I1300" s="28" t="n"/>
      <c r="J1300" s="22" t="n"/>
      <c r="K1300" s="23" t="n"/>
    </row>
    <row r="1301">
      <c r="A1301" s="27" t="n"/>
      <c r="B1301" s="23" t="n"/>
      <c r="C1301" s="23" t="n"/>
      <c r="D1301" s="28" t="n"/>
      <c r="E1301" s="28" t="n"/>
      <c r="F1301" s="28" t="n"/>
      <c r="G1301" s="28" t="n"/>
      <c r="H1301" s="28" t="n"/>
      <c r="I1301" s="28" t="n"/>
      <c r="J1301" s="22" t="n"/>
      <c r="K1301" s="23" t="n"/>
    </row>
    <row r="1302">
      <c r="A1302" s="27" t="n"/>
      <c r="B1302" s="23" t="n"/>
      <c r="C1302" s="23" t="n"/>
      <c r="D1302" s="28" t="n"/>
      <c r="E1302" s="28" t="n"/>
      <c r="F1302" s="28" t="n"/>
      <c r="G1302" s="28" t="n"/>
      <c r="H1302" s="28" t="n"/>
      <c r="I1302" s="28" t="n"/>
      <c r="J1302" s="22" t="n"/>
      <c r="K1302" s="23" t="n"/>
    </row>
    <row r="1303">
      <c r="A1303" s="27" t="n"/>
      <c r="B1303" s="23" t="n"/>
      <c r="C1303" s="23" t="n"/>
      <c r="D1303" s="28" t="n"/>
      <c r="E1303" s="28" t="n"/>
      <c r="F1303" s="28" t="n"/>
      <c r="G1303" s="28" t="n"/>
      <c r="H1303" s="28" t="n"/>
      <c r="I1303" s="28" t="n"/>
      <c r="J1303" s="22" t="n"/>
      <c r="K1303" s="23" t="n"/>
    </row>
    <row r="1304">
      <c r="A1304" s="27" t="n"/>
      <c r="B1304" s="23" t="n"/>
      <c r="C1304" s="23" t="n"/>
      <c r="D1304" s="28" t="n"/>
      <c r="E1304" s="28" t="n"/>
      <c r="F1304" s="28" t="n"/>
      <c r="G1304" s="28" t="n"/>
      <c r="H1304" s="28" t="n"/>
      <c r="I1304" s="28" t="n"/>
      <c r="J1304" s="22" t="n"/>
      <c r="K1304" s="23" t="n"/>
    </row>
    <row r="1305">
      <c r="A1305" s="27" t="n"/>
      <c r="B1305" s="23" t="n"/>
      <c r="C1305" s="23" t="n"/>
      <c r="D1305" s="28" t="n"/>
      <c r="E1305" s="28" t="n"/>
      <c r="F1305" s="28" t="n"/>
      <c r="G1305" s="28" t="n"/>
      <c r="H1305" s="28" t="n"/>
      <c r="I1305" s="28" t="n"/>
      <c r="J1305" s="22" t="n"/>
      <c r="K1305" s="23" t="n"/>
    </row>
    <row r="1306">
      <c r="A1306" s="27" t="n"/>
      <c r="B1306" s="23" t="n"/>
      <c r="C1306" s="23" t="n"/>
      <c r="D1306" s="28" t="n"/>
      <c r="E1306" s="28" t="n"/>
      <c r="F1306" s="28" t="n"/>
      <c r="G1306" s="28" t="n"/>
      <c r="H1306" s="28" t="n"/>
      <c r="I1306" s="28" t="n"/>
      <c r="J1306" s="22" t="n"/>
      <c r="K1306" s="23" t="n"/>
    </row>
    <row r="1307">
      <c r="A1307" s="27" t="n"/>
      <c r="B1307" s="23" t="n"/>
      <c r="C1307" s="23" t="n"/>
      <c r="D1307" s="28" t="n"/>
      <c r="E1307" s="28" t="n"/>
      <c r="F1307" s="28" t="n"/>
      <c r="G1307" s="28" t="n"/>
      <c r="H1307" s="28" t="n"/>
      <c r="I1307" s="28" t="n"/>
      <c r="J1307" s="22" t="n"/>
      <c r="K1307" s="23" t="n"/>
    </row>
    <row r="1308">
      <c r="A1308" s="27" t="n"/>
      <c r="B1308" s="23" t="n"/>
      <c r="C1308" s="23" t="n"/>
      <c r="D1308" s="28" t="n"/>
      <c r="E1308" s="28" t="n"/>
      <c r="F1308" s="28" t="n"/>
      <c r="G1308" s="28" t="n"/>
      <c r="H1308" s="28" t="n"/>
      <c r="I1308" s="28" t="n"/>
      <c r="J1308" s="22" t="n"/>
      <c r="K1308" s="23" t="n"/>
    </row>
    <row r="1309">
      <c r="A1309" s="27" t="n"/>
      <c r="B1309" s="23" t="n"/>
      <c r="C1309" s="23" t="n"/>
      <c r="D1309" s="28" t="n"/>
      <c r="E1309" s="28" t="n"/>
      <c r="F1309" s="28" t="n"/>
      <c r="G1309" s="28" t="n"/>
      <c r="H1309" s="28" t="n"/>
      <c r="I1309" s="28" t="n"/>
      <c r="J1309" s="22" t="n"/>
      <c r="K1309" s="23" t="n"/>
    </row>
    <row r="1310">
      <c r="A1310" s="27" t="n"/>
      <c r="B1310" s="23" t="n"/>
      <c r="C1310" s="23" t="n"/>
      <c r="D1310" s="28" t="n"/>
      <c r="E1310" s="28" t="n"/>
      <c r="F1310" s="28" t="n"/>
      <c r="G1310" s="28" t="n"/>
      <c r="H1310" s="28" t="n"/>
      <c r="I1310" s="28" t="n"/>
      <c r="J1310" s="22" t="n"/>
      <c r="K1310" s="23" t="n"/>
    </row>
    <row r="1311">
      <c r="A1311" s="27" t="n"/>
      <c r="B1311" s="23" t="n"/>
      <c r="C1311" s="23" t="n"/>
      <c r="D1311" s="28" t="n"/>
      <c r="E1311" s="28" t="n"/>
      <c r="F1311" s="28" t="n"/>
      <c r="G1311" s="28" t="n"/>
      <c r="H1311" s="28" t="n"/>
      <c r="I1311" s="28" t="n"/>
      <c r="J1311" s="22" t="n"/>
      <c r="K1311" s="23" t="n"/>
    </row>
    <row r="1312">
      <c r="A1312" s="27" t="n"/>
      <c r="B1312" s="23" t="n"/>
      <c r="C1312" s="23" t="n"/>
      <c r="D1312" s="28" t="n"/>
      <c r="E1312" s="28" t="n"/>
      <c r="F1312" s="28" t="n"/>
      <c r="G1312" s="28" t="n"/>
      <c r="H1312" s="28" t="n"/>
      <c r="I1312" s="28" t="n"/>
      <c r="J1312" s="22" t="n"/>
      <c r="K1312" s="23" t="n"/>
    </row>
    <row r="1313">
      <c r="A1313" s="27" t="n"/>
      <c r="B1313" s="23" t="n"/>
      <c r="C1313" s="23" t="n"/>
      <c r="D1313" s="28" t="n"/>
      <c r="E1313" s="28" t="n"/>
      <c r="F1313" s="28" t="n"/>
      <c r="G1313" s="28" t="n"/>
      <c r="H1313" s="28" t="n"/>
      <c r="I1313" s="28" t="n"/>
      <c r="J1313" s="22" t="n"/>
      <c r="K1313" s="23" t="n"/>
    </row>
    <row r="1314">
      <c r="A1314" s="27" t="n"/>
      <c r="B1314" s="23" t="n"/>
      <c r="C1314" s="23" t="n"/>
      <c r="D1314" s="28" t="n"/>
      <c r="E1314" s="28" t="n"/>
      <c r="F1314" s="28" t="n"/>
      <c r="G1314" s="28" t="n"/>
      <c r="H1314" s="28" t="n"/>
      <c r="I1314" s="28" t="n"/>
      <c r="J1314" s="22" t="n"/>
      <c r="K1314" s="23" t="n"/>
    </row>
    <row r="1315">
      <c r="A1315" s="27" t="n"/>
      <c r="B1315" s="23" t="n"/>
      <c r="C1315" s="23" t="n"/>
      <c r="D1315" s="28" t="n"/>
      <c r="E1315" s="28" t="n"/>
      <c r="F1315" s="28" t="n"/>
      <c r="G1315" s="28" t="n"/>
      <c r="H1315" s="28" t="n"/>
      <c r="I1315" s="28" t="n"/>
      <c r="J1315" s="22" t="n"/>
      <c r="K1315" s="23" t="n"/>
    </row>
    <row r="1316">
      <c r="A1316" s="27" t="n"/>
      <c r="B1316" s="23" t="n"/>
      <c r="C1316" s="23" t="n"/>
      <c r="D1316" s="28" t="n"/>
      <c r="E1316" s="28" t="n"/>
      <c r="F1316" s="28" t="n"/>
      <c r="G1316" s="28" t="n"/>
      <c r="H1316" s="28" t="n"/>
      <c r="I1316" s="28" t="n"/>
      <c r="J1316" s="22" t="n"/>
      <c r="K1316" s="23" t="n"/>
    </row>
    <row r="1317">
      <c r="A1317" s="27" t="n"/>
      <c r="B1317" s="23" t="n"/>
      <c r="C1317" s="23" t="n"/>
      <c r="D1317" s="28" t="n"/>
      <c r="E1317" s="28" t="n"/>
      <c r="F1317" s="28" t="n"/>
      <c r="G1317" s="28" t="n"/>
      <c r="H1317" s="28" t="n"/>
      <c r="I1317" s="28" t="n"/>
      <c r="J1317" s="22" t="n"/>
      <c r="K1317" s="23" t="n"/>
    </row>
    <row r="1318">
      <c r="A1318" s="27" t="n"/>
      <c r="B1318" s="23" t="n"/>
      <c r="C1318" s="23" t="n"/>
      <c r="D1318" s="28" t="n"/>
      <c r="E1318" s="28" t="n"/>
      <c r="F1318" s="28" t="n"/>
      <c r="G1318" s="28" t="n"/>
      <c r="H1318" s="28" t="n"/>
      <c r="I1318" s="28" t="n"/>
      <c r="J1318" s="22" t="n"/>
      <c r="K1318" s="23" t="n"/>
    </row>
    <row r="1319">
      <c r="A1319" s="27" t="n"/>
      <c r="B1319" s="23" t="n"/>
      <c r="C1319" s="23" t="n"/>
      <c r="D1319" s="28" t="n"/>
      <c r="E1319" s="28" t="n"/>
      <c r="F1319" s="28" t="n"/>
      <c r="G1319" s="28" t="n"/>
      <c r="H1319" s="28" t="n"/>
      <c r="I1319" s="28" t="n"/>
      <c r="J1319" s="22" t="n"/>
      <c r="K1319" s="23" t="n"/>
    </row>
    <row r="1320">
      <c r="A1320" s="27" t="n"/>
      <c r="B1320" s="23" t="n"/>
      <c r="C1320" s="23" t="n"/>
      <c r="D1320" s="28" t="n"/>
      <c r="E1320" s="28" t="n"/>
      <c r="F1320" s="28" t="n"/>
      <c r="G1320" s="28" t="n"/>
      <c r="H1320" s="28" t="n"/>
      <c r="I1320" s="28" t="n"/>
      <c r="J1320" s="22" t="n"/>
      <c r="K1320" s="23" t="n"/>
    </row>
    <row r="1321">
      <c r="A1321" s="27" t="n"/>
      <c r="B1321" s="23" t="n"/>
      <c r="C1321" s="23" t="n"/>
      <c r="D1321" s="28" t="n"/>
      <c r="E1321" s="28" t="n"/>
      <c r="F1321" s="28" t="n"/>
      <c r="G1321" s="28" t="n"/>
      <c r="H1321" s="28" t="n"/>
      <c r="I1321" s="28" t="n"/>
      <c r="J1321" s="22" t="n"/>
      <c r="K1321" s="23" t="n"/>
    </row>
    <row r="1322">
      <c r="A1322" s="27" t="n"/>
      <c r="B1322" s="23" t="n"/>
      <c r="C1322" s="23" t="n"/>
      <c r="D1322" s="28" t="n"/>
      <c r="E1322" s="28" t="n"/>
      <c r="F1322" s="28" t="n"/>
      <c r="G1322" s="28" t="n"/>
      <c r="H1322" s="28" t="n"/>
      <c r="I1322" s="28" t="n"/>
      <c r="J1322" s="22" t="n"/>
      <c r="K1322" s="23" t="n"/>
    </row>
    <row r="1323">
      <c r="A1323" s="27" t="n"/>
      <c r="B1323" s="23" t="n"/>
      <c r="C1323" s="23" t="n"/>
      <c r="D1323" s="28" t="n"/>
      <c r="E1323" s="28" t="n"/>
      <c r="F1323" s="28" t="n"/>
      <c r="G1323" s="28" t="n"/>
      <c r="H1323" s="28" t="n"/>
      <c r="I1323" s="28" t="n"/>
      <c r="J1323" s="22" t="n"/>
      <c r="K1323" s="23" t="n"/>
    </row>
    <row r="1324">
      <c r="A1324" s="27" t="n"/>
      <c r="B1324" s="23" t="n"/>
      <c r="C1324" s="23" t="n"/>
      <c r="D1324" s="28" t="n"/>
      <c r="E1324" s="28" t="n"/>
      <c r="F1324" s="28" t="n"/>
      <c r="G1324" s="28" t="n"/>
      <c r="H1324" s="28" t="n"/>
      <c r="I1324" s="28" t="n"/>
      <c r="J1324" s="22" t="n"/>
      <c r="K1324" s="23" t="n"/>
    </row>
    <row r="1325">
      <c r="A1325" s="27" t="n"/>
      <c r="B1325" s="23" t="n"/>
      <c r="C1325" s="23" t="n"/>
      <c r="D1325" s="28" t="n"/>
      <c r="E1325" s="28" t="n"/>
      <c r="F1325" s="28" t="n"/>
      <c r="G1325" s="28" t="n"/>
      <c r="H1325" s="28" t="n"/>
      <c r="I1325" s="28" t="n"/>
      <c r="J1325" s="22" t="n"/>
      <c r="K1325" s="23" t="n"/>
    </row>
    <row r="1326">
      <c r="A1326" s="27" t="n"/>
      <c r="B1326" s="23" t="n"/>
      <c r="C1326" s="23" t="n"/>
      <c r="D1326" s="28" t="n"/>
      <c r="E1326" s="28" t="n"/>
      <c r="F1326" s="28" t="n"/>
      <c r="G1326" s="28" t="n"/>
      <c r="H1326" s="28" t="n"/>
      <c r="I1326" s="28" t="n"/>
      <c r="J1326" s="22" t="n"/>
      <c r="K1326" s="23" t="n"/>
    </row>
    <row r="1327">
      <c r="A1327" s="27" t="n"/>
      <c r="B1327" s="23" t="n"/>
      <c r="C1327" s="23" t="n"/>
      <c r="D1327" s="28" t="n"/>
      <c r="E1327" s="28" t="n"/>
      <c r="F1327" s="28" t="n"/>
      <c r="G1327" s="28" t="n"/>
      <c r="H1327" s="28" t="n"/>
      <c r="I1327" s="28" t="n"/>
      <c r="J1327" s="22" t="n"/>
      <c r="K1327" s="23" t="n"/>
    </row>
    <row r="1328">
      <c r="A1328" s="27" t="n"/>
      <c r="B1328" s="23" t="n"/>
      <c r="C1328" s="23" t="n"/>
      <c r="D1328" s="28" t="n"/>
      <c r="E1328" s="28" t="n"/>
      <c r="F1328" s="28" t="n"/>
      <c r="G1328" s="28" t="n"/>
      <c r="H1328" s="28" t="n"/>
      <c r="I1328" s="28" t="n"/>
      <c r="J1328" s="22" t="n"/>
      <c r="K1328" s="23" t="n"/>
    </row>
    <row r="1329">
      <c r="A1329" s="27" t="n"/>
      <c r="B1329" s="23" t="n"/>
      <c r="C1329" s="23" t="n"/>
      <c r="D1329" s="28" t="n"/>
      <c r="E1329" s="28" t="n"/>
      <c r="F1329" s="28" t="n"/>
      <c r="G1329" s="28" t="n"/>
      <c r="H1329" s="28" t="n"/>
      <c r="I1329" s="28" t="n"/>
      <c r="J1329" s="22" t="n"/>
      <c r="K1329" s="23" t="n"/>
    </row>
    <row r="1330">
      <c r="A1330" s="27" t="n"/>
      <c r="B1330" s="23" t="n"/>
      <c r="C1330" s="23" t="n"/>
      <c r="D1330" s="28" t="n"/>
      <c r="E1330" s="28" t="n"/>
      <c r="F1330" s="28" t="n"/>
      <c r="G1330" s="28" t="n"/>
      <c r="H1330" s="28" t="n"/>
      <c r="I1330" s="28" t="n"/>
      <c r="J1330" s="22" t="n"/>
      <c r="K1330" s="23" t="n"/>
    </row>
    <row r="1331">
      <c r="A1331" s="27" t="n"/>
      <c r="B1331" s="23" t="n"/>
      <c r="C1331" s="23" t="n"/>
      <c r="D1331" s="28" t="n"/>
      <c r="E1331" s="28" t="n"/>
      <c r="F1331" s="28" t="n"/>
      <c r="G1331" s="28" t="n"/>
      <c r="H1331" s="28" t="n"/>
      <c r="I1331" s="28" t="n"/>
      <c r="J1331" s="22" t="n"/>
      <c r="K1331" s="23" t="n"/>
    </row>
    <row r="1332">
      <c r="A1332" s="27" t="n"/>
      <c r="B1332" s="23" t="n"/>
      <c r="C1332" s="23" t="n"/>
      <c r="D1332" s="28" t="n"/>
      <c r="E1332" s="28" t="n"/>
      <c r="F1332" s="28" t="n"/>
      <c r="G1332" s="28" t="n"/>
      <c r="H1332" s="28" t="n"/>
      <c r="I1332" s="28" t="n"/>
      <c r="J1332" s="22" t="n"/>
      <c r="K1332" s="23" t="n"/>
    </row>
    <row r="1333">
      <c r="A1333" s="27" t="n"/>
      <c r="B1333" s="23" t="n"/>
      <c r="C1333" s="23" t="n"/>
      <c r="D1333" s="28" t="n"/>
      <c r="E1333" s="28" t="n"/>
      <c r="F1333" s="28" t="n"/>
      <c r="G1333" s="28" t="n"/>
      <c r="H1333" s="28" t="n"/>
      <c r="I1333" s="28" t="n"/>
      <c r="J1333" s="22" t="n"/>
      <c r="K1333" s="23" t="n"/>
    </row>
    <row r="1334">
      <c r="A1334" s="27" t="n"/>
      <c r="B1334" s="23" t="n"/>
      <c r="C1334" s="23" t="n"/>
      <c r="D1334" s="28" t="n"/>
      <c r="E1334" s="28" t="n"/>
      <c r="F1334" s="28" t="n"/>
      <c r="G1334" s="28" t="n"/>
      <c r="H1334" s="28" t="n"/>
      <c r="I1334" s="28" t="n"/>
      <c r="J1334" s="22" t="n"/>
      <c r="K1334" s="23" t="n"/>
    </row>
    <row r="1335">
      <c r="A1335" s="27" t="n"/>
      <c r="B1335" s="23" t="n"/>
      <c r="C1335" s="23" t="n"/>
      <c r="D1335" s="28" t="n"/>
      <c r="E1335" s="28" t="n"/>
      <c r="F1335" s="28" t="n"/>
      <c r="G1335" s="28" t="n"/>
      <c r="H1335" s="28" t="n"/>
      <c r="I1335" s="28" t="n"/>
      <c r="J1335" s="22" t="n"/>
      <c r="K1335" s="23" t="n"/>
    </row>
    <row r="1336">
      <c r="A1336" s="27" t="n"/>
      <c r="B1336" s="23" t="n"/>
      <c r="C1336" s="23" t="n"/>
      <c r="D1336" s="28" t="n"/>
      <c r="E1336" s="28" t="n"/>
      <c r="F1336" s="28" t="n"/>
      <c r="G1336" s="28" t="n"/>
      <c r="H1336" s="28" t="n"/>
      <c r="I1336" s="28" t="n"/>
      <c r="J1336" s="22" t="n"/>
      <c r="K1336" s="23" t="n"/>
    </row>
    <row r="1337">
      <c r="A1337" s="27" t="n"/>
      <c r="B1337" s="23" t="n"/>
      <c r="C1337" s="23" t="n"/>
      <c r="D1337" s="28" t="n"/>
      <c r="E1337" s="28" t="n"/>
      <c r="F1337" s="28" t="n"/>
      <c r="G1337" s="28" t="n"/>
      <c r="H1337" s="28" t="n"/>
      <c r="I1337" s="28" t="n"/>
      <c r="J1337" s="22" t="n"/>
      <c r="K1337" s="23" t="n"/>
    </row>
    <row r="1338">
      <c r="A1338" s="27" t="n"/>
      <c r="B1338" s="23" t="n"/>
      <c r="C1338" s="23" t="n"/>
      <c r="D1338" s="28" t="n"/>
      <c r="E1338" s="28" t="n"/>
      <c r="F1338" s="28" t="n"/>
      <c r="G1338" s="28" t="n"/>
      <c r="H1338" s="28" t="n"/>
      <c r="I1338" s="28" t="n"/>
      <c r="J1338" s="22" t="n"/>
      <c r="K1338" s="23" t="n"/>
    </row>
    <row r="1339">
      <c r="A1339" s="27" t="n"/>
      <c r="B1339" s="23" t="n"/>
      <c r="C1339" s="23" t="n"/>
      <c r="D1339" s="28" t="n"/>
      <c r="E1339" s="28" t="n"/>
      <c r="F1339" s="28" t="n"/>
      <c r="G1339" s="28" t="n"/>
      <c r="H1339" s="28" t="n"/>
      <c r="I1339" s="28" t="n"/>
      <c r="J1339" s="22" t="n"/>
      <c r="K1339" s="23" t="n"/>
    </row>
    <row r="1340">
      <c r="A1340" s="27" t="n"/>
      <c r="B1340" s="23" t="n"/>
      <c r="C1340" s="23" t="n"/>
      <c r="D1340" s="28" t="n"/>
      <c r="E1340" s="28" t="n"/>
      <c r="F1340" s="28" t="n"/>
      <c r="G1340" s="28" t="n"/>
      <c r="H1340" s="28" t="n"/>
      <c r="I1340" s="28" t="n"/>
      <c r="J1340" s="22" t="n"/>
      <c r="K1340" s="23" t="n"/>
    </row>
    <row r="1341">
      <c r="A1341" s="27" t="n"/>
      <c r="B1341" s="23" t="n"/>
      <c r="C1341" s="23" t="n"/>
      <c r="D1341" s="28" t="n"/>
      <c r="E1341" s="28" t="n"/>
      <c r="F1341" s="28" t="n"/>
      <c r="G1341" s="28" t="n"/>
      <c r="H1341" s="28" t="n"/>
      <c r="I1341" s="28" t="n"/>
      <c r="J1341" s="22" t="n"/>
      <c r="K1341" s="23" t="n"/>
    </row>
    <row r="1342">
      <c r="A1342" s="27" t="n"/>
      <c r="B1342" s="23" t="n"/>
      <c r="C1342" s="23" t="n"/>
      <c r="D1342" s="28" t="n"/>
      <c r="E1342" s="28" t="n"/>
      <c r="F1342" s="28" t="n"/>
      <c r="G1342" s="28" t="n"/>
      <c r="H1342" s="28" t="n"/>
      <c r="I1342" s="28" t="n"/>
      <c r="J1342" s="22" t="n"/>
      <c r="K1342" s="23" t="n"/>
    </row>
    <row r="1343">
      <c r="A1343" s="27" t="n"/>
      <c r="B1343" s="23" t="n"/>
      <c r="C1343" s="23" t="n"/>
      <c r="D1343" s="28" t="n"/>
      <c r="E1343" s="28" t="n"/>
      <c r="F1343" s="28" t="n"/>
      <c r="G1343" s="28" t="n"/>
      <c r="H1343" s="28" t="n"/>
      <c r="I1343" s="28" t="n"/>
      <c r="J1343" s="22" t="n"/>
      <c r="K1343" s="23" t="n"/>
    </row>
    <row r="1344">
      <c r="A1344" s="27" t="n"/>
      <c r="B1344" s="23" t="n"/>
      <c r="C1344" s="23" t="n"/>
      <c r="D1344" s="28" t="n"/>
      <c r="E1344" s="28" t="n"/>
      <c r="F1344" s="28" t="n"/>
      <c r="G1344" s="28" t="n"/>
      <c r="H1344" s="28" t="n"/>
      <c r="I1344" s="28" t="n"/>
      <c r="J1344" s="22" t="n"/>
      <c r="K1344" s="23" t="n"/>
    </row>
    <row r="1345">
      <c r="A1345" s="27" t="n"/>
      <c r="B1345" s="23" t="n"/>
      <c r="C1345" s="23" t="n"/>
      <c r="D1345" s="28" t="n"/>
      <c r="E1345" s="28" t="n"/>
      <c r="F1345" s="28" t="n"/>
      <c r="G1345" s="28" t="n"/>
      <c r="H1345" s="28" t="n"/>
      <c r="I1345" s="28" t="n"/>
      <c r="J1345" s="22" t="n"/>
      <c r="K1345" s="23" t="n"/>
    </row>
    <row r="1346">
      <c r="A1346" s="27" t="n"/>
      <c r="B1346" s="23" t="n"/>
      <c r="C1346" s="23" t="n"/>
      <c r="D1346" s="28" t="n"/>
      <c r="E1346" s="28" t="n"/>
      <c r="F1346" s="28" t="n"/>
      <c r="G1346" s="28" t="n"/>
      <c r="H1346" s="28" t="n"/>
      <c r="I1346" s="28" t="n"/>
      <c r="J1346" s="22" t="n"/>
      <c r="K1346" s="23" t="n"/>
    </row>
    <row r="1347">
      <c r="A1347" s="27" t="n"/>
      <c r="B1347" s="23" t="n"/>
      <c r="C1347" s="23" t="n"/>
      <c r="D1347" s="28" t="n"/>
      <c r="E1347" s="28" t="n"/>
      <c r="F1347" s="28" t="n"/>
      <c r="G1347" s="28" t="n"/>
      <c r="H1347" s="28" t="n"/>
      <c r="I1347" s="28" t="n"/>
      <c r="J1347" s="22" t="n"/>
      <c r="K1347" s="23" t="n"/>
    </row>
    <row r="1348">
      <c r="A1348" s="27" t="n"/>
      <c r="B1348" s="23" t="n"/>
      <c r="C1348" s="23" t="n"/>
      <c r="D1348" s="28" t="n"/>
      <c r="E1348" s="28" t="n"/>
      <c r="F1348" s="28" t="n"/>
      <c r="G1348" s="28" t="n"/>
      <c r="H1348" s="28" t="n"/>
      <c r="I1348" s="28" t="n"/>
      <c r="J1348" s="22" t="n"/>
      <c r="K1348" s="23" t="n"/>
    </row>
    <row r="1349">
      <c r="A1349" s="27" t="n"/>
      <c r="B1349" s="23" t="n"/>
      <c r="C1349" s="23" t="n"/>
      <c r="D1349" s="28" t="n"/>
      <c r="E1349" s="28" t="n"/>
      <c r="F1349" s="28" t="n"/>
      <c r="G1349" s="28" t="n"/>
      <c r="H1349" s="28" t="n"/>
      <c r="I1349" s="28" t="n"/>
      <c r="J1349" s="22" t="n"/>
      <c r="K1349" s="23" t="n"/>
    </row>
    <row r="1350">
      <c r="A1350" s="27" t="n"/>
      <c r="B1350" s="23" t="n"/>
      <c r="C1350" s="23" t="n"/>
      <c r="D1350" s="28" t="n"/>
      <c r="E1350" s="28" t="n"/>
      <c r="F1350" s="28" t="n"/>
      <c r="G1350" s="28" t="n"/>
      <c r="H1350" s="28" t="n"/>
      <c r="I1350" s="28" t="n"/>
      <c r="J1350" s="22" t="n"/>
      <c r="K1350" s="23" t="n"/>
    </row>
    <row r="1351">
      <c r="A1351" s="27" t="n"/>
      <c r="B1351" s="23" t="n"/>
      <c r="C1351" s="23" t="n"/>
      <c r="D1351" s="28" t="n"/>
      <c r="E1351" s="28" t="n"/>
      <c r="F1351" s="28" t="n"/>
      <c r="G1351" s="28" t="n"/>
      <c r="H1351" s="28" t="n"/>
      <c r="I1351" s="28" t="n"/>
      <c r="J1351" s="22" t="n"/>
      <c r="K1351" s="23" t="n"/>
    </row>
    <row r="1352">
      <c r="A1352" s="27" t="n"/>
      <c r="B1352" s="23" t="n"/>
      <c r="C1352" s="23" t="n"/>
      <c r="D1352" s="28" t="n"/>
      <c r="E1352" s="28" t="n"/>
      <c r="F1352" s="28" t="n"/>
      <c r="G1352" s="28" t="n"/>
      <c r="H1352" s="28" t="n"/>
      <c r="I1352" s="28" t="n"/>
      <c r="J1352" s="22" t="n"/>
      <c r="K1352" s="23" t="n"/>
    </row>
    <row r="1353">
      <c r="A1353" s="27" t="n"/>
      <c r="B1353" s="23" t="n"/>
      <c r="C1353" s="23" t="n"/>
      <c r="D1353" s="28" t="n"/>
      <c r="E1353" s="28" t="n"/>
      <c r="F1353" s="28" t="n"/>
      <c r="G1353" s="28" t="n"/>
      <c r="H1353" s="28" t="n"/>
      <c r="I1353" s="28" t="n"/>
      <c r="J1353" s="22" t="n"/>
      <c r="K1353" s="23" t="n"/>
    </row>
    <row r="1354">
      <c r="A1354" s="27" t="n"/>
      <c r="B1354" s="23" t="n"/>
      <c r="C1354" s="23" t="n"/>
      <c r="D1354" s="28" t="n"/>
      <c r="E1354" s="28" t="n"/>
      <c r="F1354" s="28" t="n"/>
      <c r="G1354" s="28" t="n"/>
      <c r="H1354" s="28" t="n"/>
      <c r="I1354" s="28" t="n"/>
      <c r="J1354" s="22" t="n"/>
      <c r="K1354" s="23" t="n"/>
    </row>
    <row r="1355">
      <c r="A1355" s="27" t="n"/>
      <c r="B1355" s="23" t="n"/>
      <c r="C1355" s="23" t="n"/>
      <c r="D1355" s="28" t="n"/>
      <c r="E1355" s="28" t="n"/>
      <c r="F1355" s="28" t="n"/>
      <c r="G1355" s="28" t="n"/>
      <c r="H1355" s="28" t="n"/>
      <c r="I1355" s="28" t="n"/>
      <c r="J1355" s="22" t="n"/>
      <c r="K1355" s="23" t="n"/>
    </row>
    <row r="1356">
      <c r="A1356" s="27" t="n"/>
      <c r="B1356" s="23" t="n"/>
      <c r="C1356" s="23" t="n"/>
      <c r="D1356" s="28" t="n"/>
      <c r="E1356" s="28" t="n"/>
      <c r="F1356" s="28" t="n"/>
      <c r="G1356" s="28" t="n"/>
      <c r="H1356" s="28" t="n"/>
      <c r="I1356" s="28" t="n"/>
      <c r="J1356" s="22" t="n"/>
      <c r="K1356" s="23" t="n"/>
    </row>
    <row r="1357">
      <c r="A1357" s="27" t="n"/>
      <c r="B1357" s="23" t="n"/>
      <c r="C1357" s="23" t="n"/>
      <c r="D1357" s="28" t="n"/>
      <c r="E1357" s="28" t="n"/>
      <c r="F1357" s="28" t="n"/>
      <c r="G1357" s="28" t="n"/>
      <c r="H1357" s="28" t="n"/>
      <c r="I1357" s="28" t="n"/>
      <c r="J1357" s="22" t="n"/>
      <c r="K1357" s="23" t="n"/>
    </row>
    <row r="1358">
      <c r="A1358" s="27" t="n"/>
      <c r="B1358" s="23" t="n"/>
      <c r="C1358" s="23" t="n"/>
      <c r="D1358" s="28" t="n"/>
      <c r="E1358" s="28" t="n"/>
      <c r="F1358" s="28" t="n"/>
      <c r="G1358" s="28" t="n"/>
      <c r="H1358" s="28" t="n"/>
      <c r="I1358" s="28" t="n"/>
      <c r="J1358" s="22" t="n"/>
      <c r="K1358" s="23" t="n"/>
    </row>
    <row r="1359">
      <c r="A1359" s="27" t="n"/>
      <c r="B1359" s="23" t="n"/>
      <c r="C1359" s="23" t="n"/>
      <c r="D1359" s="28" t="n"/>
      <c r="E1359" s="28" t="n"/>
      <c r="F1359" s="28" t="n"/>
      <c r="G1359" s="28" t="n"/>
      <c r="H1359" s="28" t="n"/>
      <c r="I1359" s="28" t="n"/>
      <c r="J1359" s="22" t="n"/>
      <c r="K1359" s="23" t="n"/>
    </row>
    <row r="1360">
      <c r="A1360" s="27" t="n"/>
      <c r="B1360" s="23" t="n"/>
      <c r="C1360" s="23" t="n"/>
      <c r="D1360" s="28" t="n"/>
      <c r="E1360" s="28" t="n"/>
      <c r="F1360" s="28" t="n"/>
      <c r="G1360" s="28" t="n"/>
      <c r="H1360" s="28" t="n"/>
      <c r="I1360" s="28" t="n"/>
      <c r="J1360" s="22" t="n"/>
      <c r="K1360" s="23" t="n"/>
    </row>
    <row r="1361">
      <c r="A1361" s="27" t="n"/>
      <c r="B1361" s="23" t="n"/>
      <c r="C1361" s="23" t="n"/>
      <c r="D1361" s="28" t="n"/>
      <c r="E1361" s="28" t="n"/>
      <c r="F1361" s="28" t="n"/>
      <c r="G1361" s="28" t="n"/>
      <c r="H1361" s="28" t="n"/>
      <c r="I1361" s="28" t="n"/>
      <c r="J1361" s="22" t="n"/>
      <c r="K1361" s="23" t="n"/>
    </row>
    <row r="1362">
      <c r="A1362" s="27" t="n"/>
      <c r="B1362" s="23" t="n"/>
      <c r="C1362" s="23" t="n"/>
      <c r="D1362" s="28" t="n"/>
      <c r="E1362" s="28" t="n"/>
      <c r="F1362" s="28" t="n"/>
      <c r="G1362" s="28" t="n"/>
      <c r="H1362" s="28" t="n"/>
      <c r="I1362" s="28" t="n"/>
      <c r="J1362" s="22" t="n"/>
      <c r="K1362" s="23" t="n"/>
    </row>
    <row r="1363">
      <c r="A1363" s="27" t="n"/>
      <c r="B1363" s="23" t="n"/>
      <c r="C1363" s="23" t="n"/>
      <c r="D1363" s="28" t="n"/>
      <c r="E1363" s="28" t="n"/>
      <c r="F1363" s="28" t="n"/>
      <c r="G1363" s="28" t="n"/>
      <c r="H1363" s="28" t="n"/>
      <c r="I1363" s="28" t="n"/>
      <c r="J1363" s="22" t="n"/>
      <c r="K1363" s="23" t="n"/>
    </row>
    <row r="1364">
      <c r="A1364" s="27" t="n"/>
      <c r="B1364" s="23" t="n"/>
      <c r="C1364" s="23" t="n"/>
      <c r="D1364" s="28" t="n"/>
      <c r="E1364" s="28" t="n"/>
      <c r="F1364" s="28" t="n"/>
      <c r="G1364" s="28" t="n"/>
      <c r="H1364" s="28" t="n"/>
      <c r="I1364" s="28" t="n"/>
      <c r="J1364" s="22" t="n"/>
      <c r="K1364" s="23" t="n"/>
    </row>
    <row r="1365">
      <c r="A1365" s="27" t="n"/>
      <c r="B1365" s="23" t="n"/>
      <c r="C1365" s="23" t="n"/>
      <c r="D1365" s="28" t="n"/>
      <c r="E1365" s="28" t="n"/>
      <c r="F1365" s="28" t="n"/>
      <c r="G1365" s="28" t="n"/>
      <c r="H1365" s="28" t="n"/>
      <c r="I1365" s="28" t="n"/>
      <c r="J1365" s="22" t="n"/>
      <c r="K1365" s="23" t="n"/>
    </row>
    <row r="1366">
      <c r="A1366" s="27" t="n"/>
      <c r="B1366" s="23" t="n"/>
      <c r="C1366" s="23" t="n"/>
      <c r="D1366" s="28" t="n"/>
      <c r="E1366" s="28" t="n"/>
      <c r="F1366" s="28" t="n"/>
      <c r="G1366" s="28" t="n"/>
      <c r="H1366" s="28" t="n"/>
      <c r="I1366" s="28" t="n"/>
      <c r="J1366" s="22" t="n"/>
      <c r="K1366" s="23" t="n"/>
    </row>
    <row r="1367">
      <c r="A1367" s="27" t="n"/>
      <c r="B1367" s="23" t="n"/>
      <c r="C1367" s="23" t="n"/>
      <c r="D1367" s="28" t="n"/>
      <c r="E1367" s="28" t="n"/>
      <c r="F1367" s="28" t="n"/>
      <c r="G1367" s="28" t="n"/>
      <c r="H1367" s="28" t="n"/>
      <c r="I1367" s="28" t="n"/>
      <c r="J1367" s="22" t="n"/>
      <c r="K1367" s="23" t="n"/>
    </row>
    <row r="1368">
      <c r="A1368" s="27" t="n"/>
      <c r="B1368" s="23" t="n"/>
      <c r="C1368" s="23" t="n"/>
      <c r="D1368" s="28" t="n"/>
      <c r="E1368" s="28" t="n"/>
      <c r="F1368" s="28" t="n"/>
      <c r="G1368" s="28" t="n"/>
      <c r="H1368" s="28" t="n"/>
      <c r="I1368" s="28" t="n"/>
      <c r="J1368" s="22" t="n"/>
      <c r="K1368" s="23" t="n"/>
    </row>
    <row r="1369">
      <c r="A1369" s="27" t="n"/>
      <c r="B1369" s="23" t="n"/>
      <c r="C1369" s="23" t="n"/>
      <c r="D1369" s="28" t="n"/>
      <c r="E1369" s="28" t="n"/>
      <c r="F1369" s="28" t="n"/>
      <c r="G1369" s="28" t="n"/>
      <c r="H1369" s="28" t="n"/>
      <c r="I1369" s="28" t="n"/>
      <c r="J1369" s="22" t="n"/>
      <c r="K1369" s="23" t="n"/>
    </row>
    <row r="1370">
      <c r="A1370" s="27" t="n"/>
      <c r="B1370" s="23" t="n"/>
      <c r="C1370" s="23" t="n"/>
      <c r="D1370" s="28" t="n"/>
      <c r="E1370" s="28" t="n"/>
      <c r="F1370" s="28" t="n"/>
      <c r="G1370" s="28" t="n"/>
      <c r="H1370" s="28" t="n"/>
      <c r="I1370" s="28" t="n"/>
      <c r="J1370" s="22" t="n"/>
      <c r="K1370" s="23" t="n"/>
    </row>
    <row r="1371">
      <c r="A1371" s="27" t="n"/>
      <c r="B1371" s="23" t="n"/>
      <c r="C1371" s="23" t="n"/>
      <c r="D1371" s="28" t="n"/>
      <c r="E1371" s="28" t="n"/>
      <c r="F1371" s="28" t="n"/>
      <c r="G1371" s="28" t="n"/>
      <c r="H1371" s="28" t="n"/>
      <c r="I1371" s="28" t="n"/>
      <c r="J1371" s="22" t="n"/>
      <c r="K1371" s="23" t="n"/>
    </row>
    <row r="1372">
      <c r="A1372" s="27" t="n"/>
      <c r="B1372" s="23" t="n"/>
      <c r="C1372" s="23" t="n"/>
      <c r="D1372" s="28" t="n"/>
      <c r="E1372" s="28" t="n"/>
      <c r="F1372" s="28" t="n"/>
      <c r="G1372" s="28" t="n"/>
      <c r="H1372" s="28" t="n"/>
      <c r="I1372" s="28" t="n"/>
      <c r="J1372" s="22" t="n"/>
      <c r="K1372" s="23" t="n"/>
    </row>
    <row r="1373">
      <c r="A1373" s="27" t="n"/>
      <c r="B1373" s="23" t="n"/>
      <c r="C1373" s="23" t="n"/>
      <c r="D1373" s="28" t="n"/>
      <c r="E1373" s="28" t="n"/>
      <c r="F1373" s="28" t="n"/>
      <c r="G1373" s="28" t="n"/>
      <c r="H1373" s="28" t="n"/>
      <c r="I1373" s="28" t="n"/>
      <c r="J1373" s="22" t="n"/>
      <c r="K1373" s="23" t="n"/>
    </row>
    <row r="1374">
      <c r="A1374" s="27" t="n"/>
      <c r="B1374" s="23" t="n"/>
      <c r="C1374" s="23" t="n"/>
      <c r="D1374" s="28" t="n"/>
      <c r="E1374" s="28" t="n"/>
      <c r="F1374" s="28" t="n"/>
      <c r="G1374" s="28" t="n"/>
      <c r="H1374" s="28" t="n"/>
      <c r="I1374" s="28" t="n"/>
      <c r="J1374" s="22" t="n"/>
      <c r="K1374" s="23" t="n"/>
    </row>
    <row r="1375">
      <c r="A1375" s="27" t="n"/>
      <c r="B1375" s="23" t="n"/>
      <c r="C1375" s="23" t="n"/>
      <c r="D1375" s="28" t="n"/>
      <c r="E1375" s="28" t="n"/>
      <c r="F1375" s="28" t="n"/>
      <c r="G1375" s="28" t="n"/>
      <c r="H1375" s="28" t="n"/>
      <c r="I1375" s="28" t="n"/>
      <c r="J1375" s="22" t="n"/>
      <c r="K1375" s="23" t="n"/>
    </row>
    <row r="1376">
      <c r="A1376" s="27" t="n"/>
      <c r="B1376" s="23" t="n"/>
      <c r="C1376" s="23" t="n"/>
      <c r="D1376" s="28" t="n"/>
      <c r="E1376" s="28" t="n"/>
      <c r="F1376" s="28" t="n"/>
      <c r="G1376" s="28" t="n"/>
      <c r="H1376" s="28" t="n"/>
      <c r="I1376" s="28" t="n"/>
      <c r="J1376" s="22" t="n"/>
      <c r="K1376" s="23" t="n"/>
    </row>
    <row r="1377">
      <c r="A1377" s="27" t="n"/>
      <c r="B1377" s="23" t="n"/>
      <c r="C1377" s="23" t="n"/>
      <c r="D1377" s="28" t="n"/>
      <c r="E1377" s="28" t="n"/>
      <c r="F1377" s="28" t="n"/>
      <c r="G1377" s="28" t="n"/>
      <c r="H1377" s="28" t="n"/>
      <c r="I1377" s="28" t="n"/>
      <c r="J1377" s="22" t="n"/>
      <c r="K1377" s="23" t="n"/>
    </row>
    <row r="1378">
      <c r="A1378" s="27" t="n"/>
      <c r="B1378" s="23" t="n"/>
      <c r="C1378" s="23" t="n"/>
      <c r="D1378" s="28" t="n"/>
      <c r="E1378" s="28" t="n"/>
      <c r="F1378" s="28" t="n"/>
      <c r="G1378" s="28" t="n"/>
      <c r="H1378" s="28" t="n"/>
      <c r="I1378" s="28" t="n"/>
      <c r="J1378" s="22" t="n"/>
      <c r="K1378" s="23" t="n"/>
    </row>
    <row r="1379">
      <c r="A1379" s="27" t="n"/>
      <c r="B1379" s="23" t="n"/>
      <c r="C1379" s="23" t="n"/>
      <c r="D1379" s="28" t="n"/>
      <c r="E1379" s="28" t="n"/>
      <c r="F1379" s="28" t="n"/>
      <c r="G1379" s="28" t="n"/>
      <c r="H1379" s="28" t="n"/>
      <c r="I1379" s="28" t="n"/>
      <c r="J1379" s="22" t="n"/>
      <c r="K1379" s="23" t="n"/>
    </row>
    <row r="1380">
      <c r="A1380" s="27" t="n"/>
      <c r="B1380" s="23" t="n"/>
      <c r="C1380" s="23" t="n"/>
      <c r="D1380" s="28" t="n"/>
      <c r="E1380" s="28" t="n"/>
      <c r="F1380" s="28" t="n"/>
      <c r="G1380" s="28" t="n"/>
      <c r="H1380" s="28" t="n"/>
      <c r="I1380" s="28" t="n"/>
      <c r="J1380" s="22" t="n"/>
      <c r="K1380" s="23" t="n"/>
    </row>
    <row r="1381">
      <c r="A1381" s="27" t="n"/>
      <c r="B1381" s="23" t="n"/>
      <c r="C1381" s="23" t="n"/>
      <c r="D1381" s="28" t="n"/>
      <c r="E1381" s="28" t="n"/>
      <c r="F1381" s="28" t="n"/>
      <c r="G1381" s="28" t="n"/>
      <c r="H1381" s="28" t="n"/>
      <c r="I1381" s="28" t="n"/>
      <c r="J1381" s="22" t="n"/>
      <c r="K1381" s="23" t="n"/>
    </row>
    <row r="1382">
      <c r="A1382" s="27" t="n"/>
      <c r="B1382" s="23" t="n"/>
      <c r="C1382" s="23" t="n"/>
      <c r="D1382" s="28" t="n"/>
      <c r="E1382" s="28" t="n"/>
      <c r="F1382" s="28" t="n"/>
      <c r="G1382" s="28" t="n"/>
      <c r="H1382" s="28" t="n"/>
      <c r="I1382" s="28" t="n"/>
      <c r="J1382" s="22" t="n"/>
      <c r="K1382" s="23" t="n"/>
    </row>
    <row r="1383">
      <c r="A1383" s="27" t="n"/>
      <c r="B1383" s="23" t="n"/>
      <c r="C1383" s="23" t="n"/>
      <c r="D1383" s="28" t="n"/>
      <c r="E1383" s="28" t="n"/>
      <c r="F1383" s="28" t="n"/>
      <c r="G1383" s="28" t="n"/>
      <c r="H1383" s="28" t="n"/>
      <c r="I1383" s="28" t="n"/>
      <c r="J1383" s="22" t="n"/>
      <c r="K1383" s="23" t="n"/>
    </row>
    <row r="1384">
      <c r="A1384" s="27" t="n"/>
      <c r="B1384" s="23" t="n"/>
      <c r="C1384" s="23" t="n"/>
      <c r="D1384" s="28" t="n"/>
      <c r="E1384" s="28" t="n"/>
      <c r="F1384" s="28" t="n"/>
      <c r="G1384" s="28" t="n"/>
      <c r="H1384" s="28" t="n"/>
      <c r="I1384" s="28" t="n"/>
      <c r="J1384" s="22" t="n"/>
      <c r="K1384" s="23" t="n"/>
    </row>
    <row r="1385">
      <c r="A1385" s="27" t="n"/>
      <c r="B1385" s="23" t="n"/>
      <c r="C1385" s="23" t="n"/>
      <c r="D1385" s="28" t="n"/>
      <c r="E1385" s="28" t="n"/>
      <c r="F1385" s="28" t="n"/>
      <c r="G1385" s="28" t="n"/>
      <c r="H1385" s="28" t="n"/>
      <c r="I1385" s="28" t="n"/>
      <c r="J1385" s="22" t="n"/>
      <c r="K1385" s="23" t="n"/>
    </row>
    <row r="1386">
      <c r="A1386" s="27" t="n"/>
      <c r="B1386" s="23" t="n"/>
      <c r="C1386" s="23" t="n"/>
      <c r="D1386" s="28" t="n"/>
      <c r="E1386" s="28" t="n"/>
      <c r="F1386" s="28" t="n"/>
      <c r="G1386" s="28" t="n"/>
      <c r="H1386" s="28" t="n"/>
      <c r="I1386" s="28" t="n"/>
      <c r="J1386" s="22" t="n"/>
      <c r="K1386" s="23" t="n"/>
    </row>
    <row r="1387">
      <c r="A1387" s="27" t="n"/>
      <c r="B1387" s="23" t="n"/>
      <c r="C1387" s="23" t="n"/>
      <c r="D1387" s="28" t="n"/>
      <c r="E1387" s="28" t="n"/>
      <c r="F1387" s="28" t="n"/>
      <c r="G1387" s="28" t="n"/>
      <c r="H1387" s="28" t="n"/>
      <c r="I1387" s="28" t="n"/>
      <c r="J1387" s="22" t="n"/>
      <c r="K1387" s="23" t="n"/>
    </row>
    <row r="1388">
      <c r="A1388" s="27" t="n"/>
      <c r="B1388" s="23" t="n"/>
      <c r="C1388" s="23" t="n"/>
      <c r="D1388" s="28" t="n"/>
      <c r="E1388" s="28" t="n"/>
      <c r="F1388" s="28" t="n"/>
      <c r="G1388" s="28" t="n"/>
      <c r="H1388" s="28" t="n"/>
      <c r="I1388" s="28" t="n"/>
      <c r="J1388" s="22" t="n"/>
      <c r="K1388" s="23" t="n"/>
    </row>
    <row r="1389">
      <c r="A1389" s="27" t="n"/>
      <c r="B1389" s="23" t="n"/>
      <c r="C1389" s="23" t="n"/>
      <c r="D1389" s="28" t="n"/>
      <c r="E1389" s="28" t="n"/>
      <c r="F1389" s="28" t="n"/>
      <c r="G1389" s="28" t="n"/>
      <c r="H1389" s="28" t="n"/>
      <c r="I1389" s="28" t="n"/>
      <c r="J1389" s="22" t="n"/>
      <c r="K1389" s="23" t="n"/>
    </row>
    <row r="1390">
      <c r="A1390" s="27" t="n"/>
      <c r="B1390" s="23" t="n"/>
      <c r="C1390" s="23" t="n"/>
      <c r="D1390" s="28" t="n"/>
      <c r="E1390" s="28" t="n"/>
      <c r="F1390" s="28" t="n"/>
      <c r="G1390" s="28" t="n"/>
      <c r="H1390" s="28" t="n"/>
      <c r="I1390" s="28" t="n"/>
      <c r="J1390" s="22" t="n"/>
      <c r="K1390" s="23" t="n"/>
    </row>
    <row r="1391">
      <c r="A1391" s="27" t="n"/>
      <c r="B1391" s="23" t="n"/>
      <c r="C1391" s="23" t="n"/>
      <c r="D1391" s="28" t="n"/>
      <c r="E1391" s="28" t="n"/>
      <c r="F1391" s="28" t="n"/>
      <c r="G1391" s="28" t="n"/>
      <c r="H1391" s="28" t="n"/>
      <c r="I1391" s="28" t="n"/>
      <c r="J1391" s="22" t="n"/>
      <c r="K1391" s="23" t="n"/>
    </row>
    <row r="1392">
      <c r="A1392" s="27" t="n"/>
      <c r="B1392" s="23" t="n"/>
      <c r="C1392" s="23" t="n"/>
      <c r="D1392" s="28" t="n"/>
      <c r="E1392" s="28" t="n"/>
      <c r="F1392" s="28" t="n"/>
      <c r="G1392" s="28" t="n"/>
      <c r="H1392" s="28" t="n"/>
      <c r="I1392" s="28" t="n"/>
      <c r="J1392" s="22" t="n"/>
      <c r="K1392" s="23" t="n"/>
    </row>
    <row r="1393">
      <c r="A1393" s="27" t="n"/>
      <c r="B1393" s="23" t="n"/>
      <c r="C1393" s="23" t="n"/>
      <c r="D1393" s="28" t="n"/>
      <c r="E1393" s="28" t="n"/>
      <c r="F1393" s="28" t="n"/>
      <c r="G1393" s="28" t="n"/>
      <c r="H1393" s="28" t="n"/>
      <c r="I1393" s="28" t="n"/>
      <c r="J1393" s="22" t="n"/>
      <c r="K1393" s="23" t="n"/>
    </row>
    <row r="1394">
      <c r="A1394" s="27" t="n"/>
      <c r="B1394" s="23" t="n"/>
      <c r="C1394" s="23" t="n"/>
      <c r="D1394" s="28" t="n"/>
      <c r="E1394" s="28" t="n"/>
      <c r="F1394" s="28" t="n"/>
      <c r="G1394" s="28" t="n"/>
      <c r="H1394" s="28" t="n"/>
      <c r="I1394" s="28" t="n"/>
      <c r="J1394" s="22" t="n"/>
      <c r="K1394" s="23" t="n"/>
    </row>
    <row r="1395">
      <c r="A1395" s="27" t="n"/>
      <c r="B1395" s="23" t="n"/>
      <c r="C1395" s="23" t="n"/>
      <c r="D1395" s="28" t="n"/>
      <c r="E1395" s="28" t="n"/>
      <c r="F1395" s="28" t="n"/>
      <c r="G1395" s="28" t="n"/>
      <c r="H1395" s="28" t="n"/>
      <c r="I1395" s="28" t="n"/>
      <c r="J1395" s="22" t="n"/>
      <c r="K1395" s="23" t="n"/>
    </row>
    <row r="1396">
      <c r="A1396" s="27" t="n"/>
      <c r="B1396" s="23" t="n"/>
      <c r="C1396" s="23" t="n"/>
      <c r="D1396" s="28" t="n"/>
      <c r="E1396" s="28" t="n"/>
      <c r="F1396" s="28" t="n"/>
      <c r="G1396" s="28" t="n"/>
      <c r="H1396" s="28" t="n"/>
      <c r="I1396" s="28" t="n"/>
      <c r="J1396" s="22" t="n"/>
      <c r="K1396" s="23" t="n"/>
    </row>
    <row r="1397">
      <c r="A1397" s="27" t="n"/>
      <c r="B1397" s="23" t="n"/>
      <c r="C1397" s="23" t="n"/>
      <c r="D1397" s="28" t="n"/>
      <c r="E1397" s="28" t="n"/>
      <c r="F1397" s="28" t="n"/>
      <c r="G1397" s="28" t="n"/>
      <c r="H1397" s="28" t="n"/>
      <c r="I1397" s="28" t="n"/>
      <c r="J1397" s="22" t="n"/>
      <c r="K1397" s="23" t="n"/>
    </row>
    <row r="1398">
      <c r="A1398" s="27" t="n"/>
      <c r="B1398" s="23" t="n"/>
      <c r="C1398" s="23" t="n"/>
      <c r="D1398" s="28" t="n"/>
      <c r="E1398" s="28" t="n"/>
      <c r="F1398" s="28" t="n"/>
      <c r="G1398" s="28" t="n"/>
      <c r="H1398" s="28" t="n"/>
      <c r="I1398" s="28" t="n"/>
      <c r="J1398" s="22" t="n"/>
      <c r="K1398" s="23" t="n"/>
    </row>
    <row r="1399">
      <c r="A1399" s="27" t="n"/>
      <c r="B1399" s="23" t="n"/>
      <c r="C1399" s="23" t="n"/>
      <c r="D1399" s="28" t="n"/>
      <c r="E1399" s="28" t="n"/>
      <c r="F1399" s="28" t="n"/>
      <c r="G1399" s="28" t="n"/>
      <c r="H1399" s="28" t="n"/>
      <c r="I1399" s="28" t="n"/>
      <c r="J1399" s="22" t="n"/>
      <c r="K1399" s="23" t="n"/>
    </row>
    <row r="1400">
      <c r="A1400" s="27" t="n"/>
      <c r="B1400" s="23" t="n"/>
      <c r="C1400" s="23" t="n"/>
      <c r="D1400" s="28" t="n"/>
      <c r="E1400" s="28" t="n"/>
      <c r="F1400" s="28" t="n"/>
      <c r="G1400" s="28" t="n"/>
      <c r="H1400" s="28" t="n"/>
      <c r="I1400" s="28" t="n"/>
      <c r="J1400" s="22" t="n"/>
      <c r="K1400" s="23" t="n"/>
    </row>
    <row r="1401">
      <c r="A1401" s="27" t="n"/>
      <c r="B1401" s="23" t="n"/>
      <c r="C1401" s="23" t="n"/>
      <c r="D1401" s="28" t="n"/>
      <c r="E1401" s="28" t="n"/>
      <c r="F1401" s="28" t="n"/>
      <c r="G1401" s="28" t="n"/>
      <c r="H1401" s="28" t="n"/>
      <c r="I1401" s="28" t="n"/>
      <c r="J1401" s="22" t="n"/>
      <c r="K1401" s="23" t="n"/>
    </row>
    <row r="1402">
      <c r="A1402" s="27" t="n"/>
      <c r="B1402" s="23" t="n"/>
      <c r="C1402" s="23" t="n"/>
      <c r="D1402" s="28" t="n"/>
      <c r="E1402" s="28" t="n"/>
      <c r="F1402" s="28" t="n"/>
      <c r="G1402" s="28" t="n"/>
      <c r="H1402" s="28" t="n"/>
      <c r="I1402" s="28" t="n"/>
      <c r="J1402" s="22" t="n"/>
      <c r="K1402" s="23" t="n"/>
    </row>
    <row r="1403">
      <c r="A1403" s="27" t="n"/>
      <c r="B1403" s="23" t="n"/>
      <c r="C1403" s="23" t="n"/>
      <c r="D1403" s="28" t="n"/>
      <c r="E1403" s="28" t="n"/>
      <c r="F1403" s="28" t="n"/>
      <c r="G1403" s="28" t="n"/>
      <c r="H1403" s="28" t="n"/>
      <c r="I1403" s="28" t="n"/>
      <c r="J1403" s="22" t="n"/>
      <c r="K1403" s="23" t="n"/>
    </row>
    <row r="1404">
      <c r="A1404" s="27" t="n"/>
      <c r="B1404" s="23" t="n"/>
      <c r="C1404" s="23" t="n"/>
      <c r="D1404" s="28" t="n"/>
      <c r="E1404" s="28" t="n"/>
      <c r="F1404" s="28" t="n"/>
      <c r="G1404" s="28" t="n"/>
      <c r="H1404" s="28" t="n"/>
      <c r="I1404" s="28" t="n"/>
      <c r="J1404" s="22" t="n"/>
      <c r="K1404" s="23" t="n"/>
    </row>
    <row r="1405">
      <c r="A1405" s="27" t="n"/>
      <c r="B1405" s="23" t="n"/>
      <c r="C1405" s="23" t="n"/>
      <c r="D1405" s="28" t="n"/>
      <c r="E1405" s="28" t="n"/>
      <c r="F1405" s="28" t="n"/>
      <c r="G1405" s="28" t="n"/>
      <c r="H1405" s="28" t="n"/>
      <c r="I1405" s="28" t="n"/>
      <c r="J1405" s="22" t="n"/>
      <c r="K1405" s="23" t="n"/>
    </row>
    <row r="1406">
      <c r="A1406" s="27" t="n"/>
      <c r="B1406" s="23" t="n"/>
      <c r="C1406" s="23" t="n"/>
      <c r="D1406" s="28" t="n"/>
      <c r="E1406" s="28" t="n"/>
      <c r="F1406" s="28" t="n"/>
      <c r="G1406" s="28" t="n"/>
      <c r="H1406" s="28" t="n"/>
      <c r="I1406" s="28" t="n"/>
      <c r="J1406" s="22" t="n"/>
      <c r="K1406" s="23" t="n"/>
    </row>
    <row r="1407">
      <c r="A1407" s="27" t="n"/>
      <c r="B1407" s="23" t="n"/>
      <c r="C1407" s="23" t="n"/>
      <c r="D1407" s="28" t="n"/>
      <c r="E1407" s="28" t="n"/>
      <c r="F1407" s="28" t="n"/>
      <c r="G1407" s="28" t="n"/>
      <c r="H1407" s="28" t="n"/>
      <c r="I1407" s="28" t="n"/>
      <c r="J1407" s="22" t="n"/>
      <c r="K1407" s="23" t="n"/>
    </row>
    <row r="1408">
      <c r="A1408" s="27" t="n"/>
      <c r="B1408" s="23" t="n"/>
      <c r="C1408" s="23" t="n"/>
      <c r="D1408" s="28" t="n"/>
      <c r="E1408" s="28" t="n"/>
      <c r="F1408" s="28" t="n"/>
      <c r="G1408" s="28" t="n"/>
      <c r="H1408" s="28" t="n"/>
      <c r="I1408" s="28" t="n"/>
      <c r="J1408" s="22" t="n"/>
      <c r="K1408" s="23" t="n"/>
    </row>
    <row r="1409">
      <c r="A1409" s="27" t="n"/>
      <c r="B1409" s="23" t="n"/>
      <c r="C1409" s="23" t="n"/>
      <c r="D1409" s="28" t="n"/>
      <c r="E1409" s="28" t="n"/>
      <c r="F1409" s="28" t="n"/>
      <c r="G1409" s="28" t="n"/>
      <c r="H1409" s="28" t="n"/>
      <c r="I1409" s="28" t="n"/>
      <c r="J1409" s="22" t="n"/>
      <c r="K1409" s="23" t="n"/>
    </row>
    <row r="1410">
      <c r="A1410" s="27" t="n"/>
      <c r="B1410" s="23" t="n"/>
      <c r="C1410" s="23" t="n"/>
      <c r="D1410" s="28" t="n"/>
      <c r="E1410" s="28" t="n"/>
      <c r="F1410" s="28" t="n"/>
      <c r="G1410" s="28" t="n"/>
      <c r="H1410" s="28" t="n"/>
      <c r="I1410" s="28" t="n"/>
      <c r="J1410" s="22" t="n"/>
      <c r="K1410" s="23" t="n"/>
    </row>
    <row r="1411">
      <c r="A1411" s="27" t="n"/>
      <c r="B1411" s="23" t="n"/>
      <c r="C1411" s="23" t="n"/>
      <c r="D1411" s="28" t="n"/>
      <c r="E1411" s="28" t="n"/>
      <c r="F1411" s="28" t="n"/>
      <c r="G1411" s="28" t="n"/>
      <c r="H1411" s="28" t="n"/>
      <c r="I1411" s="28" t="n"/>
      <c r="J1411" s="22" t="n"/>
      <c r="K1411" s="23" t="n"/>
    </row>
    <row r="1412">
      <c r="A1412" s="27" t="n"/>
      <c r="B1412" s="23" t="n"/>
      <c r="C1412" s="23" t="n"/>
      <c r="D1412" s="28" t="n"/>
      <c r="E1412" s="28" t="n"/>
      <c r="F1412" s="28" t="n"/>
      <c r="G1412" s="28" t="n"/>
      <c r="H1412" s="28" t="n"/>
      <c r="I1412" s="28" t="n"/>
      <c r="J1412" s="22" t="n"/>
      <c r="K1412" s="23" t="n"/>
    </row>
    <row r="1413">
      <c r="A1413" s="27" t="n"/>
      <c r="B1413" s="23" t="n"/>
      <c r="C1413" s="23" t="n"/>
      <c r="D1413" s="28" t="n"/>
      <c r="E1413" s="28" t="n"/>
      <c r="F1413" s="28" t="n"/>
      <c r="G1413" s="28" t="n"/>
      <c r="H1413" s="28" t="n"/>
      <c r="I1413" s="28" t="n"/>
      <c r="J1413" s="22" t="n"/>
      <c r="K1413" s="23" t="n"/>
    </row>
    <row r="1414">
      <c r="A1414" s="27" t="n"/>
      <c r="B1414" s="23" t="n"/>
      <c r="C1414" s="23" t="n"/>
      <c r="D1414" s="28" t="n"/>
      <c r="E1414" s="28" t="n"/>
      <c r="F1414" s="28" t="n"/>
      <c r="G1414" s="28" t="n"/>
      <c r="H1414" s="28" t="n"/>
      <c r="I1414" s="28" t="n"/>
      <c r="J1414" s="22" t="n"/>
      <c r="K1414" s="23" t="n"/>
    </row>
    <row r="1415">
      <c r="A1415" s="27" t="n"/>
      <c r="B1415" s="23" t="n"/>
      <c r="C1415" s="23" t="n"/>
      <c r="D1415" s="28" t="n"/>
      <c r="E1415" s="28" t="n"/>
      <c r="F1415" s="28" t="n"/>
      <c r="G1415" s="28" t="n"/>
      <c r="H1415" s="28" t="n"/>
      <c r="I1415" s="28" t="n"/>
      <c r="J1415" s="22" t="n"/>
      <c r="K1415" s="23" t="n"/>
    </row>
    <row r="1416">
      <c r="A1416" s="27" t="n"/>
      <c r="B1416" s="23" t="n"/>
      <c r="C1416" s="23" t="n"/>
      <c r="D1416" s="28" t="n"/>
      <c r="E1416" s="28" t="n"/>
      <c r="F1416" s="28" t="n"/>
      <c r="G1416" s="28" t="n"/>
      <c r="H1416" s="28" t="n"/>
      <c r="I1416" s="28" t="n"/>
      <c r="J1416" s="22" t="n"/>
      <c r="K1416" s="23" t="n"/>
    </row>
    <row r="1417">
      <c r="A1417" s="27" t="n"/>
      <c r="B1417" s="23" t="n"/>
      <c r="C1417" s="23" t="n"/>
      <c r="D1417" s="28" t="n"/>
      <c r="E1417" s="28" t="n"/>
      <c r="F1417" s="28" t="n"/>
      <c r="G1417" s="28" t="n"/>
      <c r="H1417" s="28" t="n"/>
      <c r="I1417" s="28" t="n"/>
      <c r="J1417" s="22" t="n"/>
      <c r="K1417" s="23" t="n"/>
    </row>
    <row r="1418">
      <c r="A1418" s="27" t="n"/>
      <c r="B1418" s="23" t="n"/>
      <c r="C1418" s="23" t="n"/>
      <c r="D1418" s="28" t="n"/>
      <c r="E1418" s="28" t="n"/>
      <c r="F1418" s="28" t="n"/>
      <c r="G1418" s="28" t="n"/>
      <c r="H1418" s="28" t="n"/>
      <c r="I1418" s="28" t="n"/>
      <c r="J1418" s="22" t="n"/>
      <c r="K1418" s="23" t="n"/>
    </row>
    <row r="1419">
      <c r="A1419" s="27" t="n"/>
      <c r="B1419" s="23" t="n"/>
      <c r="C1419" s="23" t="n"/>
      <c r="D1419" s="28" t="n"/>
      <c r="E1419" s="28" t="n"/>
      <c r="F1419" s="28" t="n"/>
      <c r="G1419" s="28" t="n"/>
      <c r="H1419" s="28" t="n"/>
      <c r="I1419" s="28" t="n"/>
      <c r="J1419" s="22" t="n"/>
      <c r="K1419" s="23" t="n"/>
    </row>
    <row r="1420">
      <c r="A1420" s="27" t="n"/>
      <c r="B1420" s="23" t="n"/>
      <c r="C1420" s="23" t="n"/>
      <c r="D1420" s="28" t="n"/>
      <c r="E1420" s="28" t="n"/>
      <c r="F1420" s="28" t="n"/>
      <c r="G1420" s="28" t="n"/>
      <c r="H1420" s="28" t="n"/>
      <c r="I1420" s="28" t="n"/>
      <c r="J1420" s="22" t="n"/>
      <c r="K1420" s="23" t="n"/>
    </row>
    <row r="1421">
      <c r="A1421" s="27" t="n"/>
      <c r="B1421" s="23" t="n"/>
      <c r="C1421" s="23" t="n"/>
      <c r="D1421" s="28" t="n"/>
      <c r="E1421" s="28" t="n"/>
      <c r="F1421" s="28" t="n"/>
      <c r="G1421" s="28" t="n"/>
      <c r="H1421" s="28" t="n"/>
      <c r="I1421" s="28" t="n"/>
      <c r="J1421" s="22" t="n"/>
      <c r="K1421" s="23" t="n"/>
    </row>
    <row r="1422">
      <c r="A1422" s="27" t="n"/>
      <c r="B1422" s="23" t="n"/>
      <c r="C1422" s="23" t="n"/>
      <c r="D1422" s="28" t="n"/>
      <c r="E1422" s="28" t="n"/>
      <c r="F1422" s="28" t="n"/>
      <c r="G1422" s="28" t="n"/>
      <c r="H1422" s="28" t="n"/>
      <c r="I1422" s="28" t="n"/>
      <c r="J1422" s="22" t="n"/>
      <c r="K1422" s="23" t="n"/>
    </row>
    <row r="1423">
      <c r="A1423" s="27" t="n"/>
      <c r="B1423" s="23" t="n"/>
      <c r="C1423" s="23" t="n"/>
      <c r="D1423" s="28" t="n"/>
      <c r="E1423" s="28" t="n"/>
      <c r="F1423" s="28" t="n"/>
      <c r="G1423" s="28" t="n"/>
      <c r="H1423" s="28" t="n"/>
      <c r="I1423" s="28" t="n"/>
      <c r="J1423" s="22" t="n"/>
      <c r="K1423" s="23" t="n"/>
    </row>
    <row r="1424">
      <c r="A1424" s="27" t="n"/>
      <c r="B1424" s="23" t="n"/>
      <c r="C1424" s="23" t="n"/>
      <c r="D1424" s="28" t="n"/>
      <c r="E1424" s="28" t="n"/>
      <c r="F1424" s="28" t="n"/>
      <c r="G1424" s="28" t="n"/>
      <c r="H1424" s="28" t="n"/>
      <c r="I1424" s="28" t="n"/>
      <c r="J1424" s="22" t="n"/>
      <c r="K1424" s="23" t="n"/>
    </row>
    <row r="1425">
      <c r="A1425" s="27" t="n"/>
      <c r="B1425" s="23" t="n"/>
      <c r="C1425" s="23" t="n"/>
      <c r="D1425" s="28" t="n"/>
      <c r="E1425" s="28" t="n"/>
      <c r="F1425" s="28" t="n"/>
      <c r="G1425" s="28" t="n"/>
      <c r="H1425" s="28" t="n"/>
      <c r="I1425" s="28" t="n"/>
      <c r="J1425" s="22" t="n"/>
      <c r="K1425" s="23" t="n"/>
    </row>
    <row r="1426">
      <c r="A1426" s="27" t="n"/>
      <c r="B1426" s="23" t="n"/>
      <c r="C1426" s="23" t="n"/>
      <c r="D1426" s="28" t="n"/>
      <c r="E1426" s="28" t="n"/>
      <c r="F1426" s="28" t="n"/>
      <c r="G1426" s="28" t="n"/>
      <c r="H1426" s="28" t="n"/>
      <c r="I1426" s="28" t="n"/>
      <c r="J1426" s="22" t="n"/>
      <c r="K1426" s="23" t="n"/>
    </row>
    <row r="1427">
      <c r="A1427" s="27" t="n"/>
      <c r="B1427" s="23" t="n"/>
      <c r="C1427" s="23" t="n"/>
      <c r="D1427" s="28" t="n"/>
      <c r="E1427" s="28" t="n"/>
      <c r="F1427" s="28" t="n"/>
      <c r="G1427" s="28" t="n"/>
      <c r="H1427" s="28" t="n"/>
      <c r="I1427" s="28" t="n"/>
      <c r="J1427" s="22" t="n"/>
      <c r="K1427" s="23" t="n"/>
    </row>
    <row r="1428">
      <c r="A1428" s="27" t="n"/>
      <c r="B1428" s="23" t="n"/>
      <c r="C1428" s="23" t="n"/>
      <c r="D1428" s="28" t="n"/>
      <c r="E1428" s="28" t="n"/>
      <c r="F1428" s="28" t="n"/>
      <c r="G1428" s="28" t="n"/>
      <c r="H1428" s="28" t="n"/>
      <c r="I1428" s="28" t="n"/>
      <c r="J1428" s="22" t="n"/>
      <c r="K1428" s="23" t="n"/>
    </row>
    <row r="1429">
      <c r="A1429" s="27" t="n"/>
      <c r="B1429" s="23" t="n"/>
      <c r="C1429" s="23" t="n"/>
      <c r="D1429" s="28" t="n"/>
      <c r="E1429" s="28" t="n"/>
      <c r="F1429" s="28" t="n"/>
      <c r="G1429" s="28" t="n"/>
      <c r="H1429" s="28" t="n"/>
      <c r="I1429" s="28" t="n"/>
      <c r="J1429" s="22" t="n"/>
      <c r="K1429" s="23" t="n"/>
    </row>
    <row r="1430">
      <c r="A1430" s="27" t="n"/>
      <c r="B1430" s="23" t="n"/>
      <c r="C1430" s="23" t="n"/>
      <c r="D1430" s="28" t="n"/>
      <c r="E1430" s="28" t="n"/>
      <c r="F1430" s="28" t="n"/>
      <c r="G1430" s="28" t="n"/>
      <c r="H1430" s="28" t="n"/>
      <c r="I1430" s="28" t="n"/>
      <c r="J1430" s="22" t="n"/>
      <c r="K1430" s="23" t="n"/>
    </row>
    <row r="1431">
      <c r="A1431" s="27" t="n"/>
      <c r="B1431" s="23" t="n"/>
      <c r="C1431" s="23" t="n"/>
      <c r="D1431" s="28" t="n"/>
      <c r="E1431" s="28" t="n"/>
      <c r="F1431" s="28" t="n"/>
      <c r="G1431" s="28" t="n"/>
      <c r="H1431" s="28" t="n"/>
      <c r="I1431" s="28" t="n"/>
      <c r="J1431" s="22" t="n"/>
      <c r="K1431" s="23" t="n"/>
    </row>
    <row r="1432">
      <c r="A1432" s="27" t="n"/>
      <c r="B1432" s="23" t="n"/>
      <c r="C1432" s="23" t="n"/>
      <c r="D1432" s="28" t="n"/>
      <c r="E1432" s="28" t="n"/>
      <c r="F1432" s="28" t="n"/>
      <c r="G1432" s="28" t="n"/>
      <c r="H1432" s="28" t="n"/>
      <c r="I1432" s="28" t="n"/>
      <c r="J1432" s="22" t="n"/>
      <c r="K1432" s="23" t="n"/>
    </row>
    <row r="1433">
      <c r="A1433" s="27" t="n"/>
      <c r="B1433" s="23" t="n"/>
      <c r="C1433" s="23" t="n"/>
      <c r="D1433" s="28" t="n"/>
      <c r="E1433" s="28" t="n"/>
      <c r="F1433" s="28" t="n"/>
      <c r="G1433" s="28" t="n"/>
      <c r="H1433" s="28" t="n"/>
      <c r="I1433" s="28" t="n"/>
      <c r="J1433" s="22" t="n"/>
      <c r="K1433" s="23" t="n"/>
    </row>
    <row r="1434">
      <c r="A1434" s="27" t="n"/>
      <c r="B1434" s="23" t="n"/>
      <c r="C1434" s="23" t="n"/>
      <c r="D1434" s="28" t="n"/>
      <c r="E1434" s="28" t="n"/>
      <c r="F1434" s="28" t="n"/>
      <c r="G1434" s="28" t="n"/>
      <c r="H1434" s="28" t="n"/>
      <c r="I1434" s="28" t="n"/>
      <c r="J1434" s="22" t="n"/>
      <c r="K1434" s="23" t="n"/>
    </row>
    <row r="1435">
      <c r="A1435" s="27" t="n"/>
      <c r="B1435" s="23" t="n"/>
      <c r="C1435" s="23" t="n"/>
      <c r="D1435" s="28" t="n"/>
      <c r="E1435" s="28" t="n"/>
      <c r="F1435" s="28" t="n"/>
      <c r="G1435" s="28" t="n"/>
      <c r="H1435" s="28" t="n"/>
      <c r="I1435" s="28" t="n"/>
      <c r="J1435" s="22" t="n"/>
      <c r="K1435" s="23" t="n"/>
    </row>
    <row r="1436">
      <c r="A1436" s="27" t="n"/>
      <c r="B1436" s="23" t="n"/>
      <c r="C1436" s="23" t="n"/>
      <c r="D1436" s="28" t="n"/>
      <c r="E1436" s="28" t="n"/>
      <c r="F1436" s="28" t="n"/>
      <c r="G1436" s="28" t="n"/>
      <c r="H1436" s="28" t="n"/>
      <c r="I1436" s="28" t="n"/>
      <c r="J1436" s="22" t="n"/>
      <c r="K1436" s="23" t="n"/>
    </row>
    <row r="1437">
      <c r="A1437" s="27" t="n"/>
      <c r="B1437" s="23" t="n"/>
      <c r="C1437" s="23" t="n"/>
      <c r="D1437" s="28" t="n"/>
      <c r="E1437" s="28" t="n"/>
      <c r="F1437" s="28" t="n"/>
      <c r="G1437" s="28" t="n"/>
      <c r="H1437" s="28" t="n"/>
      <c r="I1437" s="28" t="n"/>
      <c r="J1437" s="22" t="n"/>
      <c r="K1437" s="23" t="n"/>
    </row>
    <row r="1438">
      <c r="A1438" s="27" t="n"/>
      <c r="B1438" s="23" t="n"/>
      <c r="C1438" s="23" t="n"/>
      <c r="D1438" s="28" t="n"/>
      <c r="E1438" s="28" t="n"/>
      <c r="F1438" s="28" t="n"/>
      <c r="G1438" s="28" t="n"/>
      <c r="H1438" s="28" t="n"/>
      <c r="I1438" s="28" t="n"/>
      <c r="J1438" s="22" t="n"/>
      <c r="K1438" s="23" t="n"/>
    </row>
    <row r="1439">
      <c r="A1439" s="27" t="n"/>
      <c r="B1439" s="23" t="n"/>
      <c r="C1439" s="23" t="n"/>
      <c r="D1439" s="28" t="n"/>
      <c r="E1439" s="28" t="n"/>
      <c r="F1439" s="28" t="n"/>
      <c r="G1439" s="28" t="n"/>
      <c r="H1439" s="28" t="n"/>
      <c r="I1439" s="28" t="n"/>
      <c r="J1439" s="22" t="n"/>
      <c r="K1439" s="23" t="n"/>
    </row>
    <row r="1440">
      <c r="A1440" s="27" t="n"/>
      <c r="B1440" s="23" t="n"/>
      <c r="C1440" s="23" t="n"/>
      <c r="D1440" s="28" t="n"/>
      <c r="E1440" s="28" t="n"/>
      <c r="F1440" s="28" t="n"/>
      <c r="G1440" s="28" t="n"/>
      <c r="H1440" s="28" t="n"/>
      <c r="I1440" s="28" t="n"/>
      <c r="J1440" s="22" t="n"/>
      <c r="K1440" s="23" t="n"/>
    </row>
    <row r="1441">
      <c r="A1441" s="27" t="n"/>
      <c r="B1441" s="23" t="n"/>
      <c r="C1441" s="23" t="n"/>
      <c r="D1441" s="28" t="n"/>
      <c r="E1441" s="28" t="n"/>
      <c r="F1441" s="28" t="n"/>
      <c r="G1441" s="28" t="n"/>
      <c r="H1441" s="28" t="n"/>
      <c r="I1441" s="28" t="n"/>
      <c r="J1441" s="22" t="n"/>
      <c r="K1441" s="23" t="n"/>
    </row>
    <row r="1442">
      <c r="A1442" s="27" t="n"/>
      <c r="B1442" s="23" t="n"/>
      <c r="C1442" s="23" t="n"/>
      <c r="D1442" s="28" t="n"/>
      <c r="E1442" s="28" t="n"/>
      <c r="F1442" s="28" t="n"/>
      <c r="G1442" s="28" t="n"/>
      <c r="H1442" s="28" t="n"/>
      <c r="I1442" s="28" t="n"/>
      <c r="J1442" s="22" t="n"/>
      <c r="K1442" s="23" t="n"/>
    </row>
    <row r="1443">
      <c r="A1443" s="27" t="n"/>
      <c r="B1443" s="23" t="n"/>
      <c r="C1443" s="23" t="n"/>
      <c r="D1443" s="28" t="n"/>
      <c r="E1443" s="28" t="n"/>
      <c r="F1443" s="28" t="n"/>
      <c r="G1443" s="28" t="n"/>
      <c r="H1443" s="28" t="n"/>
      <c r="I1443" s="28" t="n"/>
      <c r="J1443" s="22" t="n"/>
      <c r="K1443" s="23" t="n"/>
    </row>
    <row r="1444">
      <c r="A1444" s="27" t="n"/>
      <c r="B1444" s="23" t="n"/>
      <c r="C1444" s="23" t="n"/>
      <c r="D1444" s="28" t="n"/>
      <c r="E1444" s="28" t="n"/>
      <c r="F1444" s="28" t="n"/>
      <c r="G1444" s="28" t="n"/>
      <c r="H1444" s="28" t="n"/>
      <c r="I1444" s="28" t="n"/>
      <c r="J1444" s="22" t="n"/>
      <c r="K1444" s="23" t="n"/>
    </row>
    <row r="1445">
      <c r="A1445" s="27" t="n"/>
      <c r="B1445" s="23" t="n"/>
      <c r="C1445" s="23" t="n"/>
      <c r="D1445" s="28" t="n"/>
      <c r="E1445" s="28" t="n"/>
      <c r="F1445" s="28" t="n"/>
      <c r="G1445" s="28" t="n"/>
      <c r="H1445" s="28" t="n"/>
      <c r="I1445" s="28" t="n"/>
      <c r="J1445" s="22" t="n"/>
      <c r="K1445" s="23" t="n"/>
    </row>
    <row r="1446">
      <c r="A1446" s="27" t="n"/>
      <c r="B1446" s="23" t="n"/>
      <c r="C1446" s="23" t="n"/>
      <c r="D1446" s="28" t="n"/>
      <c r="E1446" s="28" t="n"/>
      <c r="F1446" s="28" t="n"/>
      <c r="G1446" s="28" t="n"/>
      <c r="H1446" s="28" t="n"/>
      <c r="I1446" s="28" t="n"/>
      <c r="J1446" s="22" t="n"/>
      <c r="K1446" s="23" t="n"/>
    </row>
    <row r="1447">
      <c r="A1447" s="27" t="n"/>
      <c r="B1447" s="23" t="n"/>
      <c r="C1447" s="23" t="n"/>
      <c r="D1447" s="28" t="n"/>
      <c r="E1447" s="28" t="n"/>
      <c r="F1447" s="28" t="n"/>
      <c r="G1447" s="28" t="n"/>
      <c r="H1447" s="28" t="n"/>
      <c r="I1447" s="28" t="n"/>
      <c r="J1447" s="22" t="n"/>
      <c r="K1447" s="23" t="n"/>
    </row>
    <row r="1448">
      <c r="A1448" s="27" t="n"/>
      <c r="B1448" s="23" t="n"/>
      <c r="C1448" s="23" t="n"/>
      <c r="D1448" s="28" t="n"/>
      <c r="E1448" s="28" t="n"/>
      <c r="F1448" s="28" t="n"/>
      <c r="G1448" s="28" t="n"/>
      <c r="H1448" s="28" t="n"/>
      <c r="I1448" s="28" t="n"/>
      <c r="J1448" s="22" t="n"/>
      <c r="K1448" s="23" t="n"/>
    </row>
    <row r="1449">
      <c r="A1449" s="27" t="n"/>
      <c r="B1449" s="23" t="n"/>
      <c r="C1449" s="23" t="n"/>
      <c r="D1449" s="28" t="n"/>
      <c r="E1449" s="28" t="n"/>
      <c r="F1449" s="28" t="n"/>
      <c r="G1449" s="28" t="n"/>
      <c r="H1449" s="28" t="n"/>
      <c r="I1449" s="28" t="n"/>
      <c r="J1449" s="22" t="n"/>
      <c r="K1449" s="23" t="n"/>
    </row>
    <row r="1450">
      <c r="A1450" s="27" t="n"/>
      <c r="B1450" s="23" t="n"/>
      <c r="C1450" s="23" t="n"/>
      <c r="D1450" s="28" t="n"/>
      <c r="E1450" s="28" t="n"/>
      <c r="F1450" s="28" t="n"/>
      <c r="G1450" s="28" t="n"/>
      <c r="H1450" s="28" t="n"/>
      <c r="I1450" s="28" t="n"/>
      <c r="J1450" s="22" t="n"/>
      <c r="K1450" s="23" t="n"/>
    </row>
    <row r="1451">
      <c r="A1451" s="27" t="n"/>
      <c r="B1451" s="23" t="n"/>
      <c r="C1451" s="23" t="n"/>
      <c r="D1451" s="28" t="n"/>
      <c r="E1451" s="28" t="n"/>
      <c r="F1451" s="28" t="n"/>
      <c r="G1451" s="28" t="n"/>
      <c r="H1451" s="28" t="n"/>
      <c r="I1451" s="28" t="n"/>
      <c r="J1451" s="22" t="n"/>
      <c r="K1451" s="23" t="n"/>
    </row>
    <row r="1452">
      <c r="A1452" s="27" t="n"/>
      <c r="B1452" s="23" t="n"/>
      <c r="C1452" s="23" t="n"/>
      <c r="D1452" s="28" t="n"/>
      <c r="E1452" s="28" t="n"/>
      <c r="F1452" s="28" t="n"/>
      <c r="G1452" s="28" t="n"/>
      <c r="H1452" s="28" t="n"/>
      <c r="I1452" s="28" t="n"/>
      <c r="J1452" s="22" t="n"/>
      <c r="K1452" s="23" t="n"/>
    </row>
    <row r="1453">
      <c r="A1453" s="27" t="n"/>
      <c r="B1453" s="23" t="n"/>
      <c r="C1453" s="23" t="n"/>
      <c r="D1453" s="28" t="n"/>
      <c r="E1453" s="28" t="n"/>
      <c r="F1453" s="28" t="n"/>
      <c r="G1453" s="28" t="n"/>
      <c r="H1453" s="28" t="n"/>
      <c r="I1453" s="28" t="n"/>
      <c r="J1453" s="22" t="n"/>
      <c r="K1453" s="23" t="n"/>
    </row>
    <row r="1454">
      <c r="A1454" s="27" t="n"/>
      <c r="B1454" s="23" t="n"/>
      <c r="C1454" s="23" t="n"/>
      <c r="D1454" s="28" t="n"/>
      <c r="E1454" s="28" t="n"/>
      <c r="F1454" s="28" t="n"/>
      <c r="G1454" s="28" t="n"/>
      <c r="H1454" s="28" t="n"/>
      <c r="I1454" s="28" t="n"/>
      <c r="J1454" s="22" t="n"/>
      <c r="K1454" s="23" t="n"/>
    </row>
    <row r="1455">
      <c r="A1455" s="27" t="n"/>
      <c r="B1455" s="23" t="n"/>
      <c r="C1455" s="23" t="n"/>
      <c r="D1455" s="28" t="n"/>
      <c r="E1455" s="28" t="n"/>
      <c r="F1455" s="28" t="n"/>
      <c r="G1455" s="28" t="n"/>
      <c r="H1455" s="28" t="n"/>
      <c r="I1455" s="28" t="n"/>
      <c r="J1455" s="22" t="n"/>
      <c r="K1455" s="23" t="n"/>
    </row>
    <row r="1456">
      <c r="A1456" s="27" t="n"/>
      <c r="B1456" s="23" t="n"/>
      <c r="C1456" s="23" t="n"/>
      <c r="D1456" s="28" t="n"/>
      <c r="E1456" s="28" t="n"/>
      <c r="F1456" s="28" t="n"/>
      <c r="G1456" s="28" t="n"/>
      <c r="H1456" s="28" t="n"/>
      <c r="I1456" s="28" t="n"/>
      <c r="J1456" s="22" t="n"/>
      <c r="K1456" s="23" t="n"/>
    </row>
    <row r="1457">
      <c r="A1457" s="27" t="n"/>
      <c r="B1457" s="23" t="n"/>
      <c r="C1457" s="23" t="n"/>
      <c r="D1457" s="28" t="n"/>
      <c r="E1457" s="28" t="n"/>
      <c r="F1457" s="28" t="n"/>
      <c r="G1457" s="28" t="n"/>
      <c r="H1457" s="28" t="n"/>
      <c r="I1457" s="28" t="n"/>
      <c r="J1457" s="22" t="n"/>
      <c r="K1457" s="23" t="n"/>
    </row>
    <row r="1458">
      <c r="A1458" s="27" t="n"/>
      <c r="B1458" s="23" t="n"/>
      <c r="C1458" s="23" t="n"/>
      <c r="D1458" s="28" t="n"/>
      <c r="E1458" s="28" t="n"/>
      <c r="F1458" s="28" t="n"/>
      <c r="G1458" s="28" t="n"/>
      <c r="H1458" s="28" t="n"/>
      <c r="I1458" s="28" t="n"/>
      <c r="J1458" s="22" t="n"/>
      <c r="K1458" s="23" t="n"/>
    </row>
    <row r="1459">
      <c r="A1459" s="27" t="n"/>
      <c r="B1459" s="23" t="n"/>
      <c r="C1459" s="23" t="n"/>
      <c r="D1459" s="28" t="n"/>
      <c r="E1459" s="28" t="n"/>
      <c r="F1459" s="28" t="n"/>
      <c r="G1459" s="28" t="n"/>
      <c r="H1459" s="28" t="n"/>
      <c r="I1459" s="28" t="n"/>
      <c r="J1459" s="22" t="n"/>
      <c r="K1459" s="23" t="n"/>
    </row>
    <row r="1460">
      <c r="A1460" s="27" t="n"/>
      <c r="B1460" s="23" t="n"/>
      <c r="C1460" s="23" t="n"/>
      <c r="D1460" s="28" t="n"/>
      <c r="E1460" s="28" t="n"/>
      <c r="F1460" s="28" t="n"/>
      <c r="G1460" s="28" t="n"/>
      <c r="H1460" s="28" t="n"/>
      <c r="I1460" s="28" t="n"/>
      <c r="J1460" s="22" t="n"/>
      <c r="K1460" s="23" t="n"/>
    </row>
    <row r="1461">
      <c r="A1461" s="27" t="n"/>
      <c r="B1461" s="23" t="n"/>
      <c r="C1461" s="23" t="n"/>
      <c r="D1461" s="28" t="n"/>
      <c r="E1461" s="28" t="n"/>
      <c r="F1461" s="28" t="n"/>
      <c r="G1461" s="28" t="n"/>
      <c r="H1461" s="28" t="n"/>
      <c r="I1461" s="28" t="n"/>
      <c r="J1461" s="22" t="n"/>
      <c r="K1461" s="23" t="n"/>
    </row>
    <row r="1462">
      <c r="A1462" s="27" t="n"/>
      <c r="B1462" s="23" t="n"/>
      <c r="C1462" s="23" t="n"/>
      <c r="D1462" s="28" t="n"/>
      <c r="E1462" s="28" t="n"/>
      <c r="F1462" s="28" t="n"/>
      <c r="G1462" s="28" t="n"/>
      <c r="H1462" s="28" t="n"/>
      <c r="I1462" s="28" t="n"/>
      <c r="J1462" s="22" t="n"/>
      <c r="K1462" s="23" t="n"/>
    </row>
    <row r="1463">
      <c r="A1463" s="27" t="n"/>
      <c r="B1463" s="23" t="n"/>
      <c r="C1463" s="23" t="n"/>
      <c r="D1463" s="28" t="n"/>
      <c r="E1463" s="28" t="n"/>
      <c r="F1463" s="28" t="n"/>
      <c r="G1463" s="28" t="n"/>
      <c r="H1463" s="28" t="n"/>
      <c r="I1463" s="28" t="n"/>
      <c r="J1463" s="22" t="n"/>
      <c r="K1463" s="23" t="n"/>
    </row>
    <row r="1464">
      <c r="A1464" s="27" t="n"/>
      <c r="B1464" s="23" t="n"/>
      <c r="C1464" s="23" t="n"/>
      <c r="D1464" s="28" t="n"/>
      <c r="E1464" s="28" t="n"/>
      <c r="F1464" s="28" t="n"/>
      <c r="G1464" s="28" t="n"/>
      <c r="H1464" s="28" t="n"/>
      <c r="I1464" s="28" t="n"/>
      <c r="J1464" s="22" t="n"/>
      <c r="K1464" s="23" t="n"/>
    </row>
    <row r="1465">
      <c r="A1465" s="27" t="n"/>
      <c r="B1465" s="23" t="n"/>
      <c r="C1465" s="23" t="n"/>
      <c r="D1465" s="28" t="n"/>
      <c r="E1465" s="28" t="n"/>
      <c r="F1465" s="28" t="n"/>
      <c r="G1465" s="28" t="n"/>
      <c r="H1465" s="28" t="n"/>
      <c r="I1465" s="28" t="n"/>
      <c r="J1465" s="22" t="n"/>
      <c r="K1465" s="23" t="n"/>
    </row>
    <row r="1466">
      <c r="A1466" s="27" t="n"/>
      <c r="B1466" s="23" t="n"/>
      <c r="C1466" s="23" t="n"/>
      <c r="D1466" s="28" t="n"/>
      <c r="E1466" s="28" t="n"/>
      <c r="F1466" s="28" t="n"/>
      <c r="G1466" s="28" t="n"/>
      <c r="H1466" s="28" t="n"/>
      <c r="I1466" s="28" t="n"/>
      <c r="J1466" s="22" t="n"/>
      <c r="K1466" s="23" t="n"/>
    </row>
    <row r="1467">
      <c r="A1467" s="27" t="n"/>
      <c r="B1467" s="23" t="n"/>
      <c r="C1467" s="23" t="n"/>
      <c r="D1467" s="28" t="n"/>
      <c r="E1467" s="28" t="n"/>
      <c r="F1467" s="28" t="n"/>
      <c r="G1467" s="28" t="n"/>
      <c r="H1467" s="28" t="n"/>
      <c r="I1467" s="28" t="n"/>
      <c r="J1467" s="22" t="n"/>
      <c r="K1467" s="23" t="n"/>
    </row>
    <row r="1468">
      <c r="A1468" s="27" t="n"/>
      <c r="B1468" s="23" t="n"/>
      <c r="C1468" s="23" t="n"/>
      <c r="D1468" s="28" t="n"/>
      <c r="E1468" s="28" t="n"/>
      <c r="F1468" s="28" t="n"/>
      <c r="G1468" s="28" t="n"/>
      <c r="H1468" s="28" t="n"/>
      <c r="I1468" s="28" t="n"/>
      <c r="J1468" s="22" t="n"/>
      <c r="K1468" s="23" t="n"/>
    </row>
    <row r="1469">
      <c r="A1469" s="27" t="n"/>
      <c r="B1469" s="23" t="n"/>
      <c r="C1469" s="23" t="n"/>
      <c r="D1469" s="28" t="n"/>
      <c r="E1469" s="28" t="n"/>
      <c r="F1469" s="28" t="n"/>
      <c r="G1469" s="28" t="n"/>
      <c r="H1469" s="28" t="n"/>
      <c r="I1469" s="28" t="n"/>
      <c r="J1469" s="22" t="n"/>
      <c r="K1469" s="23" t="n"/>
    </row>
    <row r="1470">
      <c r="A1470" s="27" t="n"/>
      <c r="B1470" s="23" t="n"/>
      <c r="C1470" s="23" t="n"/>
      <c r="D1470" s="28" t="n"/>
      <c r="E1470" s="28" t="n"/>
      <c r="F1470" s="28" t="n"/>
      <c r="G1470" s="28" t="n"/>
      <c r="H1470" s="28" t="n"/>
      <c r="I1470" s="28" t="n"/>
      <c r="J1470" s="22" t="n"/>
      <c r="K1470" s="23" t="n"/>
    </row>
    <row r="1471">
      <c r="A1471" s="27" t="n"/>
      <c r="B1471" s="23" t="n"/>
      <c r="C1471" s="23" t="n"/>
      <c r="D1471" s="28" t="n"/>
      <c r="E1471" s="28" t="n"/>
      <c r="F1471" s="28" t="n"/>
      <c r="G1471" s="28" t="n"/>
      <c r="H1471" s="28" t="n"/>
      <c r="I1471" s="28" t="n"/>
      <c r="J1471" s="22" t="n"/>
      <c r="K1471" s="23" t="n"/>
    </row>
    <row r="1472">
      <c r="A1472" s="27" t="n"/>
      <c r="B1472" s="23" t="n"/>
      <c r="C1472" s="23" t="n"/>
      <c r="D1472" s="28" t="n"/>
      <c r="E1472" s="28" t="n"/>
      <c r="F1472" s="28" t="n"/>
      <c r="G1472" s="28" t="n"/>
      <c r="H1472" s="28" t="n"/>
      <c r="I1472" s="28" t="n"/>
      <c r="J1472" s="22" t="n"/>
      <c r="K1472" s="23" t="n"/>
    </row>
    <row r="1473">
      <c r="A1473" s="27" t="n"/>
      <c r="B1473" s="23" t="n"/>
      <c r="C1473" s="23" t="n"/>
      <c r="D1473" s="28" t="n"/>
      <c r="E1473" s="28" t="n"/>
      <c r="F1473" s="28" t="n"/>
      <c r="G1473" s="28" t="n"/>
      <c r="H1473" s="28" t="n"/>
      <c r="I1473" s="28" t="n"/>
      <c r="J1473" s="22" t="n"/>
      <c r="K1473" s="23" t="n"/>
    </row>
    <row r="1474">
      <c r="A1474" s="27" t="n"/>
      <c r="B1474" s="23" t="n"/>
      <c r="C1474" s="23" t="n"/>
      <c r="D1474" s="28" t="n"/>
      <c r="E1474" s="28" t="n"/>
      <c r="F1474" s="28" t="n"/>
      <c r="G1474" s="28" t="n"/>
      <c r="H1474" s="28" t="n"/>
      <c r="I1474" s="28" t="n"/>
      <c r="J1474" s="22" t="n"/>
      <c r="K1474" s="23" t="n"/>
    </row>
    <row r="1475">
      <c r="A1475" s="27" t="n"/>
      <c r="B1475" s="23" t="n"/>
      <c r="C1475" s="23" t="n"/>
      <c r="D1475" s="28" t="n"/>
      <c r="E1475" s="28" t="n"/>
      <c r="F1475" s="28" t="n"/>
      <c r="G1475" s="28" t="n"/>
      <c r="H1475" s="28" t="n"/>
      <c r="I1475" s="28" t="n"/>
      <c r="J1475" s="22" t="n"/>
      <c r="K1475" s="23" t="n"/>
    </row>
    <row r="1476">
      <c r="A1476" s="27" t="n"/>
      <c r="B1476" s="23" t="n"/>
      <c r="C1476" s="23" t="n"/>
      <c r="D1476" s="28" t="n"/>
      <c r="E1476" s="28" t="n"/>
      <c r="F1476" s="28" t="n"/>
      <c r="G1476" s="28" t="n"/>
      <c r="H1476" s="28" t="n"/>
      <c r="I1476" s="28" t="n"/>
      <c r="J1476" s="22" t="n"/>
      <c r="K1476" s="23" t="n"/>
    </row>
    <row r="1477">
      <c r="A1477" s="27" t="n"/>
      <c r="B1477" s="23" t="n"/>
      <c r="C1477" s="23" t="n"/>
      <c r="D1477" s="28" t="n"/>
      <c r="E1477" s="28" t="n"/>
      <c r="F1477" s="28" t="n"/>
      <c r="G1477" s="28" t="n"/>
      <c r="H1477" s="28" t="n"/>
      <c r="I1477" s="28" t="n"/>
      <c r="J1477" s="22" t="n"/>
      <c r="K1477" s="23" t="n"/>
    </row>
    <row r="1478">
      <c r="A1478" s="27" t="n"/>
      <c r="B1478" s="23" t="n"/>
      <c r="C1478" s="23" t="n"/>
      <c r="D1478" s="28" t="n"/>
      <c r="E1478" s="28" t="n"/>
      <c r="F1478" s="28" t="n"/>
      <c r="G1478" s="28" t="n"/>
      <c r="H1478" s="28" t="n"/>
      <c r="I1478" s="28" t="n"/>
      <c r="J1478" s="22" t="n"/>
      <c r="K1478" s="23" t="n"/>
    </row>
    <row r="1479">
      <c r="A1479" s="27" t="n"/>
      <c r="B1479" s="23" t="n"/>
      <c r="C1479" s="23" t="n"/>
      <c r="D1479" s="28" t="n"/>
      <c r="E1479" s="28" t="n"/>
      <c r="F1479" s="28" t="n"/>
      <c r="G1479" s="28" t="n"/>
      <c r="H1479" s="28" t="n"/>
      <c r="I1479" s="28" t="n"/>
      <c r="J1479" s="22" t="n"/>
      <c r="K1479" s="23" t="n"/>
    </row>
    <row r="1480">
      <c r="A1480" s="27" t="n"/>
      <c r="B1480" s="23" t="n"/>
      <c r="C1480" s="23" t="n"/>
      <c r="D1480" s="28" t="n"/>
      <c r="E1480" s="28" t="n"/>
      <c r="F1480" s="28" t="n"/>
      <c r="G1480" s="28" t="n"/>
      <c r="H1480" s="28" t="n"/>
      <c r="I1480" s="28" t="n"/>
      <c r="J1480" s="22" t="n"/>
      <c r="K1480" s="23" t="n"/>
    </row>
    <row r="1481">
      <c r="A1481" s="27" t="n"/>
      <c r="B1481" s="23" t="n"/>
      <c r="C1481" s="23" t="n"/>
      <c r="D1481" s="28" t="n"/>
      <c r="E1481" s="28" t="n"/>
      <c r="F1481" s="28" t="n"/>
      <c r="G1481" s="28" t="n"/>
      <c r="H1481" s="28" t="n"/>
      <c r="I1481" s="28" t="n"/>
      <c r="J1481" s="22" t="n"/>
      <c r="K1481" s="23" t="n"/>
    </row>
    <row r="1482">
      <c r="A1482" s="27" t="n"/>
      <c r="B1482" s="23" t="n"/>
      <c r="C1482" s="23" t="n"/>
      <c r="D1482" s="28" t="n"/>
      <c r="E1482" s="28" t="n"/>
      <c r="F1482" s="28" t="n"/>
      <c r="G1482" s="28" t="n"/>
      <c r="H1482" s="28" t="n"/>
      <c r="I1482" s="28" t="n"/>
      <c r="J1482" s="22" t="n"/>
      <c r="K1482" s="23" t="n"/>
    </row>
    <row r="1483">
      <c r="A1483" s="27" t="n"/>
      <c r="B1483" s="23" t="n"/>
      <c r="C1483" s="23" t="n"/>
      <c r="D1483" s="28" t="n"/>
      <c r="E1483" s="28" t="n"/>
      <c r="F1483" s="28" t="n"/>
      <c r="G1483" s="28" t="n"/>
      <c r="H1483" s="28" t="n"/>
      <c r="I1483" s="28" t="n"/>
      <c r="J1483" s="22" t="n"/>
      <c r="K1483" s="23" t="n"/>
    </row>
    <row r="1484">
      <c r="A1484" s="27" t="n"/>
      <c r="B1484" s="23" t="n"/>
      <c r="C1484" s="23" t="n"/>
      <c r="D1484" s="28" t="n"/>
      <c r="E1484" s="28" t="n"/>
      <c r="F1484" s="28" t="n"/>
      <c r="G1484" s="28" t="n"/>
      <c r="H1484" s="28" t="n"/>
      <c r="I1484" s="28" t="n"/>
      <c r="J1484" s="22" t="n"/>
      <c r="K1484" s="23" t="n"/>
    </row>
    <row r="1485">
      <c r="A1485" s="27" t="n"/>
      <c r="B1485" s="23" t="n"/>
      <c r="C1485" s="23" t="n"/>
      <c r="D1485" s="28" t="n"/>
      <c r="E1485" s="28" t="n"/>
      <c r="F1485" s="28" t="n"/>
      <c r="G1485" s="28" t="n"/>
      <c r="H1485" s="28" t="n"/>
      <c r="I1485" s="28" t="n"/>
      <c r="J1485" s="22" t="n"/>
      <c r="K1485" s="23" t="n"/>
    </row>
    <row r="1486">
      <c r="A1486" s="27" t="n"/>
      <c r="B1486" s="23" t="n"/>
      <c r="C1486" s="23" t="n"/>
      <c r="D1486" s="28" t="n"/>
      <c r="E1486" s="28" t="n"/>
      <c r="F1486" s="28" t="n"/>
      <c r="G1486" s="28" t="n"/>
      <c r="H1486" s="28" t="n"/>
      <c r="I1486" s="28" t="n"/>
      <c r="J1486" s="22" t="n"/>
      <c r="K1486" s="23" t="n"/>
    </row>
    <row r="1487">
      <c r="A1487" s="27" t="n"/>
      <c r="B1487" s="23" t="n"/>
      <c r="C1487" s="23" t="n"/>
      <c r="D1487" s="28" t="n"/>
      <c r="E1487" s="28" t="n"/>
      <c r="F1487" s="28" t="n"/>
      <c r="G1487" s="28" t="n"/>
      <c r="H1487" s="28" t="n"/>
      <c r="I1487" s="28" t="n"/>
      <c r="J1487" s="22" t="n"/>
      <c r="K1487" s="23" t="n"/>
    </row>
    <row r="1488">
      <c r="A1488" s="27" t="n"/>
      <c r="B1488" s="23" t="n"/>
      <c r="C1488" s="23" t="n"/>
      <c r="D1488" s="28" t="n"/>
      <c r="E1488" s="28" t="n"/>
      <c r="F1488" s="28" t="n"/>
      <c r="G1488" s="28" t="n"/>
      <c r="H1488" s="28" t="n"/>
      <c r="I1488" s="28" t="n"/>
      <c r="J1488" s="22" t="n"/>
      <c r="K1488" s="23" t="n"/>
    </row>
    <row r="1489">
      <c r="A1489" s="27" t="n"/>
      <c r="B1489" s="23" t="n"/>
      <c r="C1489" s="23" t="n"/>
      <c r="D1489" s="28" t="n"/>
      <c r="E1489" s="28" t="n"/>
      <c r="F1489" s="28" t="n"/>
      <c r="G1489" s="28" t="n"/>
      <c r="H1489" s="28" t="n"/>
      <c r="I1489" s="28" t="n"/>
      <c r="J1489" s="22" t="n"/>
      <c r="K1489" s="23" t="n"/>
    </row>
    <row r="1490">
      <c r="A1490" s="27" t="n"/>
      <c r="B1490" s="23" t="n"/>
      <c r="C1490" s="23" t="n"/>
      <c r="D1490" s="28" t="n"/>
      <c r="E1490" s="28" t="n"/>
      <c r="F1490" s="28" t="n"/>
      <c r="G1490" s="28" t="n"/>
      <c r="H1490" s="28" t="n"/>
      <c r="I1490" s="28" t="n"/>
      <c r="J1490" s="22" t="n"/>
      <c r="K1490" s="23" t="n"/>
    </row>
    <row r="1491">
      <c r="A1491" s="27" t="n"/>
      <c r="B1491" s="23" t="n"/>
      <c r="C1491" s="23" t="n"/>
      <c r="D1491" s="28" t="n"/>
      <c r="E1491" s="28" t="n"/>
      <c r="F1491" s="28" t="n"/>
      <c r="G1491" s="28" t="n"/>
      <c r="H1491" s="28" t="n"/>
      <c r="I1491" s="28" t="n"/>
      <c r="J1491" s="22" t="n"/>
      <c r="K1491" s="23" t="n"/>
    </row>
    <row r="1492">
      <c r="A1492" s="27" t="n"/>
      <c r="B1492" s="23" t="n"/>
      <c r="C1492" s="23" t="n"/>
      <c r="D1492" s="28" t="n"/>
      <c r="E1492" s="28" t="n"/>
      <c r="F1492" s="28" t="n"/>
      <c r="G1492" s="28" t="n"/>
      <c r="H1492" s="28" t="n"/>
      <c r="I1492" s="28" t="n"/>
      <c r="J1492" s="22" t="n"/>
      <c r="K1492" s="23" t="n"/>
    </row>
    <row r="1493">
      <c r="A1493" s="27" t="n"/>
      <c r="B1493" s="23" t="n"/>
      <c r="C1493" s="23" t="n"/>
      <c r="D1493" s="28" t="n"/>
      <c r="E1493" s="28" t="n"/>
      <c r="F1493" s="28" t="n"/>
      <c r="G1493" s="28" t="n"/>
      <c r="H1493" s="28" t="n"/>
      <c r="I1493" s="28" t="n"/>
      <c r="J1493" s="22" t="n"/>
      <c r="K1493" s="23" t="n"/>
    </row>
    <row r="1494">
      <c r="A1494" s="27" t="n"/>
      <c r="B1494" s="23" t="n"/>
      <c r="C1494" s="23" t="n"/>
      <c r="D1494" s="28" t="n"/>
      <c r="E1494" s="28" t="n"/>
      <c r="F1494" s="28" t="n"/>
      <c r="G1494" s="28" t="n"/>
      <c r="H1494" s="28" t="n"/>
      <c r="I1494" s="28" t="n"/>
      <c r="J1494" s="22" t="n"/>
      <c r="K1494" s="23" t="n"/>
    </row>
    <row r="1495">
      <c r="A1495" s="27" t="n"/>
      <c r="B1495" s="23" t="n"/>
      <c r="C1495" s="23" t="n"/>
      <c r="D1495" s="28" t="n"/>
      <c r="E1495" s="28" t="n"/>
      <c r="F1495" s="28" t="n"/>
      <c r="G1495" s="28" t="n"/>
      <c r="H1495" s="28" t="n"/>
      <c r="I1495" s="28" t="n"/>
      <c r="J1495" s="22" t="n"/>
      <c r="K1495" s="23" t="n"/>
    </row>
    <row r="1496">
      <c r="A1496" s="27" t="n"/>
      <c r="B1496" s="23" t="n"/>
      <c r="C1496" s="23" t="n"/>
      <c r="D1496" s="28" t="n"/>
      <c r="E1496" s="28" t="n"/>
      <c r="F1496" s="28" t="n"/>
      <c r="G1496" s="28" t="n"/>
      <c r="H1496" s="28" t="n"/>
      <c r="I1496" s="28" t="n"/>
      <c r="J1496" s="22" t="n"/>
      <c r="K1496" s="23" t="n"/>
    </row>
    <row r="1497">
      <c r="A1497" s="27" t="n"/>
      <c r="B1497" s="23" t="n"/>
      <c r="C1497" s="23" t="n"/>
      <c r="D1497" s="28" t="n"/>
      <c r="E1497" s="28" t="n"/>
      <c r="F1497" s="28" t="n"/>
      <c r="G1497" s="28" t="n"/>
      <c r="H1497" s="28" t="n"/>
      <c r="I1497" s="28" t="n"/>
      <c r="J1497" s="22" t="n"/>
      <c r="K1497" s="23" t="n"/>
    </row>
    <row r="1498">
      <c r="A1498" s="27" t="n"/>
      <c r="B1498" s="23" t="n"/>
      <c r="C1498" s="23" t="n"/>
      <c r="D1498" s="28" t="n"/>
      <c r="E1498" s="28" t="n"/>
      <c r="F1498" s="28" t="n"/>
      <c r="G1498" s="28" t="n"/>
      <c r="H1498" s="28" t="n"/>
      <c r="I1498" s="28" t="n"/>
      <c r="J1498" s="22" t="n"/>
      <c r="K1498" s="23" t="n"/>
    </row>
    <row r="1499">
      <c r="A1499" s="27" t="n"/>
      <c r="B1499" s="23" t="n"/>
      <c r="C1499" s="23" t="n"/>
      <c r="D1499" s="28" t="n"/>
      <c r="E1499" s="28" t="n"/>
      <c r="F1499" s="28" t="n"/>
      <c r="G1499" s="28" t="n"/>
      <c r="H1499" s="28" t="n"/>
      <c r="I1499" s="28" t="n"/>
      <c r="J1499" s="22" t="n"/>
      <c r="K1499" s="23" t="n"/>
    </row>
    <row r="1500">
      <c r="A1500" s="27" t="n"/>
      <c r="B1500" s="23" t="n"/>
      <c r="C1500" s="23" t="n"/>
      <c r="D1500" s="28" t="n"/>
      <c r="E1500" s="28" t="n"/>
      <c r="F1500" s="28" t="n"/>
      <c r="G1500" s="28" t="n"/>
      <c r="H1500" s="28" t="n"/>
      <c r="I1500" s="28" t="n"/>
      <c r="J1500" s="22" t="n"/>
      <c r="K1500" s="23" t="n"/>
    </row>
    <row r="1501">
      <c r="A1501" s="27" t="n"/>
      <c r="B1501" s="23" t="n"/>
      <c r="C1501" s="23" t="n"/>
      <c r="D1501" s="28" t="n"/>
      <c r="E1501" s="28" t="n"/>
      <c r="F1501" s="28" t="n"/>
      <c r="G1501" s="28" t="n"/>
      <c r="H1501" s="28" t="n"/>
      <c r="I1501" s="28" t="n"/>
      <c r="J1501" s="22" t="n"/>
      <c r="K1501" s="23" t="n"/>
    </row>
    <row r="1502">
      <c r="A1502" s="27" t="n"/>
      <c r="B1502" s="23" t="n"/>
      <c r="C1502" s="23" t="n"/>
      <c r="D1502" s="28" t="n"/>
      <c r="E1502" s="28" t="n"/>
      <c r="F1502" s="28" t="n"/>
      <c r="G1502" s="28" t="n"/>
      <c r="H1502" s="28" t="n"/>
      <c r="I1502" s="28" t="n"/>
      <c r="J1502" s="22" t="n"/>
      <c r="K1502" s="23" t="n"/>
    </row>
    <row r="1503">
      <c r="A1503" s="27" t="n"/>
      <c r="B1503" s="23" t="n"/>
      <c r="C1503" s="23" t="n"/>
      <c r="D1503" s="28" t="n"/>
      <c r="E1503" s="28" t="n"/>
      <c r="F1503" s="28" t="n"/>
      <c r="G1503" s="28" t="n"/>
      <c r="H1503" s="28" t="n"/>
      <c r="I1503" s="28" t="n"/>
      <c r="J1503" s="22" t="n"/>
      <c r="K1503" s="23" t="n"/>
    </row>
    <row r="1504">
      <c r="A1504" s="27" t="n"/>
      <c r="B1504" s="23" t="n"/>
      <c r="C1504" s="23" t="n"/>
      <c r="D1504" s="28" t="n"/>
      <c r="E1504" s="28" t="n"/>
      <c r="F1504" s="28" t="n"/>
      <c r="G1504" s="28" t="n"/>
      <c r="H1504" s="28" t="n"/>
      <c r="I1504" s="28" t="n"/>
      <c r="J1504" s="22" t="n"/>
      <c r="K1504" s="23" t="n"/>
    </row>
  </sheetData>
  <autoFilter ref="A4:K1504"/>
  <conditionalFormatting sqref="A5:K1504">
    <cfRule type="expression" priority="1" dxfId="4">
      <formula>$K5="要"</formula>
    </cfRule>
  </conditionalFormatting>
  <dataValidations count="2">
    <dataValidation sqref="B5:B1504" showDropDown="0" showInputMessage="0" showErrorMessage="0" allowBlank="1" type="list">
      <formula1>='設定'!$I$4:$I$23</formula1>
    </dataValidation>
    <dataValidation sqref="K5:K1504" showDropDown="0" showInputMessage="0" showErrorMessage="0" allowBlank="1" type="list">
      <formula1>='設定'!$H$4:$H$23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竹尾純子｜ローンチチーム形成シート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JJ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竹尾純子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福重孝一｜ローンチチーム形成シート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Believe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福重孝一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矢野貴之｜ローンチチーム形成シート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チェキン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矢野貴之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榎田秀一｜ローンチチーム形成シート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JJ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榎田秀一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世良真貴男｜ローンチチーム形成シート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Believe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世良真貴男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松永健志｜ローンチチーム形成シート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チェキン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松永健志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34" customWidth="1" min="4" max="4"/>
    <col width="12" customWidth="1" min="5" max="5"/>
  </cols>
  <sheetData>
    <row r="1">
      <c r="A1" s="29" t="inlineStr">
        <is>
          <t>中村剛｜ローンチチーム形成シート</t>
        </is>
      </c>
    </row>
    <row r="3">
      <c r="A3" s="8" t="inlineStr">
        <is>
          <t>項目</t>
        </is>
      </c>
      <c r="B3" s="8" t="inlineStr">
        <is>
          <t>内容・候補者</t>
        </is>
      </c>
      <c r="C3" s="8" t="inlineStr">
        <is>
          <t>役割／期待すること</t>
        </is>
      </c>
      <c r="D3" s="8" t="inlineStr">
        <is>
          <t>声かけ・進捗メモ</t>
        </is>
      </c>
      <c r="E3" s="8" t="inlineStr">
        <is>
          <t>声かけ状況</t>
        </is>
      </c>
    </row>
    <row r="4">
      <c r="A4" s="20" t="inlineStr">
        <is>
          <t>管轄エリア</t>
        </is>
      </c>
      <c r="B4" s="22" t="inlineStr">
        <is>
          <t>JJ</t>
        </is>
      </c>
      <c r="C4" s="30" t="n"/>
      <c r="D4" s="30" t="n"/>
      <c r="E4" s="31" t="n"/>
    </row>
    <row r="5">
      <c r="A5" s="20" t="inlineStr">
        <is>
          <t>ローンチディレクター</t>
        </is>
      </c>
      <c r="B5" s="22" t="inlineStr">
        <is>
          <t>中村剛</t>
        </is>
      </c>
      <c r="C5" s="30" t="n"/>
      <c r="D5" s="30" t="n"/>
      <c r="E5" s="31" t="n"/>
    </row>
    <row r="6">
      <c r="A6" s="20" t="inlineStr">
        <is>
          <t>チャプター名</t>
        </is>
      </c>
      <c r="B6" s="22" t="n"/>
      <c r="C6" s="30" t="n"/>
      <c r="D6" s="30" t="n"/>
      <c r="E6" s="31" t="n"/>
    </row>
    <row r="7">
      <c r="A7" s="20" t="inlineStr">
        <is>
          <t>定例会日時</t>
        </is>
      </c>
      <c r="B7" s="22" t="n"/>
      <c r="C7" s="30" t="n"/>
      <c r="D7" s="30" t="n"/>
      <c r="E7" s="31" t="n"/>
    </row>
    <row r="8">
      <c r="A8" s="20" t="inlineStr">
        <is>
          <t>初回定例会目安</t>
        </is>
      </c>
      <c r="B8" s="24" t="n"/>
      <c r="C8" s="30" t="n"/>
      <c r="D8" s="30" t="n"/>
      <c r="E8" s="31" t="n"/>
    </row>
    <row r="9">
      <c r="A9" s="20" t="inlineStr">
        <is>
          <t>CCS担当①</t>
        </is>
      </c>
      <c r="B9" s="22" t="n"/>
      <c r="C9" s="30" t="n"/>
      <c r="D9" s="30" t="n"/>
      <c r="E9" s="23" t="inlineStr">
        <is>
          <t>未着手</t>
        </is>
      </c>
    </row>
    <row r="10">
      <c r="A10" s="20" t="inlineStr">
        <is>
          <t>CCS担当②</t>
        </is>
      </c>
      <c r="B10" s="22" t="n"/>
      <c r="C10" s="30" t="n"/>
      <c r="D10" s="30" t="n"/>
      <c r="E10" s="23" t="inlineStr">
        <is>
          <t>未着手</t>
        </is>
      </c>
    </row>
    <row r="11">
      <c r="A11" s="20" t="inlineStr">
        <is>
          <t>CCS担当③</t>
        </is>
      </c>
      <c r="B11" s="22" t="n"/>
      <c r="C11" s="30" t="n"/>
      <c r="D11" s="30" t="n"/>
      <c r="E11" s="23" t="inlineStr">
        <is>
          <t>未着手</t>
        </is>
      </c>
    </row>
    <row r="12">
      <c r="A12" s="20" t="inlineStr">
        <is>
          <t>CCS担当④</t>
        </is>
      </c>
      <c r="B12" s="22" t="n"/>
      <c r="C12" s="30" t="n"/>
      <c r="D12" s="30" t="n"/>
      <c r="E12" s="23" t="inlineStr">
        <is>
          <t>未着手</t>
        </is>
      </c>
    </row>
    <row r="13">
      <c r="A13" s="20" t="inlineStr">
        <is>
          <t>MS・メンター①</t>
        </is>
      </c>
      <c r="B13" s="22" t="n"/>
      <c r="C13" s="30" t="n"/>
      <c r="D13" s="30" t="n"/>
      <c r="E13" s="23" t="inlineStr">
        <is>
          <t>未着手</t>
        </is>
      </c>
    </row>
    <row r="14">
      <c r="A14" s="20" t="inlineStr">
        <is>
          <t>MS・メンター②</t>
        </is>
      </c>
      <c r="B14" s="22" t="n"/>
      <c r="C14" s="30" t="n"/>
      <c r="D14" s="30" t="n"/>
      <c r="E14" s="23" t="inlineStr">
        <is>
          <t>未着手</t>
        </is>
      </c>
    </row>
    <row r="15">
      <c r="A15" s="20" t="inlineStr">
        <is>
          <t>MS・メンター③</t>
        </is>
      </c>
      <c r="B15" s="22" t="n"/>
      <c r="C15" s="30" t="n"/>
      <c r="D15" s="30" t="n"/>
      <c r="E15" s="23" t="inlineStr">
        <is>
          <t>未着手</t>
        </is>
      </c>
    </row>
    <row r="16">
      <c r="A16" s="20" t="inlineStr">
        <is>
          <t>MS・メンター④</t>
        </is>
      </c>
      <c r="B16" s="22" t="n"/>
      <c r="C16" s="30" t="n"/>
      <c r="D16" s="30" t="n"/>
      <c r="E16" s="23" t="inlineStr">
        <is>
          <t>未着手</t>
        </is>
      </c>
    </row>
    <row r="17">
      <c r="A17" s="20" t="inlineStr">
        <is>
          <t>全体サポート①</t>
        </is>
      </c>
      <c r="B17" s="22" t="n"/>
      <c r="C17" s="30" t="n"/>
      <c r="D17" s="30" t="n"/>
      <c r="E17" s="23" t="inlineStr">
        <is>
          <t>未着手</t>
        </is>
      </c>
    </row>
    <row r="18">
      <c r="A18" s="20" t="inlineStr">
        <is>
          <t>全体サポート②</t>
        </is>
      </c>
      <c r="B18" s="22" t="n"/>
      <c r="C18" s="30" t="n"/>
      <c r="D18" s="30" t="n"/>
      <c r="E18" s="23" t="inlineStr">
        <is>
          <t>未着手</t>
        </is>
      </c>
    </row>
    <row r="19">
      <c r="A19" s="20" t="inlineStr">
        <is>
          <t>全体サポート③</t>
        </is>
      </c>
      <c r="B19" s="22" t="n"/>
      <c r="C19" s="30" t="n"/>
      <c r="D19" s="30" t="n"/>
      <c r="E19" s="23" t="inlineStr">
        <is>
          <t>未着手</t>
        </is>
      </c>
    </row>
    <row r="20">
      <c r="A20" s="20" t="inlineStr">
        <is>
          <t>全体サポート④</t>
        </is>
      </c>
      <c r="B20" s="22" t="n"/>
      <c r="C20" s="30" t="n"/>
      <c r="D20" s="30" t="n"/>
      <c r="E20" s="23" t="inlineStr">
        <is>
          <t>未着手</t>
        </is>
      </c>
    </row>
    <row r="21">
      <c r="A21" s="20" t="inlineStr">
        <is>
          <t>その他・必要な役割</t>
        </is>
      </c>
      <c r="B21" s="22" t="n"/>
      <c r="C21" s="30" t="n"/>
      <c r="D21" s="30" t="n"/>
      <c r="E21" s="23" t="inlineStr">
        <is>
          <t>未着手</t>
        </is>
      </c>
    </row>
    <row r="23">
      <c r="A23" s="17" t="inlineStr">
        <is>
          <t>■ ローンチ進捗（毎週月曜 9:00 のローンチMTG前に更新）</t>
        </is>
      </c>
    </row>
    <row r="24">
      <c r="A24" s="20" t="inlineStr">
        <is>
          <t>現フェーズ</t>
        </is>
      </c>
      <c r="B24" s="30" t="inlineStr">
        <is>
          <t>準備中</t>
        </is>
      </c>
      <c r="C24" s="32" t="n"/>
      <c r="D24" s="32" t="n"/>
      <c r="E24" s="33" t="n"/>
    </row>
    <row r="25">
      <c r="A25" s="20" t="inlineStr">
        <is>
          <t>フェーズ開始日</t>
        </is>
      </c>
      <c r="B25" s="34" t="n"/>
      <c r="C25" s="32" t="n"/>
      <c r="D25" s="32" t="n"/>
      <c r="E25" s="33" t="n"/>
    </row>
    <row r="26">
      <c r="A26" s="20" t="inlineStr">
        <is>
          <t>フェーズ目標人数（正式プリコア）</t>
        </is>
      </c>
      <c r="B26" s="35" t="n"/>
      <c r="C26" s="32" t="n"/>
      <c r="D26" s="32" t="n"/>
      <c r="E26" s="33" t="n"/>
    </row>
    <row r="27" ht="40" customHeight="1">
      <c r="A27" s="20" t="inlineStr">
        <is>
          <t>今週の課題・EDへの相談</t>
        </is>
      </c>
      <c r="B27" s="30" t="n"/>
      <c r="C27" s="32" t="n"/>
      <c r="D27" s="32" t="n"/>
      <c r="E27" s="33" t="n"/>
    </row>
    <row r="28">
      <c r="A28" s="20" t="inlineStr">
        <is>
          <t>ローンチ詳細シートURL（NOBELIA型）</t>
        </is>
      </c>
      <c r="B28" s="30" t="n"/>
      <c r="C28" s="32" t="n"/>
      <c r="D28" s="32" t="n"/>
      <c r="E28" s="33" t="n"/>
    </row>
  </sheetData>
  <mergeCells count="7">
    <mergeCell ref="B26:E26"/>
    <mergeCell ref="B27:E27"/>
    <mergeCell ref="A1:E1"/>
    <mergeCell ref="A23:E23"/>
    <mergeCell ref="B24:E24"/>
    <mergeCell ref="B25:E25"/>
    <mergeCell ref="B28:E28"/>
  </mergeCells>
  <conditionalFormatting sqref="E9:E21">
    <cfRule type="expression" priority="1" dxfId="13">
      <formula>$E9="承諾"</formula>
    </cfRule>
    <cfRule type="expression" priority="2" dxfId="6">
      <formula>$E9="打診中"</formula>
    </cfRule>
    <cfRule type="expression" priority="3" dxfId="0">
      <formula>$E9="辞退"</formula>
    </cfRule>
  </conditionalFormatting>
  <dataValidations count="3">
    <dataValidation sqref="B4" showDropDown="0" showInputMessage="0" showErrorMessage="0" allowBlank="1" type="list">
      <formula1>='設定'!$E$4:$E$23</formula1>
    </dataValidation>
    <dataValidation sqref="E9:E21" showDropDown="0" showInputMessage="0" showErrorMessage="0" allowBlank="1" type="list">
      <formula1>='設定'!$F$4:$F$23</formula1>
    </dataValidation>
    <dataValidation sqref="B24" showDropDown="0" showInputMessage="0" showErrorMessage="0" allowBlank="1" type="list">
      <formula1>='設定'!$D$4:$D$23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7" customWidth="1" min="3" max="3"/>
    <col width="11" customWidth="1" min="4" max="4"/>
    <col width="12" customWidth="1" min="5" max="5"/>
    <col width="11" customWidth="1" min="6" max="6"/>
    <col width="52" customWidth="1" min="7" max="7"/>
  </cols>
  <sheetData>
    <row r="1">
      <c r="A1" s="1" t="inlineStr">
        <is>
          <t>行動マスタ（入会後の流れ）</t>
        </is>
      </c>
    </row>
    <row r="2">
      <c r="A2" s="2" t="inlineStr">
        <is>
          <t>ハルモニアの『入会後の流れ』『メンバー表』の項目。期限＝正式化日＋日数。担当ロール：本人／担当（紹介したメンバー）／CCS実施（DNA）／LD。『本人リマインド』が要のタスクは本人へメール（GASでON時）</t>
        </is>
      </c>
    </row>
    <row r="4">
      <c r="A4" s="8" t="inlineStr">
        <is>
          <t>順</t>
        </is>
      </c>
      <c r="B4" s="8" t="inlineStr">
        <is>
          <t>タスク</t>
        </is>
      </c>
      <c r="C4" s="8" t="inlineStr">
        <is>
          <t>区分</t>
        </is>
      </c>
      <c r="D4" s="8" t="inlineStr">
        <is>
          <t>担当ロール</t>
        </is>
      </c>
      <c r="E4" s="8" t="inlineStr">
        <is>
          <t>期限（正式化日＋日）</t>
        </is>
      </c>
      <c r="F4" s="8" t="inlineStr">
        <is>
          <t>本人リマインド</t>
        </is>
      </c>
      <c r="G4" s="8" t="inlineStr">
        <is>
          <t>備考（案内・DNAの動き方）</t>
        </is>
      </c>
    </row>
    <row r="5">
      <c r="A5" s="23" t="n">
        <v>1</v>
      </c>
      <c r="B5" s="30" t="inlineStr">
        <is>
          <t>ウェルカムコール</t>
        </is>
      </c>
      <c r="C5" s="23" t="inlineStr">
        <is>
          <t>DNA</t>
        </is>
      </c>
      <c r="D5" s="23" t="inlineStr">
        <is>
          <t>CCS実施</t>
        </is>
      </c>
      <c r="E5" s="23" t="n">
        <v>1</v>
      </c>
      <c r="F5" s="23" t="inlineStr">
        <is>
          <t>不要</t>
        </is>
      </c>
      <c r="G5" s="30" t="inlineStr">
        <is>
          <t>RCS：新メンバーには必ずウェルカムコール。入会後の流れを一緒に確認</t>
        </is>
      </c>
    </row>
    <row r="6">
      <c r="A6" s="23" t="n">
        <v>2</v>
      </c>
      <c r="B6" s="30" t="inlineStr">
        <is>
          <t>FB登録</t>
        </is>
      </c>
      <c r="C6" s="23" t="inlineStr">
        <is>
          <t>本人</t>
        </is>
      </c>
      <c r="D6" s="23" t="inlineStr">
        <is>
          <t>本人</t>
        </is>
      </c>
      <c r="E6" s="23" t="n">
        <v>2</v>
      </c>
      <c r="F6" s="23" t="inlineStr">
        <is>
          <t>要</t>
        </is>
      </c>
      <c r="G6" s="30" t="inlineStr">
        <is>
          <t>毎日の活動をFBに投稿。FBがない方は作成</t>
        </is>
      </c>
    </row>
    <row r="7">
      <c r="A7" s="23" t="n">
        <v>3</v>
      </c>
      <c r="B7" s="30" t="inlineStr">
        <is>
          <t>公式LINE登録</t>
        </is>
      </c>
      <c r="C7" s="23" t="inlineStr">
        <is>
          <t>本人</t>
        </is>
      </c>
      <c r="D7" s="23" t="inlineStr">
        <is>
          <t>本人</t>
        </is>
      </c>
      <c r="E7" s="23" t="n">
        <v>2</v>
      </c>
      <c r="F7" s="23" t="inlineStr">
        <is>
          <t>要</t>
        </is>
      </c>
      <c r="G7" s="30" t="inlineStr">
        <is>
          <t>友だち追加後に名前を送る</t>
        </is>
      </c>
    </row>
    <row r="8">
      <c r="A8" s="23" t="n">
        <v>4</v>
      </c>
      <c r="B8" s="30" t="inlineStr">
        <is>
          <t>FB・LINEグループ招待</t>
        </is>
      </c>
      <c r="C8" s="23" t="inlineStr">
        <is>
          <t>DNA</t>
        </is>
      </c>
      <c r="D8" s="23" t="inlineStr">
        <is>
          <t>LD</t>
        </is>
      </c>
      <c r="E8" s="23" t="n">
        <v>3</v>
      </c>
      <c r="F8" s="23" t="inlineStr">
        <is>
          <t>不要</t>
        </is>
      </c>
      <c r="G8" s="30" t="inlineStr">
        <is>
          <t>報告・班などのグループすべてに招待。参加を確認したら✓</t>
        </is>
      </c>
    </row>
    <row r="9">
      <c r="A9" s="23" t="n">
        <v>5</v>
      </c>
      <c r="B9" s="30" t="inlineStr">
        <is>
          <t>個性心理学（誕生日入力）</t>
        </is>
      </c>
      <c r="C9" s="23" t="inlineStr">
        <is>
          <t>本人</t>
        </is>
      </c>
      <c r="D9" s="23" t="inlineStr">
        <is>
          <t>本人</t>
        </is>
      </c>
      <c r="E9" s="23" t="n">
        <v>3</v>
      </c>
      <c r="F9" s="23" t="inlineStr">
        <is>
          <t>要</t>
        </is>
      </c>
      <c r="G9" s="30" t="inlineStr">
        <is>
          <t>ななメンター導入時は相性でメンターを決定</t>
        </is>
      </c>
    </row>
    <row r="10">
      <c r="A10" s="23" t="n">
        <v>6</v>
      </c>
      <c r="B10" s="30" t="inlineStr">
        <is>
          <t>リストアップ開始</t>
        </is>
      </c>
      <c r="C10" s="23" t="inlineStr">
        <is>
          <t>本人</t>
        </is>
      </c>
      <c r="D10" s="23" t="inlineStr">
        <is>
          <t>本人</t>
        </is>
      </c>
      <c r="E10" s="23" t="n">
        <v>3</v>
      </c>
      <c r="F10" s="23" t="inlineStr">
        <is>
          <t>要</t>
        </is>
      </c>
      <c r="G10" s="30" t="inlineStr">
        <is>
          <t>自分のタブに見込みになりそうな方を記入。人脈資産のデータベースづくりと伝える</t>
        </is>
      </c>
    </row>
    <row r="11">
      <c r="A11" s="23" t="n">
        <v>7</v>
      </c>
      <c r="B11" s="30" t="inlineStr">
        <is>
          <t>プロフィール写真提出</t>
        </is>
      </c>
      <c r="C11" s="23" t="inlineStr">
        <is>
          <t>本人</t>
        </is>
      </c>
      <c r="D11" s="23" t="inlineStr">
        <is>
          <t>本人</t>
        </is>
      </c>
      <c r="E11" s="23" t="n">
        <v>7</v>
      </c>
      <c r="F11" s="23" t="inlineStr">
        <is>
          <t>要</t>
        </is>
      </c>
      <c r="G11" s="30" t="inlineStr">
        <is>
          <t>ビジネスにふさわしい写真。公式LINEへ送信でOK</t>
        </is>
      </c>
    </row>
    <row r="12">
      <c r="A12" s="23" t="n">
        <v>8</v>
      </c>
      <c r="B12" s="30" t="inlineStr">
        <is>
          <t>名刺写メ提出</t>
        </is>
      </c>
      <c r="C12" s="23" t="inlineStr">
        <is>
          <t>本人</t>
        </is>
      </c>
      <c r="D12" s="23" t="inlineStr">
        <is>
          <t>本人</t>
        </is>
      </c>
      <c r="E12" s="23" t="n">
        <v>7</v>
      </c>
      <c r="F12" s="23" t="inlineStr">
        <is>
          <t>要</t>
        </is>
      </c>
      <c r="G12" s="30" t="inlineStr">
        <is>
          <t>公式LINEへ送信でOK</t>
        </is>
      </c>
    </row>
    <row r="13">
      <c r="A13" s="23" t="n">
        <v>9</v>
      </c>
      <c r="B13" s="30" t="inlineStr">
        <is>
          <t>BNIスタートガイドの視聴</t>
        </is>
      </c>
      <c r="C13" s="23" t="inlineStr">
        <is>
          <t>本人</t>
        </is>
      </c>
      <c r="D13" s="23" t="inlineStr">
        <is>
          <t>本人</t>
        </is>
      </c>
      <c r="E13" s="23" t="n">
        <v>7</v>
      </c>
      <c r="F13" s="23" t="inlineStr">
        <is>
          <t>要</t>
        </is>
      </c>
      <c r="G13" s="30" t="inlineStr">
        <is>
          <t>https://welcome.bni.jp/</t>
        </is>
      </c>
    </row>
    <row r="14">
      <c r="A14" s="23" t="n">
        <v>10</v>
      </c>
      <c r="B14" s="30" t="inlineStr">
        <is>
          <t>コネクト登録</t>
        </is>
      </c>
      <c r="C14" s="23" t="inlineStr">
        <is>
          <t>DNA</t>
        </is>
      </c>
      <c r="D14" s="23" t="inlineStr">
        <is>
          <t>LD</t>
        </is>
      </c>
      <c r="E14" s="23" t="n">
        <v>10</v>
      </c>
      <c r="F14" s="23" t="inlineStr">
        <is>
          <t>不要</t>
        </is>
      </c>
      <c r="G14" s="30" t="inlineStr">
        <is>
          <t>BNI Connectの登録を確認</t>
        </is>
      </c>
    </row>
    <row r="15">
      <c r="A15" s="23" t="n">
        <v>11</v>
      </c>
      <c r="B15" s="30" t="inlineStr">
        <is>
          <t>ショーケースチャプター参加（1回目）</t>
        </is>
      </c>
      <c r="C15" s="23" t="inlineStr">
        <is>
          <t>本人</t>
        </is>
      </c>
      <c r="D15" s="23" t="inlineStr">
        <is>
          <t>本人</t>
        </is>
      </c>
      <c r="E15" s="23" t="n">
        <v>14</v>
      </c>
      <c r="F15" s="23" t="inlineStr">
        <is>
          <t>要</t>
        </is>
      </c>
      <c r="G15" s="30" t="inlineStr">
        <is>
          <t>行きたいチャプター日時をディレクターに伝える。感想をFBでシェア</t>
        </is>
      </c>
    </row>
    <row r="16">
      <c r="A16" s="23" t="n">
        <v>12</v>
      </c>
      <c r="B16" s="30" t="inlineStr">
        <is>
          <t>略歴・GAINSシート作成</t>
        </is>
      </c>
      <c r="C16" s="23" t="inlineStr">
        <is>
          <t>本人</t>
        </is>
      </c>
      <c r="D16" s="23" t="inlineStr">
        <is>
          <t>本人</t>
        </is>
      </c>
      <c r="E16" s="23" t="n">
        <v>14</v>
      </c>
      <c r="F16" s="23" t="inlineStr">
        <is>
          <t>要</t>
        </is>
      </c>
      <c r="G16" s="30" t="inlineStr">
        <is>
          <t>1to1の前に夢・目標・人脈を記入。URLを送り合う</t>
        </is>
      </c>
    </row>
    <row r="17">
      <c r="A17" s="23" t="n">
        <v>13</v>
      </c>
      <c r="B17" s="30" t="inlineStr">
        <is>
          <t>ななメンター決定</t>
        </is>
      </c>
      <c r="C17" s="23" t="inlineStr">
        <is>
          <t>DNA</t>
        </is>
      </c>
      <c r="D17" s="23" t="inlineStr">
        <is>
          <t>LD</t>
        </is>
      </c>
      <c r="E17" s="23" t="n">
        <v>14</v>
      </c>
      <c r="F17" s="23" t="inlineStr">
        <is>
          <t>不要</t>
        </is>
      </c>
      <c r="G17" s="30" t="inlineStr">
        <is>
          <t>個性心理学の相性で決定</t>
        </is>
      </c>
    </row>
    <row r="18">
      <c r="A18" s="23" t="n">
        <v>14</v>
      </c>
      <c r="B18" s="30" t="inlineStr">
        <is>
          <t>名札制作</t>
        </is>
      </c>
      <c r="C18" s="23" t="inlineStr">
        <is>
          <t>DNA</t>
        </is>
      </c>
      <c r="D18" s="23" t="inlineStr">
        <is>
          <t>LD</t>
        </is>
      </c>
      <c r="E18" s="23" t="n">
        <v>21</v>
      </c>
      <c r="F18" s="23" t="inlineStr">
        <is>
          <t>不要</t>
        </is>
      </c>
      <c r="G18" s="30" t="inlineStr"/>
    </row>
    <row r="19">
      <c r="A19" s="23" t="n">
        <v>15</v>
      </c>
      <c r="B19" s="30" t="inlineStr">
        <is>
          <t>ショーケースチャプター参加（2回目）</t>
        </is>
      </c>
      <c r="C19" s="23" t="inlineStr">
        <is>
          <t>本人</t>
        </is>
      </c>
      <c r="D19" s="23" t="inlineStr">
        <is>
          <t>本人</t>
        </is>
      </c>
      <c r="E19" s="23" t="n">
        <v>28</v>
      </c>
      <c r="F19" s="23" t="inlineStr">
        <is>
          <t>要</t>
        </is>
      </c>
      <c r="G19" s="30" t="inlineStr"/>
    </row>
    <row r="20">
      <c r="A20" s="23" t="n">
        <v>16</v>
      </c>
      <c r="B20" s="30" t="inlineStr">
        <is>
          <t>メンバーサクセスオリエンテーション（MSP）受講</t>
        </is>
      </c>
      <c r="C20" s="23" t="inlineStr">
        <is>
          <t>本人</t>
        </is>
      </c>
      <c r="D20" s="23" t="inlineStr">
        <is>
          <t>本人</t>
        </is>
      </c>
      <c r="E20" s="23" t="n">
        <v>30</v>
      </c>
      <c r="F20" s="23" t="inlineStr">
        <is>
          <t>要</t>
        </is>
      </c>
      <c r="G20" s="30" t="inlineStr">
        <is>
          <t>RCS：1年目メンバーには受講を必ず確認</t>
        </is>
      </c>
    </row>
    <row r="21">
      <c r="A21" s="23" t="n">
        <v>17</v>
      </c>
      <c r="B21" s="30" t="inlineStr">
        <is>
          <t>第1回メンター</t>
        </is>
      </c>
      <c r="C21" s="23" t="inlineStr">
        <is>
          <t>DNA</t>
        </is>
      </c>
      <c r="D21" s="23" t="inlineStr">
        <is>
          <t>LD</t>
        </is>
      </c>
      <c r="E21" s="23" t="n">
        <v>30</v>
      </c>
      <c r="F21" s="23" t="inlineStr">
        <is>
          <t>不要</t>
        </is>
      </c>
      <c r="G21" s="30" t="inlineStr">
        <is>
          <t>メンターとの面談実施を確認</t>
        </is>
      </c>
    </row>
    <row r="22">
      <c r="A22" s="23" t="n">
        <v>18</v>
      </c>
      <c r="B22" s="30" t="inlineStr">
        <is>
          <t>第2回メンター</t>
        </is>
      </c>
      <c r="C22" s="23" t="inlineStr">
        <is>
          <t>DNA</t>
        </is>
      </c>
      <c r="D22" s="23" t="inlineStr">
        <is>
          <t>LD</t>
        </is>
      </c>
      <c r="E22" s="23" t="n">
        <v>60</v>
      </c>
      <c r="F22" s="23" t="inlineStr">
        <is>
          <t>不要</t>
        </is>
      </c>
      <c r="G22" s="30" t="inlineStr"/>
    </row>
    <row r="23">
      <c r="A23" s="23" t="n">
        <v>19</v>
      </c>
      <c r="B23" s="30" t="inlineStr">
        <is>
          <t>第3回メンター</t>
        </is>
      </c>
      <c r="C23" s="23" t="inlineStr">
        <is>
          <t>DNA</t>
        </is>
      </c>
      <c r="D23" s="23" t="inlineStr">
        <is>
          <t>LD</t>
        </is>
      </c>
      <c r="E23" s="23" t="n">
        <v>90</v>
      </c>
      <c r="F23" s="23" t="inlineStr">
        <is>
          <t>不要</t>
        </is>
      </c>
      <c r="G23" s="30" t="inlineStr"/>
    </row>
    <row r="24">
      <c r="A24" s="23" t="n">
        <v>20</v>
      </c>
      <c r="B24" s="30" t="inlineStr">
        <is>
          <t>BNI Basic受講</t>
        </is>
      </c>
      <c r="C24" s="23" t="inlineStr">
        <is>
          <t>本人</t>
        </is>
      </c>
      <c r="D24" s="23" t="inlineStr">
        <is>
          <t>本人</t>
        </is>
      </c>
      <c r="E24" s="23" t="n">
        <v>90</v>
      </c>
      <c r="F24" s="23" t="inlineStr">
        <is>
          <t>要</t>
        </is>
      </c>
      <c r="G24" s="30" t="inlineStr">
        <is>
          <t>RCS：ベーシックは最低年1回</t>
        </is>
      </c>
    </row>
    <row r="25">
      <c r="A25" s="23" t="n">
        <v>21</v>
      </c>
      <c r="B25" s="30" t="inlineStr">
        <is>
          <t>第4回メンター</t>
        </is>
      </c>
      <c r="C25" s="23" t="inlineStr">
        <is>
          <t>DNA</t>
        </is>
      </c>
      <c r="D25" s="23" t="inlineStr">
        <is>
          <t>LD</t>
        </is>
      </c>
      <c r="E25" s="23" t="n">
        <v>120</v>
      </c>
      <c r="F25" s="23" t="inlineStr">
        <is>
          <t>不要</t>
        </is>
      </c>
      <c r="G25" s="30" t="inlineStr"/>
    </row>
    <row r="26">
      <c r="A26" s="23" t="n">
        <v>22</v>
      </c>
      <c r="B26" s="30" t="inlineStr">
        <is>
          <t>DNA面談2回目（4〜6ヶ月以内）</t>
        </is>
      </c>
      <c r="C26" s="23" t="inlineStr">
        <is>
          <t>DNA</t>
        </is>
      </c>
      <c r="D26" s="23" t="inlineStr">
        <is>
          <t>CCS実施</t>
        </is>
      </c>
      <c r="E26" s="23" t="n">
        <v>150</v>
      </c>
      <c r="F26" s="23" t="inlineStr">
        <is>
          <t>不要</t>
        </is>
      </c>
      <c r="G26" s="30" t="inlineStr">
        <is>
          <t>Give/Gainの振り返りと目標の再設定</t>
        </is>
      </c>
    </row>
    <row r="27">
      <c r="A27" s="23" t="n">
        <v>23</v>
      </c>
      <c r="B27" s="30" t="inlineStr">
        <is>
          <t>第5回メンター</t>
        </is>
      </c>
      <c r="C27" s="23" t="inlineStr">
        <is>
          <t>DNA</t>
        </is>
      </c>
      <c r="D27" s="23" t="inlineStr">
        <is>
          <t>LD</t>
        </is>
      </c>
      <c r="E27" s="23" t="n">
        <v>150</v>
      </c>
      <c r="F27" s="23" t="inlineStr">
        <is>
          <t>不要</t>
        </is>
      </c>
      <c r="G27" s="30" t="inlineStr"/>
    </row>
    <row r="28">
      <c r="A28" s="23" t="n">
        <v>24</v>
      </c>
      <c r="B28" s="30" t="inlineStr">
        <is>
          <t>第6回メンター</t>
        </is>
      </c>
      <c r="C28" s="23" t="inlineStr">
        <is>
          <t>DNA</t>
        </is>
      </c>
      <c r="D28" s="23" t="inlineStr">
        <is>
          <t>LD</t>
        </is>
      </c>
      <c r="E28" s="23" t="n">
        <v>180</v>
      </c>
      <c r="F28" s="23" t="inlineStr">
        <is>
          <t>不要</t>
        </is>
      </c>
      <c r="G28" s="30" t="inlineStr"/>
    </row>
    <row r="29">
      <c r="A29" s="23" t="n">
        <v>25</v>
      </c>
      <c r="B29" s="30" t="inlineStr">
        <is>
          <t>DNA面談3回目（7〜9ヶ月以内）</t>
        </is>
      </c>
      <c r="C29" s="23" t="inlineStr">
        <is>
          <t>DNA</t>
        </is>
      </c>
      <c r="D29" s="23" t="inlineStr">
        <is>
          <t>CCS実施</t>
        </is>
      </c>
      <c r="E29" s="23" t="n">
        <v>240</v>
      </c>
      <c r="F29" s="23" t="inlineStr">
        <is>
          <t>不要</t>
        </is>
      </c>
      <c r="G29" s="30" t="inlineStr">
        <is>
          <t>更新に向けた伴走。RCS：更新90日前には必ずコンタクト</t>
        </is>
      </c>
    </row>
    <row r="30">
      <c r="A30" s="23" t="n"/>
      <c r="B30" s="22" t="n"/>
      <c r="C30" s="23" t="n"/>
      <c r="D30" s="23" t="n"/>
      <c r="E30" s="23" t="n"/>
      <c r="F30" s="23" t="n"/>
      <c r="G30" s="22" t="n"/>
    </row>
    <row r="31">
      <c r="A31" s="23" t="n"/>
      <c r="B31" s="22" t="n"/>
      <c r="C31" s="23" t="n"/>
      <c r="D31" s="23" t="n"/>
      <c r="E31" s="23" t="n"/>
      <c r="F31" s="23" t="n"/>
      <c r="G31" s="22" t="n"/>
    </row>
    <row r="32">
      <c r="A32" s="23" t="n"/>
      <c r="B32" s="22" t="n"/>
      <c r="C32" s="23" t="n"/>
      <c r="D32" s="23" t="n"/>
      <c r="E32" s="23" t="n"/>
      <c r="F32" s="23" t="n"/>
      <c r="G32" s="22" t="n"/>
    </row>
    <row r="33">
      <c r="A33" s="23" t="n"/>
      <c r="B33" s="22" t="n"/>
      <c r="C33" s="23" t="n"/>
      <c r="D33" s="23" t="n"/>
      <c r="E33" s="23" t="n"/>
      <c r="F33" s="23" t="n"/>
      <c r="G33" s="22" t="n"/>
    </row>
    <row r="34">
      <c r="A34" s="23" t="n"/>
      <c r="B34" s="22" t="n"/>
      <c r="C34" s="23" t="n"/>
      <c r="D34" s="23" t="n"/>
      <c r="E34" s="23" t="n"/>
      <c r="F34" s="23" t="n"/>
      <c r="G34" s="22" t="n"/>
    </row>
    <row r="35">
      <c r="A35" s="23" t="n"/>
      <c r="B35" s="22" t="n"/>
      <c r="C35" s="23" t="n"/>
      <c r="D35" s="23" t="n"/>
      <c r="E35" s="23" t="n"/>
      <c r="F35" s="23" t="n"/>
      <c r="G35" s="22" t="n"/>
    </row>
    <row r="36">
      <c r="A36" s="23" t="n"/>
      <c r="B36" s="22" t="n"/>
      <c r="C36" s="23" t="n"/>
      <c r="D36" s="23" t="n"/>
      <c r="E36" s="23" t="n"/>
      <c r="F36" s="23" t="n"/>
      <c r="G36" s="22" t="n"/>
    </row>
    <row r="37">
      <c r="A37" s="23" t="n"/>
      <c r="B37" s="22" t="n"/>
      <c r="C37" s="23" t="n"/>
      <c r="D37" s="23" t="n"/>
      <c r="E37" s="23" t="n"/>
      <c r="F37" s="23" t="n"/>
      <c r="G37" s="22" t="n"/>
    </row>
    <row r="38">
      <c r="A38" s="23" t="n"/>
      <c r="B38" s="22" t="n"/>
      <c r="C38" s="23" t="n"/>
      <c r="D38" s="23" t="n"/>
      <c r="E38" s="23" t="n"/>
      <c r="F38" s="23" t="n"/>
      <c r="G38" s="22" t="n"/>
    </row>
    <row r="39">
      <c r="A39" s="23" t="n"/>
      <c r="B39" s="22" t="n"/>
      <c r="C39" s="23" t="n"/>
      <c r="D39" s="23" t="n"/>
      <c r="E39" s="23" t="n"/>
      <c r="F39" s="23" t="n"/>
      <c r="G39" s="22" t="n"/>
    </row>
    <row r="40">
      <c r="A40" s="23" t="n"/>
      <c r="B40" s="22" t="n"/>
      <c r="C40" s="23" t="n"/>
      <c r="D40" s="23" t="n"/>
      <c r="E40" s="23" t="n"/>
      <c r="F40" s="23" t="n"/>
      <c r="G40" s="22" t="n"/>
    </row>
    <row r="41">
      <c r="A41" s="23" t="n"/>
      <c r="B41" s="22" t="n"/>
      <c r="C41" s="23" t="n"/>
      <c r="D41" s="23" t="n"/>
      <c r="E41" s="23" t="n"/>
      <c r="F41" s="23" t="n"/>
      <c r="G41" s="22" t="n"/>
    </row>
    <row r="42">
      <c r="A42" s="23" t="n"/>
      <c r="B42" s="22" t="n"/>
      <c r="C42" s="23" t="n"/>
      <c r="D42" s="23" t="n"/>
      <c r="E42" s="23" t="n"/>
      <c r="F42" s="23" t="n"/>
      <c r="G42" s="22" t="n"/>
    </row>
    <row r="43">
      <c r="A43" s="23" t="n"/>
      <c r="B43" s="22" t="n"/>
      <c r="C43" s="23" t="n"/>
      <c r="D43" s="23" t="n"/>
      <c r="E43" s="23" t="n"/>
      <c r="F43" s="23" t="n"/>
      <c r="G43" s="22" t="n"/>
    </row>
    <row r="44">
      <c r="A44" s="23" t="n"/>
      <c r="B44" s="22" t="n"/>
      <c r="C44" s="23" t="n"/>
      <c r="D44" s="23" t="n"/>
      <c r="E44" s="23" t="n"/>
      <c r="F44" s="23" t="n"/>
      <c r="G44" s="22" t="n"/>
    </row>
  </sheetData>
  <dataValidations count="3">
    <dataValidation sqref="C5:C44" showDropDown="0" showInputMessage="0" showErrorMessage="0" allowBlank="1" type="list">
      <formula1>='設定'!$K$4:$K$23</formula1>
    </dataValidation>
    <dataValidation sqref="D5:D44" showDropDown="0" showInputMessage="0" showErrorMessage="0" allowBlank="1" type="list">
      <formula1>='設定'!$L$4:$L$23</formula1>
    </dataValidation>
    <dataValidation sqref="F5:F44" showDropDown="0" showInputMessage="0" showErrorMessage="0" allowBlank="1" type="list">
      <formula1>='設定'!$H$4:$H$23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0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6" customWidth="1" min="3" max="3"/>
    <col width="40" customWidth="1" min="4" max="4"/>
    <col width="2" customWidth="1" min="5" max="5"/>
    <col width="24" customWidth="1" min="6" max="6"/>
    <col width="30" customWidth="1" min="7" max="7"/>
  </cols>
  <sheetData>
    <row r="1">
      <c r="A1" s="1" t="inlineStr">
        <is>
          <t>通知先（アラートメールの送り先）</t>
        </is>
      </c>
    </row>
    <row r="2">
      <c r="A2" s="2" t="inlineStr">
        <is>
          <t>ローンチまとめはLDメール＋CCに届きます。右の表には担当メンバー・DNAの名前とメールを、CCS追っかけ・行動リストと同じ表記で入れてください</t>
        </is>
      </c>
    </row>
    <row r="4">
      <c r="A4" s="8" t="inlineStr">
        <is>
          <t>ローンチ（LD名）</t>
        </is>
      </c>
      <c r="B4" s="8" t="inlineStr">
        <is>
          <t>LDメール</t>
        </is>
      </c>
      <c r="C4" s="8" t="inlineStr">
        <is>
          <t>CC（複数はカンマ区切り）</t>
        </is>
      </c>
      <c r="D4" s="8" t="inlineStr">
        <is>
          <t>メンバー用LINEグループ招待URL</t>
        </is>
      </c>
      <c r="F4" s="6" t="inlineStr">
        <is>
          <t>名前（担当メンバー・DNA）</t>
        </is>
      </c>
      <c r="G4" s="6" t="inlineStr">
        <is>
          <t>メール</t>
        </is>
      </c>
    </row>
    <row r="5">
      <c r="A5" s="9" t="inlineStr">
        <is>
          <t>竹尾純子</t>
        </is>
      </c>
      <c r="B5" s="22" t="n"/>
      <c r="C5" s="22" t="n"/>
      <c r="D5" s="22" t="n"/>
      <c r="F5" s="22" t="n"/>
      <c r="G5" s="22" t="n"/>
    </row>
    <row r="6">
      <c r="A6" s="9" t="inlineStr">
        <is>
          <t>福重孝一</t>
        </is>
      </c>
      <c r="B6" s="22" t="n"/>
      <c r="C6" s="22" t="n"/>
      <c r="D6" s="22" t="n"/>
      <c r="F6" s="22" t="n"/>
      <c r="G6" s="22" t="n"/>
    </row>
    <row r="7">
      <c r="A7" s="9" t="inlineStr">
        <is>
          <t>矢野貴之</t>
        </is>
      </c>
      <c r="B7" s="22" t="n"/>
      <c r="C7" s="22" t="n"/>
      <c r="D7" s="22" t="n"/>
      <c r="F7" s="22" t="n"/>
      <c r="G7" s="22" t="n"/>
    </row>
    <row r="8">
      <c r="A8" s="9" t="inlineStr">
        <is>
          <t>榎田秀一</t>
        </is>
      </c>
      <c r="B8" s="22" t="n"/>
      <c r="C8" s="22" t="n"/>
      <c r="D8" s="22" t="n"/>
      <c r="F8" s="22" t="n"/>
      <c r="G8" s="22" t="n"/>
    </row>
    <row r="9">
      <c r="A9" s="9" t="inlineStr">
        <is>
          <t>世良真貴男</t>
        </is>
      </c>
      <c r="B9" s="22" t="n"/>
      <c r="C9" s="22" t="n"/>
      <c r="D9" s="22" t="n"/>
      <c r="F9" s="22" t="n"/>
      <c r="G9" s="22" t="n"/>
    </row>
    <row r="10">
      <c r="A10" s="9" t="inlineStr">
        <is>
          <t>松永健志</t>
        </is>
      </c>
      <c r="B10" s="22" t="n"/>
      <c r="C10" s="22" t="n"/>
      <c r="D10" s="22" t="n"/>
      <c r="F10" s="22" t="n"/>
      <c r="G10" s="22" t="n"/>
    </row>
    <row r="11">
      <c r="A11" s="9" t="inlineStr">
        <is>
          <t>中村剛</t>
        </is>
      </c>
      <c r="B11" s="22" t="n"/>
      <c r="C11" s="22" t="n"/>
      <c r="D11" s="22" t="n"/>
      <c r="F11" s="22" t="n"/>
      <c r="G11" s="22" t="n"/>
    </row>
    <row r="12">
      <c r="A12" s="9" t="n"/>
      <c r="B12" s="22" t="n"/>
      <c r="C12" s="22" t="n"/>
      <c r="D12" s="22" t="n"/>
      <c r="F12" s="22" t="n"/>
      <c r="G12" s="22" t="n"/>
    </row>
    <row r="13">
      <c r="A13" s="9" t="n"/>
      <c r="B13" s="22" t="n"/>
      <c r="C13" s="22" t="n"/>
      <c r="D13" s="22" t="n"/>
      <c r="F13" s="22" t="n"/>
      <c r="G13" s="22" t="n"/>
    </row>
    <row r="14">
      <c r="A14" s="9" t="n"/>
      <c r="B14" s="22" t="n"/>
      <c r="C14" s="22" t="n"/>
      <c r="D14" s="22" t="n"/>
      <c r="F14" s="22" t="n"/>
      <c r="G14" s="22" t="n"/>
    </row>
    <row r="15">
      <c r="A15" s="9" t="n"/>
      <c r="B15" s="22" t="n"/>
      <c r="C15" s="22" t="n"/>
      <c r="D15" s="22" t="n"/>
      <c r="F15" s="22" t="n"/>
      <c r="G15" s="22" t="n"/>
    </row>
    <row r="16">
      <c r="A16" s="9" t="n"/>
      <c r="B16" s="22" t="n"/>
      <c r="C16" s="22" t="n"/>
      <c r="D16" s="22" t="n"/>
      <c r="F16" s="22" t="n"/>
      <c r="G16" s="22" t="n"/>
    </row>
    <row r="17">
      <c r="A17" s="9" t="n"/>
      <c r="B17" s="22" t="n"/>
      <c r="C17" s="22" t="n"/>
      <c r="D17" s="22" t="n"/>
      <c r="F17" s="22" t="n"/>
      <c r="G17" s="22" t="n"/>
    </row>
    <row r="18">
      <c r="A18" s="9" t="n"/>
      <c r="B18" s="22" t="n"/>
      <c r="C18" s="22" t="n"/>
      <c r="D18" s="22" t="n"/>
      <c r="F18" s="22" t="n"/>
      <c r="G18" s="22" t="n"/>
    </row>
    <row r="19">
      <c r="A19" s="9" t="n"/>
      <c r="B19" s="22" t="n"/>
      <c r="C19" s="22" t="n"/>
      <c r="D19" s="22" t="n"/>
      <c r="F19" s="22" t="n"/>
      <c r="G19" s="22" t="n"/>
    </row>
    <row r="20">
      <c r="A20" s="9" t="n"/>
      <c r="B20" s="22" t="n"/>
      <c r="C20" s="22" t="n"/>
      <c r="D20" s="22" t="n"/>
      <c r="F20" s="22" t="n"/>
      <c r="G20" s="22" t="n"/>
    </row>
    <row r="21">
      <c r="A21" s="9" t="n"/>
      <c r="B21" s="22" t="n"/>
      <c r="C21" s="22" t="n"/>
      <c r="D21" s="22" t="n"/>
      <c r="F21" s="22" t="n"/>
      <c r="G21" s="22" t="n"/>
    </row>
    <row r="22">
      <c r="A22" s="9" t="n"/>
      <c r="B22" s="22" t="n"/>
      <c r="C22" s="22" t="n"/>
      <c r="D22" s="22" t="n"/>
      <c r="F22" s="22" t="n"/>
      <c r="G22" s="22" t="n"/>
    </row>
    <row r="23">
      <c r="A23" s="9" t="n"/>
      <c r="B23" s="22" t="n"/>
      <c r="C23" s="22" t="n"/>
      <c r="D23" s="22" t="n"/>
      <c r="F23" s="22" t="n"/>
      <c r="G23" s="22" t="n"/>
    </row>
    <row r="24">
      <c r="A24" s="9" t="n"/>
      <c r="B24" s="22" t="n"/>
      <c r="C24" s="22" t="n"/>
      <c r="D24" s="22" t="n"/>
      <c r="F24" s="22" t="n"/>
      <c r="G24" s="22" t="n"/>
    </row>
    <row r="25">
      <c r="F25" s="22" t="n"/>
      <c r="G25" s="22" t="n"/>
    </row>
    <row r="26">
      <c r="F26" s="22" t="n"/>
      <c r="G26" s="22" t="n"/>
    </row>
    <row r="27">
      <c r="F27" s="22" t="n"/>
      <c r="G27" s="22" t="n"/>
    </row>
    <row r="28">
      <c r="F28" s="22" t="n"/>
      <c r="G28" s="22" t="n"/>
    </row>
    <row r="29">
      <c r="F29" s="22" t="n"/>
      <c r="G29" s="22" t="n"/>
    </row>
    <row r="30">
      <c r="F30" s="22" t="n"/>
      <c r="G30" s="22" t="n"/>
    </row>
    <row r="31">
      <c r="F31" s="22" t="n"/>
      <c r="G31" s="22" t="n"/>
    </row>
    <row r="32">
      <c r="F32" s="22" t="n"/>
      <c r="G32" s="22" t="n"/>
    </row>
    <row r="33">
      <c r="F33" s="22" t="n"/>
      <c r="G33" s="22" t="n"/>
    </row>
    <row r="34">
      <c r="F34" s="22" t="n"/>
      <c r="G34" s="22" t="n"/>
    </row>
    <row r="35">
      <c r="F35" s="22" t="n"/>
      <c r="G35" s="22" t="n"/>
    </row>
    <row r="36">
      <c r="F36" s="22" t="n"/>
      <c r="G36" s="22" t="n"/>
    </row>
    <row r="37">
      <c r="F37" s="22" t="n"/>
      <c r="G37" s="22" t="n"/>
    </row>
    <row r="38">
      <c r="F38" s="22" t="n"/>
      <c r="G38" s="22" t="n"/>
    </row>
    <row r="39">
      <c r="F39" s="22" t="n"/>
      <c r="G39" s="22" t="n"/>
    </row>
    <row r="40">
      <c r="F40" s="22" t="n"/>
      <c r="G40" s="22" t="n"/>
    </row>
    <row r="41">
      <c r="F41" s="22" t="n"/>
      <c r="G41" s="22" t="n"/>
    </row>
    <row r="42">
      <c r="F42" s="22" t="n"/>
      <c r="G42" s="22" t="n"/>
    </row>
    <row r="43">
      <c r="F43" s="22" t="n"/>
      <c r="G43" s="22" t="n"/>
    </row>
    <row r="44">
      <c r="F44" s="22" t="n"/>
      <c r="G44" s="22" t="n"/>
    </row>
    <row r="45">
      <c r="F45" s="22" t="n"/>
      <c r="G45" s="22" t="n"/>
    </row>
    <row r="46">
      <c r="F46" s="22" t="n"/>
      <c r="G46" s="22" t="n"/>
    </row>
    <row r="47">
      <c r="F47" s="22" t="n"/>
      <c r="G47" s="22" t="n"/>
    </row>
    <row r="48">
      <c r="F48" s="22" t="n"/>
      <c r="G48" s="22" t="n"/>
    </row>
    <row r="49">
      <c r="F49" s="22" t="n"/>
      <c r="G49" s="22" t="n"/>
    </row>
    <row r="50">
      <c r="F50" s="22" t="n"/>
      <c r="G50" s="22" t="n"/>
    </row>
    <row r="51">
      <c r="F51" s="22" t="n"/>
      <c r="G51" s="22" t="n"/>
    </row>
    <row r="52">
      <c r="F52" s="22" t="n"/>
      <c r="G52" s="22" t="n"/>
    </row>
    <row r="53">
      <c r="F53" s="22" t="n"/>
      <c r="G53" s="22" t="n"/>
    </row>
    <row r="54">
      <c r="F54" s="22" t="n"/>
      <c r="G54" s="22" t="n"/>
    </row>
    <row r="55">
      <c r="F55" s="22" t="n"/>
      <c r="G55" s="22" t="n"/>
    </row>
    <row r="56">
      <c r="F56" s="22" t="n"/>
      <c r="G56" s="22" t="n"/>
    </row>
    <row r="57">
      <c r="F57" s="22" t="n"/>
      <c r="G57" s="22" t="n"/>
    </row>
    <row r="58">
      <c r="F58" s="22" t="n"/>
      <c r="G58" s="22" t="n"/>
    </row>
    <row r="59">
      <c r="F59" s="22" t="n"/>
      <c r="G59" s="22" t="n"/>
    </row>
    <row r="60">
      <c r="F60" s="22" t="n"/>
      <c r="G60" s="22" t="n"/>
    </row>
    <row r="61">
      <c r="F61" s="22" t="n"/>
      <c r="G61" s="22" t="n"/>
    </row>
    <row r="62">
      <c r="F62" s="22" t="n"/>
      <c r="G62" s="22" t="n"/>
    </row>
    <row r="63">
      <c r="F63" s="22" t="n"/>
      <c r="G63" s="22" t="n"/>
    </row>
    <row r="64">
      <c r="F64" s="22" t="n"/>
      <c r="G64" s="22" t="n"/>
    </row>
    <row r="65">
      <c r="F65" s="22" t="n"/>
      <c r="G65" s="22" t="n"/>
    </row>
    <row r="66">
      <c r="F66" s="22" t="n"/>
      <c r="G66" s="22" t="n"/>
    </row>
    <row r="67">
      <c r="F67" s="22" t="n"/>
      <c r="G67" s="22" t="n"/>
    </row>
    <row r="68">
      <c r="F68" s="22" t="n"/>
      <c r="G68" s="22" t="n"/>
    </row>
    <row r="69">
      <c r="F69" s="22" t="n"/>
      <c r="G69" s="22" t="n"/>
    </row>
    <row r="70">
      <c r="F70" s="22" t="n"/>
      <c r="G70" s="22" t="n"/>
    </row>
    <row r="71">
      <c r="F71" s="22" t="n"/>
      <c r="G71" s="22" t="n"/>
    </row>
    <row r="72">
      <c r="F72" s="22" t="n"/>
      <c r="G72" s="22" t="n"/>
    </row>
    <row r="73">
      <c r="F73" s="22" t="n"/>
      <c r="G73" s="22" t="n"/>
    </row>
    <row r="74">
      <c r="F74" s="22" t="n"/>
      <c r="G74" s="22" t="n"/>
    </row>
    <row r="75">
      <c r="F75" s="22" t="n"/>
      <c r="G75" s="22" t="n"/>
    </row>
    <row r="76">
      <c r="F76" s="22" t="n"/>
      <c r="G76" s="22" t="n"/>
    </row>
    <row r="77">
      <c r="F77" s="22" t="n"/>
      <c r="G77" s="22" t="n"/>
    </row>
    <row r="78">
      <c r="F78" s="22" t="n"/>
      <c r="G78" s="22" t="n"/>
    </row>
    <row r="79">
      <c r="F79" s="22" t="n"/>
      <c r="G79" s="22" t="n"/>
    </row>
    <row r="80">
      <c r="F80" s="22" t="n"/>
      <c r="G80" s="22" t="n"/>
    </row>
    <row r="81">
      <c r="F81" s="22" t="n"/>
      <c r="G81" s="22" t="n"/>
    </row>
    <row r="82">
      <c r="F82" s="22" t="n"/>
      <c r="G82" s="22" t="n"/>
    </row>
    <row r="83">
      <c r="F83" s="22" t="n"/>
      <c r="G83" s="22" t="n"/>
    </row>
    <row r="84">
      <c r="F84" s="22" t="n"/>
      <c r="G84" s="22" t="n"/>
    </row>
    <row r="85">
      <c r="F85" s="22" t="n"/>
      <c r="G85" s="22" t="n"/>
    </row>
    <row r="86">
      <c r="F86" s="22" t="n"/>
      <c r="G86" s="22" t="n"/>
    </row>
    <row r="87">
      <c r="F87" s="22" t="n"/>
      <c r="G87" s="22" t="n"/>
    </row>
    <row r="88">
      <c r="F88" s="22" t="n"/>
      <c r="G88" s="22" t="n"/>
    </row>
    <row r="89">
      <c r="F89" s="22" t="n"/>
      <c r="G89" s="22" t="n"/>
    </row>
    <row r="90">
      <c r="F90" s="22" t="n"/>
      <c r="G90" s="22" t="n"/>
    </row>
    <row r="91">
      <c r="F91" s="22" t="n"/>
      <c r="G91" s="22" t="n"/>
    </row>
    <row r="92">
      <c r="F92" s="22" t="n"/>
      <c r="G92" s="22" t="n"/>
    </row>
    <row r="93">
      <c r="F93" s="22" t="n"/>
      <c r="G93" s="22" t="n"/>
    </row>
    <row r="94">
      <c r="F94" s="22" t="n"/>
      <c r="G94" s="22" t="n"/>
    </row>
    <row r="95">
      <c r="F95" s="22" t="n"/>
      <c r="G95" s="22" t="n"/>
    </row>
    <row r="96">
      <c r="F96" s="22" t="n"/>
      <c r="G96" s="22" t="n"/>
    </row>
    <row r="97">
      <c r="F97" s="22" t="n"/>
      <c r="G97" s="22" t="n"/>
    </row>
    <row r="98">
      <c r="F98" s="22" t="n"/>
      <c r="G98" s="22" t="n"/>
    </row>
    <row r="99">
      <c r="F99" s="22" t="n"/>
      <c r="G99" s="22" t="n"/>
    </row>
    <row r="100">
      <c r="F100" s="22" t="n"/>
      <c r="G100" s="22" t="n"/>
    </row>
    <row r="101">
      <c r="F101" s="22" t="n"/>
      <c r="G101" s="22" t="n"/>
    </row>
    <row r="102">
      <c r="F102" s="22" t="n"/>
      <c r="G102" s="22" t="n"/>
    </row>
    <row r="103">
      <c r="F103" s="22" t="n"/>
      <c r="G103" s="22" t="n"/>
    </row>
    <row r="104">
      <c r="F104" s="22" t="n"/>
      <c r="G104" s="22" t="n"/>
    </row>
    <row r="105">
      <c r="F105" s="22" t="n"/>
      <c r="G105" s="22" t="n"/>
    </row>
    <row r="106">
      <c r="F106" s="22" t="n"/>
      <c r="G106" s="22" t="n"/>
    </row>
    <row r="107">
      <c r="F107" s="22" t="n"/>
      <c r="G107" s="22" t="n"/>
    </row>
    <row r="108">
      <c r="F108" s="22" t="n"/>
      <c r="G108" s="22" t="n"/>
    </row>
    <row r="109">
      <c r="F109" s="22" t="n"/>
      <c r="G109" s="22" t="n"/>
    </row>
    <row r="110">
      <c r="F110" s="22" t="n"/>
      <c r="G110" s="22" t="n"/>
    </row>
    <row r="111">
      <c r="F111" s="22" t="n"/>
      <c r="G111" s="22" t="n"/>
    </row>
    <row r="112">
      <c r="F112" s="22" t="n"/>
      <c r="G112" s="22" t="n"/>
    </row>
    <row r="113">
      <c r="F113" s="22" t="n"/>
      <c r="G113" s="22" t="n"/>
    </row>
    <row r="114">
      <c r="F114" s="22" t="n"/>
      <c r="G114" s="22" t="n"/>
    </row>
    <row r="115">
      <c r="F115" s="22" t="n"/>
      <c r="G115" s="22" t="n"/>
    </row>
    <row r="116">
      <c r="F116" s="22" t="n"/>
      <c r="G116" s="22" t="n"/>
    </row>
    <row r="117">
      <c r="F117" s="22" t="n"/>
      <c r="G117" s="22" t="n"/>
    </row>
    <row r="118">
      <c r="F118" s="22" t="n"/>
      <c r="G118" s="22" t="n"/>
    </row>
    <row r="119">
      <c r="F119" s="22" t="n"/>
      <c r="G119" s="22" t="n"/>
    </row>
    <row r="120">
      <c r="F120" s="22" t="n"/>
      <c r="G120" s="22" t="n"/>
    </row>
    <row r="121">
      <c r="F121" s="22" t="n"/>
      <c r="G121" s="22" t="n"/>
    </row>
    <row r="122">
      <c r="F122" s="22" t="n"/>
      <c r="G122" s="22" t="n"/>
    </row>
    <row r="123">
      <c r="F123" s="22" t="n"/>
      <c r="G123" s="22" t="n"/>
    </row>
    <row r="124">
      <c r="F124" s="22" t="n"/>
      <c r="G124" s="22" t="n"/>
    </row>
    <row r="125">
      <c r="F125" s="22" t="n"/>
      <c r="G125" s="22" t="n"/>
    </row>
    <row r="126">
      <c r="F126" s="22" t="n"/>
      <c r="G126" s="22" t="n"/>
    </row>
    <row r="127">
      <c r="F127" s="22" t="n"/>
      <c r="G127" s="22" t="n"/>
    </row>
    <row r="128">
      <c r="F128" s="22" t="n"/>
      <c r="G128" s="22" t="n"/>
    </row>
    <row r="129">
      <c r="F129" s="22" t="n"/>
      <c r="G129" s="22" t="n"/>
    </row>
    <row r="130">
      <c r="F130" s="22" t="n"/>
      <c r="G130" s="22" t="n"/>
    </row>
    <row r="131">
      <c r="F131" s="22" t="n"/>
      <c r="G131" s="22" t="n"/>
    </row>
    <row r="132">
      <c r="F132" s="22" t="n"/>
      <c r="G132" s="22" t="n"/>
    </row>
    <row r="133">
      <c r="F133" s="22" t="n"/>
      <c r="G133" s="22" t="n"/>
    </row>
    <row r="134">
      <c r="F134" s="22" t="n"/>
      <c r="G134" s="22" t="n"/>
    </row>
    <row r="135">
      <c r="F135" s="22" t="n"/>
      <c r="G135" s="22" t="n"/>
    </row>
    <row r="136">
      <c r="F136" s="22" t="n"/>
      <c r="G136" s="22" t="n"/>
    </row>
    <row r="137">
      <c r="F137" s="22" t="n"/>
      <c r="G137" s="22" t="n"/>
    </row>
    <row r="138">
      <c r="F138" s="22" t="n"/>
      <c r="G138" s="22" t="n"/>
    </row>
    <row r="139">
      <c r="F139" s="22" t="n"/>
      <c r="G139" s="22" t="n"/>
    </row>
    <row r="140">
      <c r="F140" s="22" t="n"/>
      <c r="G140" s="22" t="n"/>
    </row>
    <row r="141">
      <c r="F141" s="22" t="n"/>
      <c r="G141" s="22" t="n"/>
    </row>
    <row r="142">
      <c r="F142" s="22" t="n"/>
      <c r="G142" s="22" t="n"/>
    </row>
    <row r="143">
      <c r="F143" s="22" t="n"/>
      <c r="G143" s="22" t="n"/>
    </row>
    <row r="144">
      <c r="F144" s="22" t="n"/>
      <c r="G144" s="22" t="n"/>
    </row>
    <row r="145">
      <c r="F145" s="22" t="n"/>
      <c r="G145" s="22" t="n"/>
    </row>
    <row r="146">
      <c r="F146" s="22" t="n"/>
      <c r="G146" s="22" t="n"/>
    </row>
    <row r="147">
      <c r="F147" s="22" t="n"/>
      <c r="G147" s="22" t="n"/>
    </row>
    <row r="148">
      <c r="F148" s="22" t="n"/>
      <c r="G148" s="22" t="n"/>
    </row>
    <row r="149">
      <c r="F149" s="22" t="n"/>
      <c r="G149" s="22" t="n"/>
    </row>
    <row r="150">
      <c r="F150" s="22" t="n"/>
      <c r="G150" s="22" t="n"/>
    </row>
    <row r="151">
      <c r="F151" s="22" t="n"/>
      <c r="G151" s="22" t="n"/>
    </row>
    <row r="152">
      <c r="F152" s="22" t="n"/>
      <c r="G152" s="22" t="n"/>
    </row>
    <row r="153">
      <c r="F153" s="22" t="n"/>
      <c r="G153" s="22" t="n"/>
    </row>
    <row r="154">
      <c r="F154" s="22" t="n"/>
      <c r="G154" s="22" t="n"/>
    </row>
    <row r="155">
      <c r="F155" s="22" t="n"/>
      <c r="G155" s="22" t="n"/>
    </row>
    <row r="156">
      <c r="F156" s="22" t="n"/>
      <c r="G156" s="22" t="n"/>
    </row>
    <row r="157">
      <c r="F157" s="22" t="n"/>
      <c r="G157" s="22" t="n"/>
    </row>
    <row r="158">
      <c r="F158" s="22" t="n"/>
      <c r="G158" s="22" t="n"/>
    </row>
    <row r="159">
      <c r="F159" s="22" t="n"/>
      <c r="G159" s="22" t="n"/>
    </row>
    <row r="160">
      <c r="F160" s="22" t="n"/>
      <c r="G160" s="22" t="n"/>
    </row>
    <row r="161">
      <c r="F161" s="22" t="n"/>
      <c r="G161" s="22" t="n"/>
    </row>
    <row r="162">
      <c r="F162" s="22" t="n"/>
      <c r="G162" s="22" t="n"/>
    </row>
    <row r="163">
      <c r="F163" s="22" t="n"/>
      <c r="G163" s="22" t="n"/>
    </row>
    <row r="164">
      <c r="F164" s="22" t="n"/>
      <c r="G164" s="22" t="n"/>
    </row>
    <row r="165">
      <c r="F165" s="22" t="n"/>
      <c r="G165" s="22" t="n"/>
    </row>
    <row r="166">
      <c r="F166" s="22" t="n"/>
      <c r="G166" s="22" t="n"/>
    </row>
    <row r="167">
      <c r="F167" s="22" t="n"/>
      <c r="G167" s="22" t="n"/>
    </row>
    <row r="168">
      <c r="F168" s="22" t="n"/>
      <c r="G168" s="22" t="n"/>
    </row>
    <row r="169">
      <c r="F169" s="22" t="n"/>
      <c r="G169" s="22" t="n"/>
    </row>
    <row r="170">
      <c r="F170" s="22" t="n"/>
      <c r="G170" s="22" t="n"/>
    </row>
    <row r="171">
      <c r="F171" s="22" t="n"/>
      <c r="G171" s="22" t="n"/>
    </row>
    <row r="172">
      <c r="F172" s="22" t="n"/>
      <c r="G172" s="22" t="n"/>
    </row>
    <row r="173">
      <c r="F173" s="22" t="n"/>
      <c r="G173" s="22" t="n"/>
    </row>
    <row r="174">
      <c r="F174" s="22" t="n"/>
      <c r="G174" s="22" t="n"/>
    </row>
    <row r="175">
      <c r="F175" s="22" t="n"/>
      <c r="G175" s="22" t="n"/>
    </row>
    <row r="176">
      <c r="F176" s="22" t="n"/>
      <c r="G176" s="22" t="n"/>
    </row>
    <row r="177">
      <c r="F177" s="22" t="n"/>
      <c r="G177" s="22" t="n"/>
    </row>
    <row r="178">
      <c r="F178" s="22" t="n"/>
      <c r="G178" s="22" t="n"/>
    </row>
    <row r="179">
      <c r="F179" s="22" t="n"/>
      <c r="G179" s="22" t="n"/>
    </row>
    <row r="180">
      <c r="F180" s="22" t="n"/>
      <c r="G180" s="22" t="n"/>
    </row>
    <row r="181">
      <c r="F181" s="22" t="n"/>
      <c r="G181" s="22" t="n"/>
    </row>
    <row r="182">
      <c r="F182" s="22" t="n"/>
      <c r="G182" s="22" t="n"/>
    </row>
    <row r="183">
      <c r="F183" s="22" t="n"/>
      <c r="G183" s="22" t="n"/>
    </row>
    <row r="184">
      <c r="F184" s="22" t="n"/>
      <c r="G184" s="22" t="n"/>
    </row>
    <row r="185">
      <c r="F185" s="22" t="n"/>
      <c r="G185" s="22" t="n"/>
    </row>
    <row r="186">
      <c r="F186" s="22" t="n"/>
      <c r="G186" s="22" t="n"/>
    </row>
    <row r="187">
      <c r="F187" s="22" t="n"/>
      <c r="G187" s="22" t="n"/>
    </row>
    <row r="188">
      <c r="F188" s="22" t="n"/>
      <c r="G188" s="22" t="n"/>
    </row>
    <row r="189">
      <c r="F189" s="22" t="n"/>
      <c r="G189" s="22" t="n"/>
    </row>
    <row r="190">
      <c r="F190" s="22" t="n"/>
      <c r="G190" s="22" t="n"/>
    </row>
    <row r="191">
      <c r="F191" s="22" t="n"/>
      <c r="G191" s="22" t="n"/>
    </row>
    <row r="192">
      <c r="F192" s="22" t="n"/>
      <c r="G192" s="22" t="n"/>
    </row>
    <row r="193">
      <c r="F193" s="22" t="n"/>
      <c r="G193" s="22" t="n"/>
    </row>
    <row r="194">
      <c r="F194" s="22" t="n"/>
      <c r="G194" s="22" t="n"/>
    </row>
    <row r="195">
      <c r="F195" s="22" t="n"/>
      <c r="G195" s="22" t="n"/>
    </row>
    <row r="196">
      <c r="F196" s="22" t="n"/>
      <c r="G196" s="22" t="n"/>
    </row>
    <row r="197">
      <c r="F197" s="22" t="n"/>
      <c r="G197" s="22" t="n"/>
    </row>
    <row r="198">
      <c r="F198" s="22" t="n"/>
      <c r="G198" s="22" t="n"/>
    </row>
    <row r="199">
      <c r="F199" s="22" t="n"/>
      <c r="G199" s="22" t="n"/>
    </row>
    <row r="200">
      <c r="F200" s="22" t="n"/>
      <c r="G200" s="22" t="n"/>
    </row>
    <row r="201">
      <c r="F201" s="22" t="n"/>
      <c r="G201" s="22" t="n"/>
    </row>
    <row r="202">
      <c r="F202" s="22" t="n"/>
      <c r="G202" s="22" t="n"/>
    </row>
    <row r="203">
      <c r="F203" s="22" t="n"/>
      <c r="G203" s="22" t="n"/>
    </row>
    <row r="204">
      <c r="F204" s="22" t="n"/>
      <c r="G204" s="2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設定（ここを変えると全体に反映）</t>
        </is>
      </c>
    </row>
    <row r="2">
      <c r="A2" s="2" t="inlineStr">
        <is>
          <t>A列の項目名はGASが読み取るので変更しないでください</t>
        </is>
      </c>
    </row>
    <row r="3">
      <c r="A3" s="8" t="inlineStr">
        <is>
          <t>項目</t>
        </is>
      </c>
      <c r="B3" s="8" t="inlineStr">
        <is>
          <t>値</t>
        </is>
      </c>
      <c r="D3" s="6" t="inlineStr">
        <is>
          <t>フェーズ</t>
        </is>
      </c>
      <c r="E3" s="6" t="inlineStr">
        <is>
          <t>チーム</t>
        </is>
      </c>
      <c r="F3" s="6" t="inlineStr">
        <is>
          <t>声かけ状況</t>
        </is>
      </c>
      <c r="G3" s="6" t="inlineStr">
        <is>
          <t>候補者の状態</t>
        </is>
      </c>
      <c r="H3" s="6" t="inlineStr">
        <is>
          <t>要否</t>
        </is>
      </c>
      <c r="I3" s="6" t="inlineStr">
        <is>
          <t>LD一覧</t>
        </is>
      </c>
      <c r="J3" s="6" t="inlineStr">
        <is>
          <t>現状</t>
        </is>
      </c>
      <c r="K3" s="6" t="inlineStr">
        <is>
          <t>区分</t>
        </is>
      </c>
      <c r="L3" s="6" t="inlineStr">
        <is>
          <t>担当ロール</t>
        </is>
      </c>
    </row>
    <row r="4">
      <c r="A4" s="11" t="inlineStr">
        <is>
          <t>フェーズ1期限（日）</t>
        </is>
      </c>
      <c r="B4" s="22" t="n">
        <v>42</v>
      </c>
      <c r="D4" s="22" t="inlineStr">
        <is>
          <t>準備中</t>
        </is>
      </c>
      <c r="E4" s="22" t="inlineStr">
        <is>
          <t>JJ</t>
        </is>
      </c>
      <c r="F4" s="22" t="inlineStr">
        <is>
          <t>未着手</t>
        </is>
      </c>
      <c r="G4" s="22" t="inlineStr">
        <is>
          <t>進行中</t>
        </is>
      </c>
      <c r="H4" s="22" t="inlineStr">
        <is>
          <t>要</t>
        </is>
      </c>
      <c r="I4" s="22" t="inlineStr">
        <is>
          <t>竹尾純子</t>
        </is>
      </c>
      <c r="J4" s="22" t="inlineStr">
        <is>
          <t>リストアップ済</t>
        </is>
      </c>
      <c r="K4" s="22" t="inlineStr">
        <is>
          <t>本人</t>
        </is>
      </c>
      <c r="L4" s="22" t="inlineStr">
        <is>
          <t>本人</t>
        </is>
      </c>
    </row>
    <row r="5">
      <c r="A5" s="11" t="inlineStr">
        <is>
          <t>フェーズ2期限（日）</t>
        </is>
      </c>
      <c r="B5" s="22" t="n">
        <v>28</v>
      </c>
      <c r="D5" s="22" t="inlineStr">
        <is>
          <t>フェーズ1</t>
        </is>
      </c>
      <c r="E5" s="22" t="inlineStr">
        <is>
          <t>Believe</t>
        </is>
      </c>
      <c r="F5" s="22" t="inlineStr">
        <is>
          <t>打診中</t>
        </is>
      </c>
      <c r="G5" s="22" t="inlineStr">
        <is>
          <t>保留</t>
        </is>
      </c>
      <c r="H5" s="22" t="inlineStr">
        <is>
          <t>不要</t>
        </is>
      </c>
      <c r="I5" s="22" t="inlineStr">
        <is>
          <t>福重孝一</t>
        </is>
      </c>
      <c r="J5" s="22" t="inlineStr">
        <is>
          <t>説明会お誘い中</t>
        </is>
      </c>
      <c r="K5" s="22" t="inlineStr">
        <is>
          <t>DNA</t>
        </is>
      </c>
      <c r="L5" s="22" t="inlineStr">
        <is>
          <t>担当</t>
        </is>
      </c>
    </row>
    <row r="6">
      <c r="A6" s="11" t="inlineStr">
        <is>
          <t>黄色判定ライン（目標ペース比）</t>
        </is>
      </c>
      <c r="B6" s="36" t="n">
        <v>0.7</v>
      </c>
      <c r="D6" s="22" t="inlineStr">
        <is>
          <t>フェーズ2</t>
        </is>
      </c>
      <c r="E6" s="22" t="inlineStr">
        <is>
          <t>チェキン</t>
        </is>
      </c>
      <c r="F6" s="22" t="inlineStr">
        <is>
          <t>承諾</t>
        </is>
      </c>
      <c r="G6" s="22" t="inlineStr">
        <is>
          <t>辞退</t>
        </is>
      </c>
      <c r="H6" s="22" t="n"/>
      <c r="I6" s="22" t="inlineStr">
        <is>
          <t>矢野貴之</t>
        </is>
      </c>
      <c r="J6" s="22" t="inlineStr">
        <is>
          <t>チャプター見学お誘い中</t>
        </is>
      </c>
      <c r="K6" s="22" t="n"/>
      <c r="L6" s="22" t="inlineStr">
        <is>
          <t>CCS実施</t>
        </is>
      </c>
    </row>
    <row r="7">
      <c r="A7" s="11" t="inlineStr">
        <is>
          <t>期限間近アラート（残日数）</t>
        </is>
      </c>
      <c r="B7" s="22" t="n">
        <v>7</v>
      </c>
      <c r="D7" s="22" t="inlineStr">
        <is>
          <t>フェーズ3</t>
        </is>
      </c>
      <c r="E7" s="22" t="n"/>
      <c r="F7" s="22" t="inlineStr">
        <is>
          <t>辞退</t>
        </is>
      </c>
      <c r="G7" s="22" t="n"/>
      <c r="H7" s="22" t="n"/>
      <c r="I7" s="22" t="inlineStr">
        <is>
          <t>榎田秀一</t>
        </is>
      </c>
      <c r="J7" s="22" t="inlineStr">
        <is>
          <t>チャプター見学済</t>
        </is>
      </c>
      <c r="K7" s="22" t="n"/>
      <c r="L7" s="22" t="inlineStr">
        <is>
          <t>LD</t>
        </is>
      </c>
    </row>
    <row r="8">
      <c r="A8" s="11" t="inlineStr">
        <is>
          <t>ログ未入力アラート（日）</t>
        </is>
      </c>
      <c r="B8" s="22" t="n">
        <v>3</v>
      </c>
      <c r="D8" s="22" t="inlineStr">
        <is>
          <t>発足済</t>
        </is>
      </c>
      <c r="E8" s="22" t="n"/>
      <c r="F8" s="22" t="n"/>
      <c r="G8" s="22" t="n"/>
      <c r="H8" s="22" t="n"/>
      <c r="I8" s="22" t="inlineStr">
        <is>
          <t>世良真貴男</t>
        </is>
      </c>
      <c r="J8" s="22" t="inlineStr">
        <is>
          <t>CCS依頼中</t>
        </is>
      </c>
      <c r="K8" s="22" t="n"/>
      <c r="L8" s="22" t="n"/>
    </row>
    <row r="9">
      <c r="A9" s="11" t="inlineStr">
        <is>
          <t>CCS放置アラート（日）</t>
        </is>
      </c>
      <c r="B9" s="22" t="n">
        <v>3</v>
      </c>
      <c r="D9" s="22" t="inlineStr">
        <is>
          <t>延長判断中</t>
        </is>
      </c>
      <c r="E9" s="22" t="n"/>
      <c r="F9" s="22" t="n"/>
      <c r="G9" s="22" t="n"/>
      <c r="H9" s="22" t="n"/>
      <c r="I9" s="22" t="inlineStr">
        <is>
          <t>松永健志</t>
        </is>
      </c>
      <c r="J9" s="22" t="inlineStr">
        <is>
          <t>CCS日程確定</t>
        </is>
      </c>
      <c r="K9" s="22" t="n"/>
      <c r="L9" s="22" t="n"/>
    </row>
    <row r="10">
      <c r="A10" s="11" t="inlineStr">
        <is>
          <t>本人リマインド再送間隔（日）</t>
        </is>
      </c>
      <c r="B10" s="22" t="n">
        <v>2</v>
      </c>
      <c r="D10" s="22" t="inlineStr">
        <is>
          <t>解散・移籍</t>
        </is>
      </c>
      <c r="E10" s="22" t="n"/>
      <c r="F10" s="22" t="n"/>
      <c r="G10" s="22" t="n"/>
      <c r="H10" s="22" t="n"/>
      <c r="I10" s="22" t="inlineStr">
        <is>
          <t>中村剛</t>
        </is>
      </c>
      <c r="J10" s="22" t="inlineStr">
        <is>
          <t>CCS済</t>
        </is>
      </c>
      <c r="K10" s="22" t="n"/>
      <c r="L10" s="22" t="n"/>
    </row>
    <row r="11">
      <c r="A11" s="11" t="inlineStr">
        <is>
          <t>初回定例会前の警戒期間（日）</t>
        </is>
      </c>
      <c r="B11" s="22" t="n">
        <v>7</v>
      </c>
      <c r="D11" s="22" t="n"/>
      <c r="E11" s="22" t="n"/>
      <c r="F11" s="22" t="n"/>
      <c r="G11" s="22" t="n"/>
      <c r="H11" s="22" t="n"/>
      <c r="I11" s="22" t="n"/>
      <c r="J11" s="22" t="inlineStr">
        <is>
          <t>検討中</t>
        </is>
      </c>
      <c r="K11" s="22" t="n"/>
      <c r="L11" s="22" t="n"/>
    </row>
    <row r="12">
      <c r="A12" s="11" t="inlineStr">
        <is>
          <t>週次推移の開始日（月曜）</t>
        </is>
      </c>
      <c r="B12" s="24" t="n">
        <v>46300</v>
      </c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</row>
    <row r="13"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</row>
    <row r="14"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</row>
    <row r="15"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</row>
    <row r="16"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</row>
    <row r="17"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</row>
    <row r="18"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</row>
    <row r="19"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</row>
    <row r="21"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</row>
    <row r="22"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4" customWidth="1" min="3" max="3"/>
    <col width="22" customWidth="1" min="4" max="4"/>
    <col width="60" customWidth="1" min="5" max="5"/>
    <col width="24" customWidth="1" min="6" max="6"/>
  </cols>
  <sheetData>
    <row r="1">
      <c r="A1" s="1" t="inlineStr">
        <is>
          <t>アラートログ（自動記録）</t>
        </is>
      </c>
    </row>
    <row r="4">
      <c r="A4" s="8" t="inlineStr">
        <is>
          <t>日時</t>
        </is>
      </c>
      <c r="B4" s="8" t="inlineStr">
        <is>
          <t>種類</t>
        </is>
      </c>
      <c r="C4" s="8" t="inlineStr">
        <is>
          <t>宛先</t>
        </is>
      </c>
      <c r="D4" s="8" t="inlineStr">
        <is>
          <t>対象</t>
        </is>
      </c>
      <c r="E4" s="8" t="inlineStr">
        <is>
          <t>内容（先頭）</t>
        </is>
      </c>
      <c r="F4" s="8" t="inlineStr">
        <is>
          <t>キー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2026-09-29T08:08:19Z</dcterms:created>
  <dcterms:modified xmlns:dcterms="http://purl.org/dc/terms/" xmlns:xsi="http://www.w3.org/2001/XMLSchema-instance" xsi:type="dcterms:W3CDTF">2026-09-29T08:08:24Z</dcterms:modified>
</cp:coreProperties>
</file>